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charts/chart2.xml" ContentType="application/vnd.openxmlformats-officedocument.drawingml.chart+xml"/>
  <Override PartName="/xl/charts/chart1.xml" ContentType="application/vnd.openxmlformats-officedocument.drawingml.chart+xml"/>
  <Override PartName="/xl/_rels/workbook.xml.rels" ContentType="application/vnd.openxmlformats-package.relationship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1.xml" ContentType="application/vnd.openxmlformats-officedocument.spreadsheetml.pivotTable+xml"/>
  <Override PartName="/xl/drawings/_rels/drawing5.xml.rels" ContentType="application/vnd.openxmlformats-package.relationships+xml"/>
  <Override PartName="/xl/drawings/_rels/drawing4.xml.rels" ContentType="application/vnd.openxmlformats-package.relationships+xml"/>
  <Override PartName="/xl/drawings/_rels/drawing3.xml.rels" ContentType="application/vnd.openxmlformats-package.relationships+xml"/>
  <Override PartName="/xl/drawings/_rels/drawing2.xml.rels" ContentType="application/vnd.openxmlformats-package.relationships+xml"/>
  <Override PartName="/xl/drawings/drawing6.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drawings/drawing5.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_rels/sheet9.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styles.xml" ContentType="application/vnd.openxmlformats-officedocument.spreadsheetml.styles+xml"/>
  <Override PartName="/xl/media/image2.png" ContentType="image/png"/>
  <Override PartName="/xl/media/image1.png" ContentType="image/png"/>
  <Override PartName="/xl/workbook.xml" ContentType="application/vnd.openxmlformats-officedocument.spreadsheetml.sheet.mai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85" firstSheet="0" activeTab="0"/>
  </bookViews>
  <sheets>
    <sheet name="MatchData" sheetId="1" state="visible" r:id="rId2"/>
    <sheet name="PitData" sheetId="2" state="visible" r:id="rId3"/>
    <sheet name="PitDataMaster" sheetId="3" state="visible" r:id="rId4"/>
    <sheet name="Pre-Match Report" sheetId="4" state="visible" r:id="rId5"/>
    <sheet name="Alliance Analyzer" sheetId="5" state="visible" r:id="rId6"/>
    <sheet name="Sheet2" sheetId="6" state="visible" r:id="rId7"/>
    <sheet name="Team Trend" sheetId="7" state="visible" r:id="rId8"/>
    <sheet name="Team Profile" sheetId="8" state="visible" r:id="rId9"/>
    <sheet name="Personas" sheetId="9" state="visible" r:id="rId10"/>
  </sheets>
  <definedNames>
    <definedName function="false" hidden="false" name="_xlcn.WorksheetConnection_StrongholdScoutingWorkbook.xlsxMatchData1" vbProcedure="false">matchdata[]</definedName>
    <definedName function="false" hidden="false" name="_xlcn.WorksheetConnection_StrongholdScoutingWorkbook.xlsxPitData1" vbProcedure="false">pitdata[]</definedName>
    <definedName function="true" hidden="false" name="Module1.Button1_Click" vbProcedure="true"/>
    <definedName function="true" hidden="false" name="Module1.Button2_Click" vbProcedure="true"/>
  </definedNames>
  <calcPr iterateCount="100" refMode="A1" iterate="false" iterateDelta="0.0001"/>
</workbook>
</file>

<file path=xl/sharedStrings.xml><?xml version="1.0" encoding="utf-8"?>
<sst xmlns="http://schemas.openxmlformats.org/spreadsheetml/2006/main" count="1311" uniqueCount="329">
  <si>
    <t>Match Type (Q or B)</t>
  </si>
  <si>
    <t>Match</t>
  </si>
  <si>
    <t>Team</t>
  </si>
  <si>
    <t>Alliance</t>
  </si>
  <si>
    <t>Scouter</t>
  </si>
  <si>
    <t>Auto High Goals</t>
  </si>
  <si>
    <t>Teleop High Goals</t>
  </si>
  <si>
    <t>Auto Low Goals</t>
  </si>
  <si>
    <t>Teleop Low Goals</t>
  </si>
  <si>
    <t>Low Bar Available</t>
  </si>
  <si>
    <t>Portcullis Available</t>
  </si>
  <si>
    <t>Cheval Available</t>
  </si>
  <si>
    <t>Moat Available</t>
  </si>
  <si>
    <t>Ramparts Available</t>
  </si>
  <si>
    <t>Drawbridge Available</t>
  </si>
  <si>
    <t>Sally Port Available</t>
  </si>
  <si>
    <t>Rock Wall Available</t>
  </si>
  <si>
    <t>Rough Terrain Available</t>
  </si>
  <si>
    <t>Auto Reach Flag</t>
  </si>
  <si>
    <t>Portcullis Auto Crossings</t>
  </si>
  <si>
    <t>Cheval Auto Crossings</t>
  </si>
  <si>
    <t>Moat Auto Crossings</t>
  </si>
  <si>
    <t>Ramparts Auto Crossings</t>
  </si>
  <si>
    <t>Drawbridge Auto Crossings</t>
  </si>
  <si>
    <t>Sally Port Auto Crossings</t>
  </si>
  <si>
    <t>Rock Wall Auto Crossings</t>
  </si>
  <si>
    <t>Rough Terrain Auto Crossings</t>
  </si>
  <si>
    <t>Low Bar Auto Crossings</t>
  </si>
  <si>
    <t>Low Bar Unscored Crossings</t>
  </si>
  <si>
    <t>Low Bar Scored Crossings</t>
  </si>
  <si>
    <t>Portcullis Unscored Crossings</t>
  </si>
  <si>
    <t>Portcullis Scored Crossings</t>
  </si>
  <si>
    <t>Cheval Unscored Crossings</t>
  </si>
  <si>
    <t>Cheval Scored Crossings</t>
  </si>
  <si>
    <t>Moat Unscored Crossings</t>
  </si>
  <si>
    <t>Moat Scored Crosings</t>
  </si>
  <si>
    <t>Ramparts Unscored Crossings</t>
  </si>
  <si>
    <t>Ramparts Scored Crossings</t>
  </si>
  <si>
    <t>Drawbridge Unscored Crossings</t>
  </si>
  <si>
    <t>Drawbridge Scored Crossings</t>
  </si>
  <si>
    <t>Sally Port Unscored Crossings</t>
  </si>
  <si>
    <t>Sally Port Scored Crossings</t>
  </si>
  <si>
    <t>Rock Wall Unscored Crossings</t>
  </si>
  <si>
    <t>Rock Wall Scored Crossings</t>
  </si>
  <si>
    <t>Rough Terrain Unscored Crossings</t>
  </si>
  <si>
    <t>Rough Terrain Scored Crossings</t>
  </si>
  <si>
    <t>Manipulate Flag</t>
  </si>
  <si>
    <t>Hold Flag</t>
  </si>
  <si>
    <t>Challenge Flag</t>
  </si>
  <si>
    <t>Climb Flag</t>
  </si>
  <si>
    <t>Defense Flag</t>
  </si>
  <si>
    <t>Breakdown Flag</t>
  </si>
  <si>
    <t>Capture Tower Flag</t>
  </si>
  <si>
    <t>Breach Flag</t>
  </si>
  <si>
    <t>Cheval Teleop Crossing Score</t>
  </si>
  <si>
    <t>Moat Teleop Crossing Score</t>
  </si>
  <si>
    <t>Ramparts Teleop Crossing Score</t>
  </si>
  <si>
    <t>Drawbridge Teleop Crossing Score</t>
  </si>
  <si>
    <t>Sally Port Teleop Crossing Score</t>
  </si>
  <si>
    <t>Rock Wall Teleop Crossing Score</t>
  </si>
  <si>
    <t>Rough Terrain Teleop Crossing Score</t>
  </si>
  <si>
    <t>Low Bar Teleop Crossing Score</t>
  </si>
  <si>
    <t>Total Crossings</t>
  </si>
  <si>
    <t>Climb or Challenge Flag</t>
  </si>
  <si>
    <t>High Goal Score</t>
  </si>
  <si>
    <t>Low Goal Score</t>
  </si>
  <si>
    <t>Total Goal Score</t>
  </si>
  <si>
    <t>Total Goals</t>
  </si>
  <si>
    <t>Total Auto Score</t>
  </si>
  <si>
    <t>Crossing Score</t>
  </si>
  <si>
    <t>Average Auto Score</t>
  </si>
  <si>
    <t>Challenge Score</t>
  </si>
  <si>
    <t>Climb Score</t>
  </si>
  <si>
    <t>Total Score</t>
  </si>
  <si>
    <t>Low Goal Team Average</t>
  </si>
  <si>
    <t>High Goal Team Average</t>
  </si>
  <si>
    <t>Match Count</t>
  </si>
  <si>
    <t>Portcullis Avail Count</t>
  </si>
  <si>
    <t>Cheval Avail Count</t>
  </si>
  <si>
    <t>Moat Avail Count</t>
  </si>
  <si>
    <t>Ramparts Avail Count</t>
  </si>
  <si>
    <t>Drawbridge Avail Countigh6</t>
  </si>
  <si>
    <t>Sally Port Avail Count</t>
  </si>
  <si>
    <t>Rock Wall Avail Count</t>
  </si>
  <si>
    <t>Rough Terrain Avail Count</t>
  </si>
  <si>
    <t>Low Bar Avail Count</t>
  </si>
  <si>
    <t>Portcullis Sum</t>
  </si>
  <si>
    <t>Cheval Sum</t>
  </si>
  <si>
    <t>Moat Sum</t>
  </si>
  <si>
    <t>Ramparts Sum</t>
  </si>
  <si>
    <t>Drawbridge Sum</t>
  </si>
  <si>
    <t>Sally Port Sum</t>
  </si>
  <si>
    <t>Rock Wall Sum</t>
  </si>
  <si>
    <t>Rough Terrain Sum</t>
  </si>
  <si>
    <t>Low Bar Sum</t>
  </si>
  <si>
    <t>Portcullis Average</t>
  </si>
  <si>
    <t>Cheval Average</t>
  </si>
  <si>
    <t>Moat Average</t>
  </si>
  <si>
    <t>Ramparts Average</t>
  </si>
  <si>
    <t>Drawbridge Average</t>
  </si>
  <si>
    <t>Sally Port Average</t>
  </si>
  <si>
    <t>Rock Wall Average</t>
  </si>
  <si>
    <t>Rough Terrain Crossing Average</t>
  </si>
  <si>
    <t>Low Bar Average</t>
  </si>
  <si>
    <t>Crossing Average</t>
  </si>
  <si>
    <t>Max Goal Score</t>
  </si>
  <si>
    <t>Average Team Score</t>
  </si>
  <si>
    <t>Average Climb or Challenge</t>
  </si>
  <si>
    <t>Q</t>
  </si>
  <si>
    <t>Blue</t>
  </si>
  <si>
    <t>Bailey</t>
  </si>
  <si>
    <t>Austin</t>
  </si>
  <si>
    <t>Nick</t>
  </si>
  <si>
    <t>Red</t>
  </si>
  <si>
    <t>Chris W</t>
  </si>
  <si>
    <t>Noah R</t>
  </si>
  <si>
    <t>Jacob T</t>
  </si>
  <si>
    <t>Chris</t>
  </si>
  <si>
    <t>Jacob</t>
  </si>
  <si>
    <t>Noah</t>
  </si>
  <si>
    <t>Zach S</t>
  </si>
  <si>
    <t>Mathew M</t>
  </si>
  <si>
    <t>Zack F</t>
  </si>
  <si>
    <t>Kyle</t>
  </si>
  <si>
    <t>Bret</t>
  </si>
  <si>
    <t>PJ</t>
  </si>
  <si>
    <t>Drew K</t>
  </si>
  <si>
    <t>Mathew</t>
  </si>
  <si>
    <t>Matthew</t>
  </si>
  <si>
    <t>Zack</t>
  </si>
  <si>
    <t>Drew</t>
  </si>
  <si>
    <t>Zach</t>
  </si>
  <si>
    <t>Nathen</t>
  </si>
  <si>
    <t>Anthomy</t>
  </si>
  <si>
    <t>Phillip</t>
  </si>
  <si>
    <t>Nathan</t>
  </si>
  <si>
    <t>Anthony</t>
  </si>
  <si>
    <t>Dallin</t>
  </si>
  <si>
    <t>Philip</t>
  </si>
  <si>
    <t>Zachary</t>
  </si>
  <si>
    <t>Logan</t>
  </si>
  <si>
    <t>Clara</t>
  </si>
  <si>
    <t>Brett</t>
  </si>
  <si>
    <t>Evan</t>
  </si>
  <si>
    <t>Jared</t>
  </si>
  <si>
    <t>Trevor </t>
  </si>
  <si>
    <t>Jarod</t>
  </si>
  <si>
    <t>Trevor</t>
  </si>
  <si>
    <t>Caleb</t>
  </si>
  <si>
    <t>Cayleb</t>
  </si>
  <si>
    <t>Zach s</t>
  </si>
  <si>
    <t>Calvin</t>
  </si>
  <si>
    <t>Zach F</t>
  </si>
  <si>
    <t>Zacharf</t>
  </si>
  <si>
    <t>q</t>
  </si>
  <si>
    <t> </t>
  </si>
  <si>
    <t>Clorah</t>
  </si>
  <si>
    <t>zachary</t>
  </si>
  <si>
    <t>Zach f</t>
  </si>
  <si>
    <t>Nathman</t>
  </si>
  <si>
    <t>Austin K</t>
  </si>
  <si>
    <t>Evan W</t>
  </si>
  <si>
    <t>Nathan T</t>
  </si>
  <si>
    <t>Chris w</t>
  </si>
  <si>
    <t>Jacop T</t>
  </si>
  <si>
    <t>trevor</t>
  </si>
  <si>
    <t>Team Name</t>
  </si>
  <si>
    <t>Drive Base</t>
  </si>
  <si>
    <t>Strategy</t>
  </si>
  <si>
    <t>Low Bar</t>
  </si>
  <si>
    <t>Moat</t>
  </si>
  <si>
    <t>Rough Terrain</t>
  </si>
  <si>
    <t>Drawbridge</t>
  </si>
  <si>
    <t>Sally Port</t>
  </si>
  <si>
    <t>Rampart</t>
  </si>
  <si>
    <t>Rockwall</t>
  </si>
  <si>
    <t>Chival de Frise</t>
  </si>
  <si>
    <t>Portcullis</t>
  </si>
  <si>
    <t>Climb</t>
  </si>
  <si>
    <t>Low Goal</t>
  </si>
  <si>
    <t>High Goal Accuracy</t>
  </si>
  <si>
    <t>Ground Collector</t>
  </si>
  <si>
    <t>Feeder Station Collector</t>
  </si>
  <si>
    <t>Functionality</t>
  </si>
  <si>
    <t>tank</t>
  </si>
  <si>
    <t>breach/defense</t>
  </si>
  <si>
    <t>tricycle</t>
  </si>
  <si>
    <t>any</t>
  </si>
  <si>
    <t>CV Robotics</t>
  </si>
  <si>
    <t>8-wheel 4 sims</t>
  </si>
  <si>
    <t>breach/shoot</t>
  </si>
  <si>
    <t>shooter</t>
  </si>
  <si>
    <t>Error Code Xero</t>
  </si>
  <si>
    <t>8-wheel tank</t>
  </si>
  <si>
    <t>Flaming Chickens</t>
  </si>
  <si>
    <t>Cycle (bumpy surface and low bar)</t>
  </si>
  <si>
    <t>6-wheel tank</t>
  </si>
  <si>
    <t>cycle</t>
  </si>
  <si>
    <t>breach</t>
  </si>
  <si>
    <t>very accurate high goal</t>
  </si>
  <si>
    <t>belt (suspention)</t>
  </si>
  <si>
    <t>runner treads</t>
  </si>
  <si>
    <t>tank treads</t>
  </si>
  <si>
    <t>Rhino drive</t>
  </si>
  <si>
    <t>low goal.ball transport</t>
  </si>
  <si>
    <t>West coast 6-wheel drop center</t>
  </si>
  <si>
    <t>Tank</t>
  </si>
  <si>
    <t>West Coast</t>
  </si>
  <si>
    <t>utility/breach/cycle</t>
  </si>
  <si>
    <t>Iron Mustang</t>
  </si>
  <si>
    <t>Tank 9 Wheels</t>
  </si>
  <si>
    <t>breach/cycle</t>
  </si>
  <si>
    <t>Tank, 12"</t>
  </si>
  <si>
    <t>Breach/low goal</t>
  </si>
  <si>
    <t>Shooter</t>
  </si>
  <si>
    <t>6-wheel</t>
  </si>
  <si>
    <t>breach/shoot (lg auto)</t>
  </si>
  <si>
    <t>6 wheel </t>
  </si>
  <si>
    <t>breach/high goal/capture (forward drive)</t>
  </si>
  <si>
    <t>Shockwave</t>
  </si>
  <si>
    <t>6-wheel chain</t>
  </si>
  <si>
    <t>rhino</t>
  </si>
  <si>
    <t>Tank treads</t>
  </si>
  <si>
    <t>Shooter (auto lb)</t>
  </si>
  <si>
    <t>none</t>
  </si>
  <si>
    <t>6-wheel drive</t>
  </si>
  <si>
    <t>Defensive</t>
  </si>
  <si>
    <t>High Goal</t>
  </si>
  <si>
    <t>Ground</t>
  </si>
  <si>
    <t>Feeder Station</t>
  </si>
  <si>
    <t>n</t>
  </si>
  <si>
    <t>8 of 10 </t>
  </si>
  <si>
    <t>7 of 10</t>
  </si>
  <si>
    <t>6 of 10</t>
  </si>
  <si>
    <t>9 of 10</t>
  </si>
  <si>
    <t>5 of 10</t>
  </si>
  <si>
    <t>6-7 of 10</t>
  </si>
  <si>
    <t>Pre-Match Report</t>
  </si>
  <si>
    <t>30</t>
  </si>
  <si>
    <t>Blue Result</t>
  </si>
  <si>
    <t>Red Result</t>
  </si>
  <si>
    <t>Data</t>
  </si>
  <si>
    <t>Sum - Average Team Score</t>
  </si>
  <si>
    <t>Sum - Average Auto Score</t>
  </si>
  <si>
    <t>Sum - Low Goal Team Average</t>
  </si>
  <si>
    <t>Sum - High Goal Team Average</t>
  </si>
  <si>
    <t>Sum - Max Goal Score</t>
  </si>
  <si>
    <t>Sum - Crossing Average</t>
  </si>
  <si>
    <t>A</t>
  </si>
  <si>
    <t>Average - Average Climb or Challenge</t>
  </si>
  <si>
    <t>Sum - Portcullis Average</t>
  </si>
  <si>
    <t>B</t>
  </si>
  <si>
    <t>Sum - Cheval Average</t>
  </si>
  <si>
    <t>Sum - Moat Average</t>
  </si>
  <si>
    <t>C</t>
  </si>
  <si>
    <t>Sum - Ramparts Average</t>
  </si>
  <si>
    <t>Sum - Drawbridge Average</t>
  </si>
  <si>
    <t>D</t>
  </si>
  <si>
    <t>Sum - Sally Port Average</t>
  </si>
  <si>
    <t>Sum - Rock Wall Average</t>
  </si>
  <si>
    <t>Sum - Rough Terrain Crossing Average</t>
  </si>
  <si>
    <t>Sum - Low Bar Average</t>
  </si>
  <si>
    <t>Alliance Analyzer</t>
  </si>
  <si>
    <t>Pit Scouting Lookups</t>
  </si>
  <si>
    <t>Row Labels</t>
  </si>
  <si>
    <t>Average of Total Score</t>
  </si>
  <si>
    <t>Average of Total Auto Score</t>
  </si>
  <si>
    <t>Max of Total Score</t>
  </si>
  <si>
    <t>Average of Crossing Score</t>
  </si>
  <si>
    <t>Average of Total Goal Score</t>
  </si>
  <si>
    <t>Average of Challenge Score</t>
  </si>
  <si>
    <t>Average of Total Crossings</t>
  </si>
  <si>
    <t>Average of Total Goals</t>
  </si>
  <si>
    <t>Sum of Breakdown Flag</t>
  </si>
  <si>
    <t>Average of Portcullis Crossing</t>
  </si>
  <si>
    <t>Average of Cheval Crossing</t>
  </si>
  <si>
    <t>Average of Moat Crossing</t>
  </si>
  <si>
    <t>Average of Ramparts Crossing</t>
  </si>
  <si>
    <t>Average of Drawbridge Crossing</t>
  </si>
  <si>
    <t>Average of Sally Port Crossing</t>
  </si>
  <si>
    <t>Average of Rock Wall Crossing</t>
  </si>
  <si>
    <t>Average of Rough Terrain Crossing</t>
  </si>
  <si>
    <t>Average of Low Bar Crossing</t>
  </si>
  <si>
    <t>Preferred Strategy</t>
  </si>
  <si>
    <t>1st Pick</t>
  </si>
  <si>
    <t>Acc</t>
  </si>
  <si>
    <t>Dec</t>
  </si>
  <si>
    <t>Chickens</t>
  </si>
  <si>
    <t>2nd</t>
  </si>
  <si>
    <t>picked by shockwave</t>
  </si>
  <si>
    <t>if shock</t>
  </si>
  <si>
    <t>mean</t>
  </si>
  <si>
    <t>we pick chicks</t>
  </si>
  <si>
    <t>if shock </t>
  </si>
  <si>
    <t>chickens</t>
  </si>
  <si>
    <t>we pick mean</t>
  </si>
  <si>
    <t>3rd</t>
  </si>
  <si>
    <t>means</t>
  </si>
  <si>
    <t>we pick chic</t>
  </si>
  <si>
    <t>if shocks</t>
  </si>
  <si>
    <t>mean picks us</t>
  </si>
  <si>
    <t>1425</t>
  </si>
  <si>
    <t>Sum - Auto Low Goals</t>
  </si>
  <si>
    <t>Sum - Auto High Goals</t>
  </si>
  <si>
    <t>Sum - Teleop Low Goals</t>
  </si>
  <si>
    <t>Sum - Teleop High Goals</t>
  </si>
  <si>
    <t>Sum - Total Crossings</t>
  </si>
  <si>
    <t>Total Result</t>
  </si>
  <si>
    <t>955</t>
  </si>
  <si>
    <t>Sum - Total Goals</t>
  </si>
  <si>
    <t>Personas</t>
  </si>
  <si>
    <t>Name</t>
  </si>
  <si>
    <t>Low Goal Low</t>
  </si>
  <si>
    <t>Low Goal High</t>
  </si>
  <si>
    <t>High Goal Low</t>
  </si>
  <si>
    <t>High Goal High</t>
  </si>
  <si>
    <t>Portcullis High</t>
  </si>
  <si>
    <t>Cheval High</t>
  </si>
  <si>
    <t>Moat High</t>
  </si>
  <si>
    <t>Ramparts High</t>
  </si>
  <si>
    <t>Drawbridge High</t>
  </si>
  <si>
    <t>Sally Port High</t>
  </si>
  <si>
    <t>Rock Wall High</t>
  </si>
  <si>
    <t>Rough Terrain High</t>
  </si>
  <si>
    <t>Low Bar High</t>
  </si>
  <si>
    <t>Climebr</t>
  </si>
  <si>
    <t>Drive Base/Low Goals/Climber</t>
  </si>
  <si>
    <t>Crosser / Low Goal/Climber</t>
  </si>
  <si>
    <t>Crosser / High Goal</t>
  </si>
</sst>
</file>

<file path=xl/styles.xml><?xml version="1.0" encoding="utf-8"?>
<styleSheet xmlns="http://schemas.openxmlformats.org/spreadsheetml/2006/main">
  <numFmts count="5">
    <numFmt numFmtId="164" formatCode="GENERAL"/>
    <numFmt numFmtId="165" formatCode="0%"/>
    <numFmt numFmtId="166" formatCode="D\-MMM"/>
    <numFmt numFmtId="167" formatCode="@"/>
    <numFmt numFmtId="168" formatCode="0.00"/>
  </numFmts>
  <fonts count="20">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b val="true"/>
      <sz val="11"/>
      <color rgb="FFFFFFFF"/>
      <name val="Calibri"/>
      <family val="2"/>
      <charset val="1"/>
    </font>
    <font>
      <sz val="10"/>
      <color rgb="FF000000"/>
      <name val="Arial"/>
      <family val="2"/>
      <charset val="1"/>
    </font>
    <font>
      <sz val="12"/>
      <color rgb="FFFFFFFF"/>
      <name val="Calibri"/>
      <family val="2"/>
    </font>
    <font>
      <sz val="14"/>
      <color rgb="FF000000"/>
      <name val="Calibri"/>
      <family val="2"/>
      <charset val="1"/>
    </font>
    <font>
      <sz val="12"/>
      <color rgb="FF000000"/>
      <name val="Calibri"/>
      <family val="2"/>
      <charset val="1"/>
    </font>
    <font>
      <b val="true"/>
      <sz val="12"/>
      <name val="Calibri"/>
      <family val="2"/>
      <charset val="1"/>
    </font>
    <font>
      <sz val="14"/>
      <color rgb="FF666666"/>
      <name val="Inherit"/>
      <family val="0"/>
      <charset val="1"/>
    </font>
    <font>
      <b val="true"/>
      <sz val="11"/>
      <color rgb="FF000000"/>
      <name val="Calibri"/>
      <family val="0"/>
      <charset val="1"/>
    </font>
    <font>
      <sz val="10"/>
      <color rgb="FF000000"/>
      <name val="Calibri"/>
      <family val="2"/>
      <charset val="1"/>
    </font>
    <font>
      <sz val="11"/>
      <name val="Calibri"/>
      <family val="2"/>
      <charset val="1"/>
    </font>
    <font>
      <b val="true"/>
      <sz val="16"/>
      <name val="Calibri"/>
      <family val="2"/>
      <charset val="1"/>
    </font>
    <font>
      <sz val="9"/>
      <color rgb="FF000000"/>
      <name val="Calibri"/>
      <family val="2"/>
      <charset val="1"/>
    </font>
    <font>
      <b val="true"/>
      <sz val="12"/>
      <color rgb="FF000000"/>
      <name val="Calibri"/>
      <family val="0"/>
      <charset val="1"/>
    </font>
    <font>
      <sz val="9"/>
      <color rgb="FF595959"/>
      <name val="Calibri"/>
      <family val="2"/>
    </font>
    <font>
      <sz val="9"/>
      <color rgb="FF404040"/>
      <name val="Calibri"/>
      <family val="2"/>
    </font>
  </fonts>
  <fills count="12">
    <fill>
      <patternFill patternType="none"/>
    </fill>
    <fill>
      <patternFill patternType="gray125"/>
    </fill>
    <fill>
      <patternFill patternType="solid">
        <fgColor rgb="FF002060"/>
        <bgColor rgb="FF000080"/>
      </patternFill>
    </fill>
    <fill>
      <patternFill patternType="solid">
        <fgColor rgb="FF5B9BD5"/>
        <bgColor rgb="FF4472C4"/>
      </patternFill>
    </fill>
    <fill>
      <patternFill patternType="solid">
        <fgColor rgb="FFFF7C80"/>
        <bgColor rgb="FFED7D31"/>
      </patternFill>
    </fill>
    <fill>
      <patternFill patternType="solid">
        <fgColor rgb="FFBDD7EE"/>
        <bgColor rgb="FFCCCCCC"/>
      </patternFill>
    </fill>
    <fill>
      <patternFill patternType="solid">
        <fgColor rgb="FFDEEBF7"/>
        <bgColor rgb="FFE7E6E6"/>
      </patternFill>
    </fill>
    <fill>
      <patternFill patternType="solid">
        <fgColor rgb="FF3B3838"/>
        <bgColor rgb="FF404040"/>
      </patternFill>
    </fill>
    <fill>
      <patternFill patternType="solid">
        <fgColor rgb="FFD0CECE"/>
        <bgColor rgb="FFCCCCCC"/>
      </patternFill>
    </fill>
    <fill>
      <patternFill patternType="solid">
        <fgColor rgb="FFA6A6A6"/>
        <bgColor rgb="FFA5A5A5"/>
      </patternFill>
    </fill>
    <fill>
      <patternFill patternType="solid">
        <fgColor rgb="FFEDEDED"/>
        <bgColor rgb="FFE7E6E6"/>
      </patternFill>
    </fill>
    <fill>
      <patternFill patternType="solid">
        <fgColor rgb="FFE7E6E6"/>
        <bgColor rgb="FFEDEDED"/>
      </patternFill>
    </fill>
  </fills>
  <borders count="51">
    <border diagonalUp="false" diagonalDown="false">
      <left/>
      <right/>
      <top/>
      <bottom/>
      <diagonal/>
    </border>
    <border diagonalUp="false" diagonalDown="false">
      <left style="thin">
        <color rgb="FFFFFFFF"/>
      </left>
      <right style="thin">
        <color rgb="FFFFFFFF"/>
      </right>
      <top/>
      <bottom style="thick">
        <color rgb="FFFFFFFF"/>
      </bottom>
      <diagonal/>
    </border>
    <border diagonalUp="false" diagonalDown="false">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medium">
        <color rgb="FFCCCCCC"/>
      </left>
      <right style="medium">
        <color rgb="FFCCCCCC"/>
      </right>
      <top style="medium">
        <color rgb="FFCCCCCC"/>
      </top>
      <bottom style="medium">
        <color rgb="FFCCCCCC"/>
      </bottom>
      <diagonal/>
    </border>
    <border diagonalUp="false" diagonalDown="false">
      <left style="medium">
        <color rgb="FFCCCCCC"/>
      </left>
      <right style="medium">
        <color rgb="FFCCCCCC"/>
      </right>
      <top/>
      <bottom style="medium">
        <color rgb="FFCCCCCC"/>
      </bottom>
      <diagonal/>
    </border>
    <border diagonalUp="false" diagonalDown="false">
      <left style="medium">
        <color rgb="FFCCCCCC"/>
      </left>
      <right style="medium">
        <color rgb="FFCCCCCC"/>
      </right>
      <top style="medium">
        <color rgb="FFCCCCCC"/>
      </top>
      <bottom/>
      <diagonal/>
    </border>
    <border diagonalUp="false" diagonalDown="false">
      <left style="thin"/>
      <right style="thin"/>
      <top style="thin"/>
      <bottom style="thin"/>
      <diagonal/>
    </border>
    <border diagonalUp="false" diagonalDown="false">
      <left style="medium"/>
      <right style="thin"/>
      <top style="medium"/>
      <bottom/>
      <diagonal/>
    </border>
    <border diagonalUp="false" diagonalDown="false">
      <left style="thin"/>
      <right style="thin"/>
      <top style="medium"/>
      <bottom style="thin"/>
      <diagonal/>
    </border>
    <border diagonalUp="false" diagonalDown="false">
      <left/>
      <right/>
      <top style="medium"/>
      <bottom/>
      <diagonal/>
    </border>
    <border diagonalUp="false" diagonalDown="false">
      <left/>
      <right style="medium"/>
      <top style="medium"/>
      <bottom/>
      <diagonal/>
    </border>
    <border diagonalUp="false" diagonalDown="false">
      <left style="medium"/>
      <right style="thin"/>
      <top/>
      <bottom/>
      <diagonal/>
    </border>
    <border diagonalUp="false" diagonalDown="false">
      <left style="thin"/>
      <right/>
      <top/>
      <bottom/>
      <diagonal/>
    </border>
    <border diagonalUp="false" diagonalDown="false">
      <left style="thin"/>
      <right style="thin"/>
      <top style="thin"/>
      <bottom/>
      <diagonal/>
    </border>
    <border diagonalUp="false" diagonalDown="false">
      <left style="thin"/>
      <right style="medium"/>
      <top style="thin"/>
      <bottom/>
      <diagonal/>
    </border>
    <border diagonalUp="false" diagonalDown="false">
      <left style="medium"/>
      <right style="thin"/>
      <top style="thin"/>
      <bottom style="thin"/>
      <diagonal/>
    </border>
    <border diagonalUp="false" diagonalDown="false">
      <left style="thin"/>
      <right/>
      <top/>
      <bottom style="thin"/>
      <diagonal/>
    </border>
    <border diagonalUp="false" diagonalDown="false">
      <left/>
      <right/>
      <top/>
      <bottom style="thin"/>
      <diagonal/>
    </border>
    <border diagonalUp="false" diagonalDown="false">
      <left style="thin"/>
      <right style="thin"/>
      <top/>
      <bottom style="thin"/>
      <diagonal/>
    </border>
    <border diagonalUp="false" diagonalDown="false">
      <left style="thin"/>
      <right style="medium"/>
      <top/>
      <bottom style="thin"/>
      <diagonal/>
    </border>
    <border diagonalUp="false" diagonalDown="false">
      <left style="medium"/>
      <right style="thin"/>
      <top style="thin"/>
      <bottom/>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right style="thin"/>
      <top/>
      <bottom/>
      <diagonal/>
    </border>
    <border diagonalUp="false" diagonalDown="false">
      <left style="thin"/>
      <right style="thin"/>
      <top/>
      <bottom/>
      <diagonal/>
    </border>
    <border diagonalUp="false" diagonalDown="false">
      <left style="thin"/>
      <right style="medium"/>
      <top/>
      <bottom/>
      <diagonal/>
    </border>
    <border diagonalUp="false" diagonalDown="false">
      <left style="medium"/>
      <right style="thin"/>
      <top/>
      <bottom style="medium"/>
      <diagonal/>
    </border>
    <border diagonalUp="false" diagonalDown="false">
      <left style="thin"/>
      <right/>
      <top/>
      <bottom style="medium"/>
      <diagonal/>
    </border>
    <border diagonalUp="false" diagonalDown="false">
      <left/>
      <right/>
      <top/>
      <bottom style="medium"/>
      <diagonal/>
    </border>
    <border diagonalUp="false" diagonalDown="false">
      <left/>
      <right style="thin"/>
      <top/>
      <bottom style="medium"/>
      <diagonal/>
    </border>
    <border diagonalUp="false" diagonalDown="false">
      <left style="thin"/>
      <right style="thin"/>
      <top/>
      <bottom style="medium"/>
      <diagonal/>
    </border>
    <border diagonalUp="false" diagonalDown="false">
      <left style="thin"/>
      <right style="medium"/>
      <top/>
      <bottom style="medium"/>
      <diagonal/>
    </border>
    <border diagonalUp="false" diagonalDown="false">
      <left/>
      <right/>
      <top style="thin"/>
      <bottom style="thin"/>
      <diagonal/>
    </border>
    <border diagonalUp="false" diagonalDown="false">
      <left/>
      <right style="thin"/>
      <top style="thin"/>
      <bottom style="thin"/>
      <diagonal/>
    </border>
    <border diagonalUp="false" diagonalDown="false">
      <left style="hair"/>
      <right style="hair"/>
      <top style="hair"/>
      <bottom style="hair"/>
      <diagonal/>
    </border>
    <border diagonalUp="false" diagonalDown="false">
      <left/>
      <right style="hair">
        <color rgb="FFBFBFBF"/>
      </right>
      <top/>
      <bottom style="hair">
        <color rgb="FFBFBFBF"/>
      </bottom>
      <diagonal/>
    </border>
    <border diagonalUp="false" diagonalDown="false">
      <left/>
      <right style="hair">
        <color rgb="FFBFBFBF"/>
      </right>
      <top style="hair">
        <color rgb="FFBFBFBF"/>
      </top>
      <bottom style="hair">
        <color rgb="FFBFBFBF"/>
      </bottom>
      <diagonal/>
    </border>
    <border diagonalUp="false" diagonalDown="false">
      <left/>
      <right style="hair">
        <color rgb="FFBFBFBF"/>
      </right>
      <top style="hair">
        <color rgb="FFBFBFBF"/>
      </top>
      <bottom/>
      <diagonal/>
    </border>
    <border diagonalUp="false" diagonalDown="false">
      <left/>
      <right/>
      <top style="medium"/>
      <bottom style="thin"/>
      <diagonal/>
    </border>
    <border diagonalUp="false" diagonalDown="false">
      <left/>
      <right style="medium"/>
      <top style="medium"/>
      <bottom style="thin"/>
      <diagonal/>
    </border>
    <border diagonalUp="false" diagonalDown="false">
      <left/>
      <right style="medium"/>
      <top/>
      <bottom style="thin"/>
      <diagonal/>
    </border>
    <border diagonalUp="false" diagonalDown="false">
      <left/>
      <right style="medium"/>
      <top style="thin"/>
      <bottom/>
      <diagonal/>
    </border>
    <border diagonalUp="false" diagonalDown="false">
      <left/>
      <right style="medium"/>
      <top/>
      <bottom/>
      <diagonal/>
    </border>
    <border diagonalUp="false" diagonalDown="false">
      <left style="medium"/>
      <right style="thin"/>
      <top style="thin"/>
      <bottom style="medium"/>
      <diagonal/>
    </border>
    <border diagonalUp="false" diagonalDown="false">
      <left style="thin"/>
      <right/>
      <top style="thin"/>
      <bottom style="medium"/>
      <diagonal/>
    </border>
    <border diagonalUp="false" diagonalDown="false">
      <left/>
      <right/>
      <top style="thin"/>
      <bottom style="medium"/>
      <diagonal/>
    </border>
    <border diagonalUp="false" diagonalDown="false">
      <left/>
      <right style="medium"/>
      <top style="thin"/>
      <bottom style="medium"/>
      <diagonal/>
    </border>
    <border diagonalUp="false" diagonalDown="false">
      <left style="thin">
        <color rgb="FFFFFFFF"/>
      </left>
      <right style="thin">
        <color rgb="FFFFFFFF"/>
      </right>
      <top/>
      <bottom/>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left"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cellStyleXfs>
  <cellXfs count="12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90" wrapText="false" indent="0" shrinkToFit="false"/>
      <protection locked="true" hidden="false"/>
    </xf>
    <xf numFmtId="164" fontId="0" fillId="0" borderId="0" xfId="0" applyFont="true" applyBorder="false" applyAlignment="true" applyProtection="false">
      <alignment horizontal="center" vertical="center" textRotation="90" wrapText="true" indent="0" shrinkToFit="false"/>
      <protection locked="true" hidden="false"/>
    </xf>
    <xf numFmtId="164" fontId="0" fillId="0" borderId="0" xfId="0" applyFont="true" applyBorder="false" applyAlignment="true" applyProtection="false">
      <alignment horizontal="center" vertical="center" textRotation="90" wrapText="fals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64" fontId="0" fillId="2" borderId="0" xfId="0" applyFont="true" applyBorder="false" applyAlignment="true" applyProtection="false">
      <alignment horizontal="center" vertical="center" textRotation="45" wrapText="false" indent="0" shrinkToFit="false"/>
      <protection locked="true" hidden="false"/>
    </xf>
    <xf numFmtId="164" fontId="0" fillId="0" borderId="0" xfId="0" applyFont="true" applyBorder="false" applyAlignment="true" applyProtection="false">
      <alignment horizontal="center" vertical="center" textRotation="45" wrapText="false" indent="0" shrinkToFit="false"/>
      <protection locked="true" hidden="false"/>
    </xf>
    <xf numFmtId="164" fontId="0" fillId="3" borderId="0" xfId="0" applyFont="true" applyBorder="false" applyAlignment="true" applyProtection="false">
      <alignment horizontal="center" vertical="center" textRotation="45" wrapText="false" indent="0" shrinkToFit="false"/>
      <protection locked="true" hidden="false"/>
    </xf>
    <xf numFmtId="164" fontId="0" fillId="4" borderId="0" xfId="0" applyFont="true" applyBorder="false" applyAlignment="true" applyProtection="false">
      <alignment horizontal="center" vertical="center" textRotation="45" wrapText="false" indent="0" shrinkToFit="false"/>
      <protection locked="true" hidden="false"/>
    </xf>
    <xf numFmtId="164" fontId="5" fillId="4" borderId="1" xfId="0" applyFont="true" applyBorder="true" applyAlignment="true" applyProtection="false">
      <alignment horizontal="center" vertical="center" textRotation="45" wrapText="false" indent="0" shrinkToFit="false"/>
      <protection locked="true" hidden="false"/>
    </xf>
    <xf numFmtId="164" fontId="5" fillId="4" borderId="0" xfId="0" applyFont="true" applyBorder="true" applyAlignment="true" applyProtection="false">
      <alignment horizontal="center" vertical="center" textRotation="45" wrapText="false" indent="0" shrinkToFit="false"/>
      <protection locked="true" hidden="false"/>
    </xf>
    <xf numFmtId="164" fontId="0" fillId="0" borderId="0" xfId="0" applyFont="false" applyBorder="false" applyAlignment="true" applyProtection="false">
      <alignment horizontal="center" vertical="center" textRotation="45" wrapText="fals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right" vertical="center" textRotation="0" wrapText="fals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64" fontId="0" fillId="0" borderId="2" xfId="0" applyFont="true" applyBorder="true" applyAlignment="true" applyProtection="false">
      <alignment horizontal="center" vertical="center" textRotation="0" wrapText="false" indent="0" shrinkToFit="false"/>
      <protection locked="true" hidden="false"/>
    </xf>
    <xf numFmtId="164" fontId="0" fillId="5" borderId="3" xfId="0" applyFont="true" applyBorder="true" applyAlignment="true" applyProtection="false">
      <alignment horizontal="right" vertical="center" textRotation="0" wrapText="false" indent="0" shrinkToFit="false"/>
      <protection locked="true" hidden="false"/>
    </xf>
    <xf numFmtId="164" fontId="0" fillId="6" borderId="3" xfId="0" applyFont="true" applyBorder="true" applyAlignment="true" applyProtection="false">
      <alignment horizontal="right" vertical="center" textRotation="0" wrapText="false" indent="0" shrinkToFit="false"/>
      <protection locked="true" hidden="false"/>
    </xf>
    <xf numFmtId="164" fontId="0" fillId="6" borderId="4" xfId="0" applyFont="true" applyBorder="true" applyAlignment="true" applyProtection="false">
      <alignment horizontal="right" vertical="center" textRotation="0" wrapText="false" indent="0" shrinkToFit="false"/>
      <protection locked="true" hidden="false"/>
    </xf>
    <xf numFmtId="164" fontId="6" fillId="0" borderId="5" xfId="0" applyFont="true" applyBorder="true" applyAlignment="true" applyProtection="false">
      <alignment horizontal="center" vertical="center" textRotation="45" wrapText="true" indent="0" shrinkToFit="false"/>
      <protection locked="true" hidden="false"/>
    </xf>
    <xf numFmtId="164" fontId="6" fillId="0" borderId="5" xfId="0" applyFont="true" applyBorder="true" applyAlignment="true" applyProtection="false">
      <alignment horizontal="right" vertical="bottom" textRotation="0" wrapText="true" indent="0" shrinkToFit="false"/>
      <protection locked="true" hidden="false"/>
    </xf>
    <xf numFmtId="164" fontId="6" fillId="0" borderId="5" xfId="0" applyFont="true" applyBorder="true" applyAlignment="true" applyProtection="false">
      <alignment horizontal="center" vertical="bottom" textRotation="0" wrapText="true" indent="0" shrinkToFit="false"/>
      <protection locked="true" hidden="false"/>
    </xf>
    <xf numFmtId="164" fontId="6" fillId="0" borderId="5" xfId="0" applyFont="true" applyBorder="true" applyAlignment="true" applyProtection="false">
      <alignment horizontal="general" vertical="bottom" textRotation="0" wrapText="true" indent="0" shrinkToFit="false"/>
      <protection locked="true" hidden="false"/>
    </xf>
    <xf numFmtId="164" fontId="6" fillId="0" borderId="6" xfId="0" applyFont="true" applyBorder="true" applyAlignment="true" applyProtection="false">
      <alignment horizontal="general" vertical="bottom" textRotation="0" wrapText="true" indent="0" shrinkToFit="false"/>
      <protection locked="true" hidden="false"/>
    </xf>
    <xf numFmtId="164" fontId="6" fillId="0" borderId="6" xfId="0" applyFont="true" applyBorder="true" applyAlignment="true" applyProtection="false">
      <alignment horizontal="center" vertical="bottom" textRotation="0" wrapText="true" indent="0" shrinkToFit="false"/>
      <protection locked="true" hidden="false"/>
    </xf>
    <xf numFmtId="165" fontId="6" fillId="0" borderId="6" xfId="19" applyFont="true" applyBorder="true" applyAlignment="true" applyProtection="true">
      <alignment horizontal="center" vertical="bottom" textRotation="0" wrapText="true" indent="0" shrinkToFit="false"/>
      <protection locked="true" hidden="false"/>
    </xf>
    <xf numFmtId="165" fontId="6" fillId="0" borderId="5" xfId="19" applyFont="true" applyBorder="true" applyAlignment="true" applyProtection="true">
      <alignment horizontal="center" vertical="bottom" textRotation="0" wrapText="true" indent="0" shrinkToFit="false"/>
      <protection locked="true" hidden="false"/>
    </xf>
    <xf numFmtId="165" fontId="6" fillId="0" borderId="5" xfId="19" applyFont="true" applyBorder="true" applyAlignment="true" applyProtection="true">
      <alignment horizontal="general" vertical="bottom" textRotation="0" wrapText="true" indent="0" shrinkToFit="false"/>
      <protection locked="true" hidden="false"/>
    </xf>
    <xf numFmtId="164" fontId="6" fillId="0" borderId="7" xfId="0" applyFont="true" applyBorder="true" applyAlignment="true" applyProtection="false">
      <alignment horizontal="general" vertical="bottom" textRotation="0" wrapText="true" indent="0" shrinkToFit="false"/>
      <protection locked="true" hidden="false"/>
    </xf>
    <xf numFmtId="164" fontId="6" fillId="0" borderId="7" xfId="0" applyFont="true" applyBorder="true" applyAlignment="true" applyProtection="false">
      <alignment horizontal="center" vertical="bottom" textRotation="0" wrapText="true" indent="0" shrinkToFit="false"/>
      <protection locked="true" hidden="false"/>
    </xf>
    <xf numFmtId="165" fontId="6" fillId="0" borderId="7" xfId="19" applyFont="true" applyBorder="true" applyAlignment="true" applyProtection="true">
      <alignment horizontal="center" vertical="bottom" textRotation="0" wrapText="true" indent="0" shrinkToFit="false"/>
      <protection locked="true" hidden="false"/>
    </xf>
    <xf numFmtId="164" fontId="6" fillId="0" borderId="7" xfId="0" applyFont="true" applyBorder="true" applyAlignment="true" applyProtection="false">
      <alignment horizontal="right" vertical="bottom" textRotation="0" wrapText="true" indent="0" shrinkToFit="false"/>
      <protection locked="true" hidden="false"/>
    </xf>
    <xf numFmtId="166" fontId="6" fillId="0" borderId="5" xfId="0" applyFont="true" applyBorder="true" applyAlignment="true" applyProtection="false">
      <alignment horizontal="general" vertical="bottom" textRotation="0" wrapText="true" indent="0" shrinkToFit="false"/>
      <protection locked="true" hidden="false"/>
    </xf>
    <xf numFmtId="164" fontId="8" fillId="0" borderId="0" xfId="0" applyFont="true" applyBorder="true" applyAlignment="false" applyProtection="false">
      <alignment horizontal="general" vertical="bottom" textRotation="0" wrapText="false" indent="0" shrinkToFit="false"/>
      <protection locked="true" hidden="false"/>
    </xf>
    <xf numFmtId="164" fontId="8" fillId="7" borderId="0"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true" applyAlignment="false" applyProtection="false">
      <alignment horizontal="general" vertical="bottom" textRotation="0" wrapText="false" indent="0" shrinkToFit="false"/>
      <protection locked="true" hidden="false"/>
    </xf>
    <xf numFmtId="164" fontId="10" fillId="0" borderId="0" xfId="0" applyFont="true" applyBorder="true" applyAlignment="true" applyProtection="false">
      <alignment horizontal="general" vertical="center" textRotation="0" wrapText="false" indent="0" shrinkToFit="false"/>
      <protection locked="true" hidden="false"/>
    </xf>
    <xf numFmtId="164" fontId="0" fillId="0" borderId="0" xfId="20" applyFont="true" applyBorder="false" applyAlignment="false" applyProtection="false">
      <alignment horizontal="general" vertical="bottom" textRotation="0" wrapText="false" indent="0" shrinkToFit="false"/>
      <protection locked="true" hidden="false"/>
    </xf>
    <xf numFmtId="167" fontId="0" fillId="0" borderId="8" xfId="0" applyFont="true" applyBorder="true" applyAlignment="false" applyProtection="false">
      <alignment horizontal="general"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0" fillId="0" borderId="9" xfId="21" applyFont="false" applyBorder="true" applyAlignment="false" applyProtection="false">
      <alignment horizontal="general" vertical="bottom" textRotation="0" wrapText="false" indent="0" shrinkToFit="false"/>
      <protection locked="true" hidden="false"/>
    </xf>
    <xf numFmtId="164" fontId="0" fillId="0" borderId="10" xfId="20" applyFont="true" applyBorder="true" applyAlignment="false" applyProtection="false">
      <alignment horizontal="general" vertical="bottom" textRotation="0" wrapText="false" indent="0" shrinkToFit="false"/>
      <protection locked="true" hidden="false"/>
    </xf>
    <xf numFmtId="164" fontId="0" fillId="0" borderId="11" xfId="21" applyFont="false" applyBorder="true" applyAlignment="false" applyProtection="false">
      <alignment horizontal="general" vertical="bottom" textRotation="0" wrapText="false" indent="0" shrinkToFit="false"/>
      <protection locked="true" hidden="false"/>
    </xf>
    <xf numFmtId="164" fontId="0" fillId="0" borderId="12" xfId="21" applyFont="false" applyBorder="true" applyAlignment="false" applyProtection="false">
      <alignment horizontal="general" vertical="bottom" textRotation="0" wrapText="false" indent="0" shrinkToFit="false"/>
      <protection locked="true" hidden="false"/>
    </xf>
    <xf numFmtId="164" fontId="0" fillId="0" borderId="13" xfId="21" applyFont="false" applyBorder="true" applyAlignment="false" applyProtection="false">
      <alignment horizontal="general" vertical="bottom" textRotation="0" wrapText="false" indent="0" shrinkToFit="false"/>
      <protection locked="true" hidden="false"/>
    </xf>
    <xf numFmtId="164" fontId="0" fillId="0" borderId="14" xfId="23" applyFont="true" applyBorder="true" applyAlignment="false" applyProtection="false">
      <alignment horizontal="left" vertical="bottom" textRotation="0" wrapText="false" indent="0" shrinkToFit="false"/>
      <protection locked="true" hidden="false"/>
    </xf>
    <xf numFmtId="164" fontId="0" fillId="0" borderId="0" xfId="23" applyFont="false" applyBorder="false" applyAlignment="false" applyProtection="false">
      <alignment horizontal="left" vertical="bottom" textRotation="0" wrapText="false" indent="0" shrinkToFit="false"/>
      <protection locked="true" hidden="false"/>
    </xf>
    <xf numFmtId="164" fontId="4" fillId="0" borderId="15" xfId="24" applyFont="true" applyBorder="true" applyAlignment="false" applyProtection="false">
      <alignment horizontal="left" vertical="bottom" textRotation="0" wrapText="false" indent="0" shrinkToFit="false"/>
      <protection locked="true" hidden="false"/>
    </xf>
    <xf numFmtId="164" fontId="4" fillId="0" borderId="16" xfId="24" applyFont="true" applyBorder="true" applyAlignment="false" applyProtection="false">
      <alignment horizontal="left" vertical="bottom" textRotation="0" wrapText="false" indent="0" shrinkToFit="false"/>
      <protection locked="true" hidden="false"/>
    </xf>
    <xf numFmtId="164" fontId="0" fillId="0" borderId="17" xfId="20" applyFont="true" applyBorder="true" applyAlignment="false" applyProtection="false">
      <alignment horizontal="general" vertical="bottom" textRotation="0" wrapText="false" indent="0" shrinkToFit="false"/>
      <protection locked="true" hidden="false"/>
    </xf>
    <xf numFmtId="164" fontId="0" fillId="0" borderId="18" xfId="23" applyFont="false" applyBorder="true" applyAlignment="false" applyProtection="false">
      <alignment horizontal="left" vertical="bottom" textRotation="0" wrapText="false" indent="0" shrinkToFit="false"/>
      <protection locked="true" hidden="false"/>
    </xf>
    <xf numFmtId="164" fontId="0" fillId="0" borderId="19" xfId="23" applyFont="false" applyBorder="true" applyAlignment="false" applyProtection="false">
      <alignment horizontal="left" vertical="bottom" textRotation="0" wrapText="false" indent="0" shrinkToFit="false"/>
      <protection locked="true" hidden="false"/>
    </xf>
    <xf numFmtId="164" fontId="4" fillId="0" borderId="20" xfId="24" applyFont="false" applyBorder="true" applyAlignment="false" applyProtection="false">
      <alignment horizontal="left" vertical="bottom" textRotation="0" wrapText="false" indent="0" shrinkToFit="false"/>
      <protection locked="true" hidden="false"/>
    </xf>
    <xf numFmtId="164" fontId="4" fillId="0" borderId="21" xfId="24" applyFont="false" applyBorder="true" applyAlignment="false" applyProtection="false">
      <alignment horizontal="left" vertical="bottom" textRotation="0" wrapText="false" indent="0" shrinkToFit="false"/>
      <protection locked="true" hidden="false"/>
    </xf>
    <xf numFmtId="164" fontId="0" fillId="0" borderId="22" xfId="23" applyFont="true" applyBorder="true" applyAlignment="false" applyProtection="false">
      <alignment horizontal="left" vertical="bottom" textRotation="0" wrapText="false" indent="0" shrinkToFit="false"/>
      <protection locked="true" hidden="false"/>
    </xf>
    <xf numFmtId="164" fontId="0" fillId="0" borderId="23" xfId="22" applyFont="false" applyBorder="true" applyAlignment="false" applyProtection="false">
      <alignment horizontal="general" vertical="bottom" textRotation="0" wrapText="false" indent="0" shrinkToFit="false"/>
      <protection locked="true" hidden="false"/>
    </xf>
    <xf numFmtId="164" fontId="0" fillId="0" borderId="24" xfId="22" applyFont="false" applyBorder="true" applyAlignment="false" applyProtection="false">
      <alignment horizontal="general" vertical="bottom" textRotation="0" wrapText="false" indent="0" shrinkToFit="false"/>
      <protection locked="true" hidden="false"/>
    </xf>
    <xf numFmtId="164" fontId="0" fillId="0" borderId="25" xfId="22" applyFont="false" applyBorder="true" applyAlignment="false" applyProtection="false">
      <alignment horizontal="general" vertical="bottom" textRotation="0" wrapText="false" indent="0" shrinkToFit="false"/>
      <protection locked="true" hidden="false"/>
    </xf>
    <xf numFmtId="164" fontId="4" fillId="0" borderId="15" xfId="25" applyFont="false" applyBorder="true" applyAlignment="false" applyProtection="false">
      <alignment horizontal="general" vertical="bottom" textRotation="0" wrapText="false" indent="0" shrinkToFit="false"/>
      <protection locked="true" hidden="false"/>
    </xf>
    <xf numFmtId="164" fontId="4" fillId="0" borderId="16" xfId="25" applyFont="false" applyBorder="true" applyAlignment="false" applyProtection="false">
      <alignment horizontal="general" vertical="bottom" textRotation="0" wrapText="false" indent="0" shrinkToFit="false"/>
      <protection locked="true" hidden="false"/>
    </xf>
    <xf numFmtId="164" fontId="0" fillId="0" borderId="13" xfId="23" applyFont="true" applyBorder="true" applyAlignment="false" applyProtection="false">
      <alignment horizontal="left" vertical="bottom" textRotation="0" wrapText="false" indent="0" shrinkToFit="false"/>
      <protection locked="true" hidden="false"/>
    </xf>
    <xf numFmtId="164" fontId="0" fillId="0" borderId="14" xfId="22" applyFont="false" applyBorder="true" applyAlignment="false" applyProtection="false">
      <alignment horizontal="general" vertical="bottom" textRotation="0" wrapText="false" indent="0" shrinkToFit="false"/>
      <protection locked="true" hidden="false"/>
    </xf>
    <xf numFmtId="164" fontId="0" fillId="0" borderId="0" xfId="22" applyFont="false" applyBorder="false" applyAlignment="false" applyProtection="false">
      <alignment horizontal="general" vertical="bottom" textRotation="0" wrapText="false" indent="0" shrinkToFit="false"/>
      <protection locked="true" hidden="false"/>
    </xf>
    <xf numFmtId="164" fontId="0" fillId="0" borderId="26" xfId="22" applyFont="false" applyBorder="true" applyAlignment="false" applyProtection="false">
      <alignment horizontal="general" vertical="bottom" textRotation="0" wrapText="false" indent="0" shrinkToFit="false"/>
      <protection locked="true" hidden="false"/>
    </xf>
    <xf numFmtId="164" fontId="4" fillId="0" borderId="27" xfId="25" applyFont="false" applyBorder="true" applyAlignment="false" applyProtection="false">
      <alignment horizontal="general" vertical="bottom" textRotation="0" wrapText="false" indent="0" shrinkToFit="false"/>
      <protection locked="true" hidden="false"/>
    </xf>
    <xf numFmtId="164" fontId="4" fillId="0" borderId="28" xfId="25" applyFont="false" applyBorder="true" applyAlignment="false" applyProtection="false">
      <alignment horizontal="general" vertical="bottom" textRotation="0" wrapText="false" indent="0" shrinkToFit="false"/>
      <protection locked="true" hidden="false"/>
    </xf>
    <xf numFmtId="164" fontId="0" fillId="0" borderId="14" xfId="22" applyFont="false" applyBorder="true" applyAlignment="false" applyProtection="false">
      <alignment horizontal="general" vertical="bottom" textRotation="0" wrapText="false" indent="0" shrinkToFit="false"/>
      <protection locked="true" hidden="false"/>
    </xf>
    <xf numFmtId="164" fontId="0" fillId="0" borderId="0" xfId="22" applyFont="false" applyBorder="false" applyAlignment="false" applyProtection="false">
      <alignment horizontal="general" vertical="bottom" textRotation="0" wrapText="false" indent="0" shrinkToFit="false"/>
      <protection locked="true" hidden="false"/>
    </xf>
    <xf numFmtId="164" fontId="0" fillId="0" borderId="26" xfId="22" applyFont="false" applyBorder="true" applyAlignment="false" applyProtection="false">
      <alignment horizontal="general" vertical="bottom" textRotation="0" wrapText="false" indent="0" shrinkToFit="false"/>
      <protection locked="true" hidden="false"/>
    </xf>
    <xf numFmtId="164" fontId="9" fillId="8" borderId="0" xfId="0" applyFont="true" applyBorder="true" applyAlignment="true" applyProtection="false">
      <alignment horizontal="center" vertical="center" textRotation="0" wrapText="false" indent="0" shrinkToFit="false"/>
      <protection locked="true" hidden="false"/>
    </xf>
    <xf numFmtId="164" fontId="9" fillId="9" borderId="0" xfId="0" applyFont="true" applyBorder="true" applyAlignment="true" applyProtection="false">
      <alignment horizontal="center" vertical="center" textRotation="0" wrapText="false" indent="0" shrinkToFit="false"/>
      <protection locked="true" hidden="false"/>
    </xf>
    <xf numFmtId="164" fontId="9" fillId="9" borderId="0" xfId="0" applyFont="true" applyBorder="true" applyAlignment="false" applyProtection="false">
      <alignment horizontal="general" vertical="bottom" textRotation="0" wrapText="false" indent="0" shrinkToFit="false"/>
      <protection locked="true" hidden="false"/>
    </xf>
    <xf numFmtId="164" fontId="0" fillId="0" borderId="29" xfId="23" applyFont="true" applyBorder="true" applyAlignment="false" applyProtection="false">
      <alignment horizontal="left" vertical="bottom" textRotation="0" wrapText="false" indent="0" shrinkToFit="false"/>
      <protection locked="true" hidden="false"/>
    </xf>
    <xf numFmtId="164" fontId="0" fillId="0" borderId="30" xfId="22" applyFont="false" applyBorder="true" applyAlignment="false" applyProtection="false">
      <alignment horizontal="general" vertical="bottom" textRotation="0" wrapText="false" indent="0" shrinkToFit="false"/>
      <protection locked="true" hidden="false"/>
    </xf>
    <xf numFmtId="164" fontId="0" fillId="0" borderId="31" xfId="22" applyFont="false" applyBorder="true" applyAlignment="false" applyProtection="false">
      <alignment horizontal="general" vertical="bottom" textRotation="0" wrapText="false" indent="0" shrinkToFit="false"/>
      <protection locked="true" hidden="false"/>
    </xf>
    <xf numFmtId="164" fontId="0" fillId="0" borderId="32" xfId="22" applyFont="false" applyBorder="true" applyAlignment="false" applyProtection="false">
      <alignment horizontal="general" vertical="bottom" textRotation="0" wrapText="false" indent="0" shrinkToFit="false"/>
      <protection locked="true" hidden="false"/>
    </xf>
    <xf numFmtId="164" fontId="4" fillId="0" borderId="33" xfId="25" applyFont="false" applyBorder="true" applyAlignment="false" applyProtection="false">
      <alignment horizontal="general" vertical="bottom" textRotation="0" wrapText="false" indent="0" shrinkToFit="false"/>
      <protection locked="true" hidden="false"/>
    </xf>
    <xf numFmtId="164" fontId="4" fillId="0" borderId="34" xfId="25" applyFont="fals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true" applyProtection="false">
      <alignment horizontal="general" vertical="center" textRotation="0" wrapText="false" indent="0" shrinkToFit="false"/>
      <protection locked="true" hidden="false"/>
    </xf>
    <xf numFmtId="164" fontId="14" fillId="10" borderId="0" xfId="0" applyFont="true" applyBorder="false" applyAlignment="false" applyProtection="false">
      <alignment horizontal="general" vertical="bottom" textRotation="0" wrapText="false" indent="0" shrinkToFit="false"/>
      <protection locked="true" hidden="false"/>
    </xf>
    <xf numFmtId="164" fontId="15" fillId="10" borderId="0" xfId="0" applyFont="true" applyBorder="false" applyAlignment="true" applyProtection="false">
      <alignment horizontal="general" vertical="center"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8" fillId="8" borderId="0" xfId="0" applyFont="true" applyBorder="true" applyAlignment="true" applyProtection="false">
      <alignment horizontal="center" vertical="center" textRotation="0" wrapText="false" indent="0" shrinkToFit="false"/>
      <protection locked="true" hidden="false"/>
    </xf>
    <xf numFmtId="164" fontId="0" fillId="7" borderId="0" xfId="0" applyFont="false" applyBorder="false" applyAlignment="true" applyProtection="false">
      <alignment horizontal="center" vertical="bottom" textRotation="0" wrapText="false" indent="0" shrinkToFit="false"/>
      <protection locked="true" hidden="false"/>
    </xf>
    <xf numFmtId="164" fontId="0" fillId="10" borderId="0" xfId="0" applyFont="true" applyBorder="false" applyAlignment="true" applyProtection="false">
      <alignment horizontal="general" vertical="center" textRotation="0" wrapText="false" indent="0" shrinkToFit="false"/>
      <protection locked="true" hidden="false"/>
    </xf>
    <xf numFmtId="164" fontId="16" fillId="10" borderId="8" xfId="0" applyFont="true" applyBorder="true" applyAlignment="true" applyProtection="false">
      <alignment horizontal="center" vertical="bottom" textRotation="45" wrapText="false" indent="0" shrinkToFit="false"/>
      <protection locked="true" hidden="false"/>
    </xf>
    <xf numFmtId="164" fontId="16" fillId="10" borderId="0" xfId="0" applyFont="true" applyBorder="false" applyAlignment="true" applyProtection="false">
      <alignment horizontal="center" vertical="bottom" textRotation="45" wrapText="false" indent="0" shrinkToFit="false"/>
      <protection locked="true" hidden="false"/>
    </xf>
    <xf numFmtId="164" fontId="16" fillId="10" borderId="35" xfId="0" applyFont="true" applyBorder="true" applyAlignment="true" applyProtection="false">
      <alignment horizontal="center" vertical="bottom" textRotation="45" wrapText="false" indent="0" shrinkToFit="false"/>
      <protection locked="true" hidden="false"/>
    </xf>
    <xf numFmtId="164" fontId="16" fillId="10" borderId="36" xfId="0" applyFont="true" applyBorder="true" applyAlignment="true" applyProtection="false">
      <alignment horizontal="center" vertical="bottom" textRotation="45" wrapText="false" indent="0" shrinkToFit="false"/>
      <protection locked="true" hidden="false"/>
    </xf>
    <xf numFmtId="164" fontId="8" fillId="11" borderId="37" xfId="0" applyFont="true" applyBorder="true" applyAlignment="true" applyProtection="false">
      <alignment horizontal="center" vertical="bottom" textRotation="0" wrapText="false" indent="0" shrinkToFit="false"/>
      <protection locked="true" hidden="false"/>
    </xf>
    <xf numFmtId="164" fontId="0" fillId="0" borderId="38"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8"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37" xfId="0" applyFont="false" applyBorder="true" applyAlignment="true" applyProtection="false">
      <alignment horizontal="general" vertical="center" textRotation="0" wrapText="false" indent="0" shrinkToFit="false"/>
      <protection locked="true" hidden="false"/>
    </xf>
    <xf numFmtId="164" fontId="0" fillId="0" borderId="39" xfId="0" applyFont="false" applyBorder="true" applyAlignment="true" applyProtection="false">
      <alignment horizontal="center" vertical="center" textRotation="0" wrapText="false" indent="0" shrinkToFit="false"/>
      <protection locked="true" hidden="false"/>
    </xf>
    <xf numFmtId="164" fontId="0" fillId="0" borderId="40" xfId="0" applyFont="false" applyBorder="true" applyAlignment="true" applyProtection="false">
      <alignment horizontal="center" vertical="center" textRotation="0" wrapText="false" indent="0" shrinkToFit="false"/>
      <protection locked="true" hidden="false"/>
    </xf>
    <xf numFmtId="164" fontId="0" fillId="0" borderId="41" xfId="21" applyFont="false" applyBorder="true" applyAlignment="false" applyProtection="false">
      <alignment horizontal="general" vertical="bottom" textRotation="0" wrapText="false" indent="0" shrinkToFit="false"/>
      <protection locked="true" hidden="false"/>
    </xf>
    <xf numFmtId="164" fontId="0" fillId="0" borderId="42" xfId="21" applyFont="false" applyBorder="true" applyAlignment="false" applyProtection="false">
      <alignment horizontal="general" vertical="bottom" textRotation="0" wrapText="false" indent="0" shrinkToFit="false"/>
      <protection locked="true" hidden="false"/>
    </xf>
    <xf numFmtId="164" fontId="0" fillId="0" borderId="43" xfId="23" applyFont="true" applyBorder="true" applyAlignment="false" applyProtection="false">
      <alignment horizontal="left" vertical="bottom" textRotation="0" wrapText="false" indent="0" shrinkToFit="false"/>
      <protection locked="true" hidden="false"/>
    </xf>
    <xf numFmtId="164" fontId="0" fillId="0" borderId="44" xfId="22" applyFont="false" applyBorder="true" applyAlignment="false" applyProtection="false">
      <alignment horizontal="general" vertical="bottom" textRotation="0" wrapText="false" indent="0" shrinkToFit="false"/>
      <protection locked="true" hidden="false"/>
    </xf>
    <xf numFmtId="164" fontId="0" fillId="0" borderId="45" xfId="22" applyFont="false" applyBorder="true" applyAlignment="false" applyProtection="false">
      <alignment horizontal="general" vertical="bottom" textRotation="0" wrapText="false" indent="0" shrinkToFit="false"/>
      <protection locked="true" hidden="false"/>
    </xf>
    <xf numFmtId="164" fontId="0" fillId="0" borderId="18" xfId="22" applyFont="false" applyBorder="true" applyAlignment="false" applyProtection="false">
      <alignment horizontal="general" vertical="bottom" textRotation="0" wrapText="false" indent="0" shrinkToFit="false"/>
      <protection locked="true" hidden="false"/>
    </xf>
    <xf numFmtId="164" fontId="0" fillId="0" borderId="19" xfId="22" applyFont="false" applyBorder="true" applyAlignment="false" applyProtection="false">
      <alignment horizontal="general" vertical="bottom" textRotation="0" wrapText="false" indent="0" shrinkToFit="false"/>
      <protection locked="true" hidden="false"/>
    </xf>
    <xf numFmtId="164" fontId="0" fillId="0" borderId="19" xfId="22" applyFont="false" applyBorder="true" applyAlignment="false" applyProtection="false">
      <alignment horizontal="general" vertical="bottom" textRotation="0" wrapText="false" indent="0" shrinkToFit="false"/>
      <protection locked="true" hidden="false"/>
    </xf>
    <xf numFmtId="164" fontId="0" fillId="0" borderId="43" xfId="22" applyFont="false" applyBorder="true" applyAlignment="false" applyProtection="false">
      <alignment horizontal="general" vertical="bottom" textRotation="0" wrapText="false" indent="0" shrinkToFit="false"/>
      <protection locked="true" hidden="false"/>
    </xf>
    <xf numFmtId="164" fontId="4" fillId="0" borderId="46" xfId="24" applyFont="true" applyBorder="true" applyAlignment="false" applyProtection="false">
      <alignment horizontal="left" vertical="bottom" textRotation="0" wrapText="false" indent="0" shrinkToFit="false"/>
      <protection locked="true" hidden="false"/>
    </xf>
    <xf numFmtId="164" fontId="4" fillId="0" borderId="47" xfId="25" applyFont="false" applyBorder="true" applyAlignment="false" applyProtection="false">
      <alignment horizontal="general" vertical="bottom" textRotation="0" wrapText="false" indent="0" shrinkToFit="false"/>
      <protection locked="true" hidden="false"/>
    </xf>
    <xf numFmtId="164" fontId="4" fillId="0" borderId="48" xfId="25" applyFont="false" applyBorder="true" applyAlignment="false" applyProtection="false">
      <alignment horizontal="general" vertical="bottom" textRotation="0" wrapText="false" indent="0" shrinkToFit="false"/>
      <protection locked="true" hidden="false"/>
    </xf>
    <xf numFmtId="164" fontId="4" fillId="0" borderId="48" xfId="25" applyFont="false" applyBorder="true" applyAlignment="false" applyProtection="false">
      <alignment horizontal="general" vertical="bottom" textRotation="0" wrapText="false" indent="0" shrinkToFit="false"/>
      <protection locked="true" hidden="false"/>
    </xf>
    <xf numFmtId="164" fontId="4" fillId="0" borderId="49" xfId="25" applyFont="fals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5" fillId="3" borderId="1" xfId="0" applyFont="true" applyBorder="true" applyAlignment="true" applyProtection="false">
      <alignment horizontal="center" vertical="center" textRotation="90" wrapText="false" indent="0" shrinkToFit="false"/>
      <protection locked="true" hidden="false"/>
    </xf>
    <xf numFmtId="164" fontId="5" fillId="0" borderId="50" xfId="0" applyFont="true" applyBorder="true" applyAlignment="true" applyProtection="false">
      <alignment horizontal="center" vertical="center" textRotation="90" wrapText="fals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cellXfs>
  <cellStyles count="1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Pivot Table Field" xfId="20" builtinId="54" customBuiltin="true"/>
    <cellStyle name="Pivot Table Corner" xfId="21" builtinId="54" customBuiltin="true"/>
    <cellStyle name="Pivot Table Value" xfId="22" builtinId="54" customBuiltin="true"/>
    <cellStyle name="Pivot Table Category" xfId="23" builtinId="54" customBuiltin="true"/>
    <cellStyle name="Pivot Table Title" xfId="24" builtinId="54" customBuiltin="true"/>
    <cellStyle name="Pivot Table Result" xfId="25" builtinId="54" customBuiltin="true"/>
  </cellStyles>
  <dxfs count="1">
    <dxf>
      <font>
        <sz val="11"/>
        <color rgb="FFFFFF00"/>
        <name val="Calibri"/>
        <family val="2"/>
        <charset val="1"/>
      </font>
      <fill>
        <patternFill>
          <bgColor rgb="FFFF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595959"/>
      <rgbColor rgb="FFA6A6A6"/>
      <rgbColor rgb="FF993366"/>
      <rgbColor rgb="FFEDEDED"/>
      <rgbColor rgb="FFDEEBF7"/>
      <rgbColor rgb="FF660066"/>
      <rgbColor rgb="FFFF7C80"/>
      <rgbColor rgb="FF0066CC"/>
      <rgbColor rgb="FFBDD7EE"/>
      <rgbColor rgb="FF000080"/>
      <rgbColor rgb="FFFF00FF"/>
      <rgbColor rgb="FFFFFF00"/>
      <rgbColor rgb="FF00FFFF"/>
      <rgbColor rgb="FF800080"/>
      <rgbColor rgb="FF800000"/>
      <rgbColor rgb="FF008080"/>
      <rgbColor rgb="FF0000FF"/>
      <rgbColor rgb="FF00CCFF"/>
      <rgbColor rgb="FFE7E6E6"/>
      <rgbColor rgb="FFD9D9D9"/>
      <rgbColor rgb="FFFFFF99"/>
      <rgbColor rgb="FFCCCCCC"/>
      <rgbColor rgb="FFFF99CC"/>
      <rgbColor rgb="FFCC99FF"/>
      <rgbColor rgb="FFD0CECE"/>
      <rgbColor rgb="FF4472C4"/>
      <rgbColor rgb="FF33CCCC"/>
      <rgbColor rgb="FF99CC00"/>
      <rgbColor rgb="FFFFC000"/>
      <rgbColor rgb="FFFF9900"/>
      <rgbColor rgb="FFED7D31"/>
      <rgbColor rgb="FF666666"/>
      <rgbColor rgb="FFA5A5A5"/>
      <rgbColor rgb="FF002060"/>
      <rgbColor rgb="FF5B9BD5"/>
      <rgbColor rgb="FF003300"/>
      <rgbColor rgb="FF404040"/>
      <rgbColor rgb="FF993300"/>
      <rgbColor rgb="FF993366"/>
      <rgbColor rgb="FF333399"/>
      <rgbColor rgb="FF3B3838"/>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areaChart>
        <c:grouping val="stacked"/>
        <c:ser>
          <c:idx val="0"/>
          <c:order val="0"/>
          <c:tx>
            <c:strRef>
              <c:f>'Team Trend'!$H$3</c:f>
              <c:strCache>
                <c:ptCount val="1"/>
                <c:pt idx="0">
                  <c:v>Data</c:v>
                </c:pt>
              </c:strCache>
            </c:strRef>
          </c:tx>
          <c:spPr>
            <a:solidFill>
              <a:srgbClr val="5b9bd5"/>
            </a:solidFill>
            <a:ln>
              <a:noFill/>
            </a:ln>
          </c:spPr>
          <c:dLbls>
            <c:dLblPos val="ctr"/>
            <c:showLegendKey val="0"/>
            <c:showVal val="0"/>
            <c:showCatName val="0"/>
            <c:showSerName val="0"/>
            <c:showPercent val="0"/>
          </c:dLbls>
          <c:cat>
            <c:strRef>
              <c:f>'Team Trend'!$G$4:$G$12</c:f>
              <c:strCache>
                <c:ptCount val="9"/>
                <c:pt idx="0">
                  <c:v>Match</c:v>
                </c:pt>
                <c:pt idx="1">
                  <c:v>4</c:v>
                </c:pt>
                <c:pt idx="2">
                  <c:v>12</c:v>
                </c:pt>
                <c:pt idx="3">
                  <c:v>16</c:v>
                </c:pt>
                <c:pt idx="4">
                  <c:v>19</c:v>
                </c:pt>
                <c:pt idx="5">
                  <c:v>25</c:v>
                </c:pt>
                <c:pt idx="6">
                  <c:v>34</c:v>
                </c:pt>
                <c:pt idx="7">
                  <c:v>40</c:v>
                </c:pt>
                <c:pt idx="8">
                  <c:v>45</c:v>
                </c:pt>
              </c:strCache>
            </c:strRef>
          </c:cat>
          <c:val>
            <c:numRef>
              <c:f>'Team Trend'!$H$4:$H$12</c:f>
              <c:numCache>
                <c:formatCode>General</c:formatCode>
                <c:ptCount val="9"/>
                <c:pt idx="0">
                  <c:v/>
                </c:pt>
                <c:pt idx="1">
                  <c:v/>
                </c:pt>
                <c:pt idx="2">
                  <c:v/>
                </c:pt>
                <c:pt idx="3">
                  <c:v/>
                </c:pt>
                <c:pt idx="4">
                  <c:v/>
                </c:pt>
                <c:pt idx="5">
                  <c:v/>
                </c:pt>
                <c:pt idx="6">
                  <c:v/>
                </c:pt>
                <c:pt idx="7">
                  <c:v/>
                </c:pt>
                <c:pt idx="8">
                  <c:v/>
                </c:pt>
              </c:numCache>
            </c:numRef>
          </c:val>
        </c:ser>
        <c:ser>
          <c:idx val="1"/>
          <c:order val="1"/>
          <c:tx>
            <c:strRef>
              <c:f>'Team Trend'!$I$3</c:f>
              <c:strCache>
                <c:ptCount val="1"/>
                <c:pt idx="0">
                  <c:v/>
                </c:pt>
              </c:strCache>
            </c:strRef>
          </c:tx>
          <c:spPr>
            <a:solidFill>
              <a:srgbClr val="ed7d31"/>
            </a:solidFill>
            <a:ln>
              <a:noFill/>
            </a:ln>
          </c:spPr>
          <c:dLbls>
            <c:dLblPos val="ctr"/>
            <c:showLegendKey val="0"/>
            <c:showVal val="0"/>
            <c:showCatName val="0"/>
            <c:showSerName val="0"/>
            <c:showPercent val="0"/>
          </c:dLbls>
          <c:cat>
            <c:strRef>
              <c:f>'Team Trend'!$G$4:$G$12</c:f>
              <c:strCache>
                <c:ptCount val="9"/>
                <c:pt idx="0">
                  <c:v>Match</c:v>
                </c:pt>
                <c:pt idx="1">
                  <c:v>4</c:v>
                </c:pt>
                <c:pt idx="2">
                  <c:v>12</c:v>
                </c:pt>
                <c:pt idx="3">
                  <c:v>16</c:v>
                </c:pt>
                <c:pt idx="4">
                  <c:v>19</c:v>
                </c:pt>
                <c:pt idx="5">
                  <c:v>25</c:v>
                </c:pt>
                <c:pt idx="6">
                  <c:v>34</c:v>
                </c:pt>
                <c:pt idx="7">
                  <c:v>40</c:v>
                </c:pt>
                <c:pt idx="8">
                  <c:v>45</c:v>
                </c:pt>
              </c:strCache>
            </c:strRef>
          </c:cat>
          <c:val>
            <c:numRef>
              <c:f>'Team Trend'!$I$4:$I$12</c:f>
              <c:numCache>
                <c:formatCode>General</c:formatCode>
                <c:ptCount val="9"/>
                <c:pt idx="0">
                  <c:v/>
                </c:pt>
                <c:pt idx="1">
                  <c:v/>
                </c:pt>
                <c:pt idx="2">
                  <c:v/>
                </c:pt>
                <c:pt idx="3">
                  <c:v/>
                </c:pt>
                <c:pt idx="4">
                  <c:v/>
                </c:pt>
                <c:pt idx="5">
                  <c:v/>
                </c:pt>
                <c:pt idx="6">
                  <c:v/>
                </c:pt>
                <c:pt idx="7">
                  <c:v/>
                </c:pt>
                <c:pt idx="8">
                  <c:v/>
                </c:pt>
              </c:numCache>
            </c:numRef>
          </c:val>
        </c:ser>
        <c:ser>
          <c:idx val="2"/>
          <c:order val="2"/>
          <c:tx>
            <c:strRef>
              <c:f>'Team Trend'!$J$3</c:f>
              <c:strCache>
                <c:ptCount val="1"/>
                <c:pt idx="0">
                  <c:v/>
                </c:pt>
              </c:strCache>
            </c:strRef>
          </c:tx>
          <c:spPr>
            <a:solidFill>
              <a:srgbClr val="a5a5a5"/>
            </a:solidFill>
            <a:ln>
              <a:noFill/>
            </a:ln>
          </c:spPr>
          <c:dLbls>
            <c:dLblPos val="ctr"/>
            <c:showLegendKey val="0"/>
            <c:showVal val="0"/>
            <c:showCatName val="0"/>
            <c:showSerName val="0"/>
            <c:showPercent val="0"/>
          </c:dLbls>
          <c:cat>
            <c:strRef>
              <c:f>'Team Trend'!$G$4:$G$12</c:f>
              <c:strCache>
                <c:ptCount val="9"/>
                <c:pt idx="0">
                  <c:v>Match</c:v>
                </c:pt>
                <c:pt idx="1">
                  <c:v>4</c:v>
                </c:pt>
                <c:pt idx="2">
                  <c:v>12</c:v>
                </c:pt>
                <c:pt idx="3">
                  <c:v>16</c:v>
                </c:pt>
                <c:pt idx="4">
                  <c:v>19</c:v>
                </c:pt>
                <c:pt idx="5">
                  <c:v>25</c:v>
                </c:pt>
                <c:pt idx="6">
                  <c:v>34</c:v>
                </c:pt>
                <c:pt idx="7">
                  <c:v>40</c:v>
                </c:pt>
                <c:pt idx="8">
                  <c:v>45</c:v>
                </c:pt>
              </c:strCache>
            </c:strRef>
          </c:cat>
          <c:val>
            <c:numRef>
              <c:f>'Team Trend'!$J$4:$J$12</c:f>
              <c:numCache>
                <c:formatCode>General</c:formatCode>
                <c:ptCount val="9"/>
                <c:pt idx="0">
                  <c:v/>
                </c:pt>
                <c:pt idx="1">
                  <c:v/>
                </c:pt>
                <c:pt idx="2">
                  <c:v/>
                </c:pt>
                <c:pt idx="3">
                  <c:v>3</c:v>
                </c:pt>
                <c:pt idx="4">
                  <c:v>7</c:v>
                </c:pt>
                <c:pt idx="5">
                  <c:v>4</c:v>
                </c:pt>
                <c:pt idx="6">
                  <c:v>4</c:v>
                </c:pt>
                <c:pt idx="7">
                  <c:v>4</c:v>
                </c:pt>
                <c:pt idx="8">
                  <c:v>2</c:v>
                </c:pt>
              </c:numCache>
            </c:numRef>
          </c:val>
        </c:ser>
        <c:ser>
          <c:idx val="3"/>
          <c:order val="3"/>
          <c:tx>
            <c:strRef>
              <c:f>'Team Trend'!$K$3</c:f>
              <c:strCache>
                <c:ptCount val="1"/>
                <c:pt idx="0">
                  <c:v/>
                </c:pt>
              </c:strCache>
            </c:strRef>
          </c:tx>
          <c:spPr>
            <a:solidFill>
              <a:srgbClr val="ffc000"/>
            </a:solidFill>
            <a:ln>
              <a:noFill/>
            </a:ln>
          </c:spPr>
          <c:dLbls>
            <c:dLblPos val="ctr"/>
            <c:showLegendKey val="0"/>
            <c:showVal val="0"/>
            <c:showCatName val="0"/>
            <c:showSerName val="0"/>
            <c:showPercent val="0"/>
          </c:dLbls>
          <c:cat>
            <c:strRef>
              <c:f>'Team Trend'!$G$4:$G$12</c:f>
              <c:strCache>
                <c:ptCount val="9"/>
                <c:pt idx="0">
                  <c:v>Match</c:v>
                </c:pt>
                <c:pt idx="1">
                  <c:v>4</c:v>
                </c:pt>
                <c:pt idx="2">
                  <c:v>12</c:v>
                </c:pt>
                <c:pt idx="3">
                  <c:v>16</c:v>
                </c:pt>
                <c:pt idx="4">
                  <c:v>19</c:v>
                </c:pt>
                <c:pt idx="5">
                  <c:v>25</c:v>
                </c:pt>
                <c:pt idx="6">
                  <c:v>34</c:v>
                </c:pt>
                <c:pt idx="7">
                  <c:v>40</c:v>
                </c:pt>
                <c:pt idx="8">
                  <c:v>45</c:v>
                </c:pt>
              </c:strCache>
            </c:strRef>
          </c:cat>
          <c:val>
            <c:numRef>
              <c:f>'Team Trend'!$K$4:$K$12</c:f>
              <c:numCache>
                <c:formatCode>General</c:formatCode>
                <c:ptCount val="9"/>
                <c:pt idx="0">
                  <c:v/>
                </c:pt>
                <c:pt idx="1">
                  <c:v/>
                </c:pt>
                <c:pt idx="2">
                  <c:v/>
                </c:pt>
                <c:pt idx="3">
                  <c:v/>
                </c:pt>
                <c:pt idx="4">
                  <c:v/>
                </c:pt>
                <c:pt idx="5">
                  <c:v/>
                </c:pt>
                <c:pt idx="6">
                  <c:v/>
                </c:pt>
                <c:pt idx="7">
                  <c:v/>
                </c:pt>
                <c:pt idx="8">
                  <c:v/>
                </c:pt>
              </c:numCache>
            </c:numRef>
          </c:val>
        </c:ser>
        <c:ser>
          <c:idx val="4"/>
          <c:order val="4"/>
          <c:tx>
            <c:strRef>
              <c:f>'Team Trend'!$L$3</c:f>
              <c:strCache>
                <c:ptCount val="1"/>
                <c:pt idx="0">
                  <c:v/>
                </c:pt>
              </c:strCache>
            </c:strRef>
          </c:tx>
          <c:spPr>
            <a:solidFill>
              <a:srgbClr val="4472c4"/>
            </a:solidFill>
            <a:ln>
              <a:noFill/>
            </a:ln>
          </c:spPr>
          <c:dLbls>
            <c:dLblPos val="ctr"/>
            <c:showLegendKey val="0"/>
            <c:showVal val="0"/>
            <c:showCatName val="0"/>
            <c:showSerName val="0"/>
            <c:showPercent val="0"/>
          </c:dLbls>
          <c:cat>
            <c:strRef>
              <c:f>'Team Trend'!$G$4:$G$12</c:f>
              <c:strCache>
                <c:ptCount val="9"/>
                <c:pt idx="0">
                  <c:v>Match</c:v>
                </c:pt>
                <c:pt idx="1">
                  <c:v>4</c:v>
                </c:pt>
                <c:pt idx="2">
                  <c:v>12</c:v>
                </c:pt>
                <c:pt idx="3">
                  <c:v>16</c:v>
                </c:pt>
                <c:pt idx="4">
                  <c:v>19</c:v>
                </c:pt>
                <c:pt idx="5">
                  <c:v>25</c:v>
                </c:pt>
                <c:pt idx="6">
                  <c:v>34</c:v>
                </c:pt>
                <c:pt idx="7">
                  <c:v>40</c:v>
                </c:pt>
                <c:pt idx="8">
                  <c:v>45</c:v>
                </c:pt>
              </c:strCache>
            </c:strRef>
          </c:cat>
          <c:val>
            <c:numRef>
              <c:f>'Team Trend'!$L$4:$L$12</c:f>
              <c:numCache>
                <c:formatCode>General</c:formatCode>
                <c:ptCount val="9"/>
                <c:pt idx="0">
                  <c:v/>
                </c:pt>
                <c:pt idx="1">
                  <c:v/>
                </c:pt>
                <c:pt idx="2">
                  <c:v/>
                </c:pt>
                <c:pt idx="3">
                  <c:v/>
                </c:pt>
                <c:pt idx="4">
                  <c:v/>
                </c:pt>
                <c:pt idx="5">
                  <c:v/>
                </c:pt>
                <c:pt idx="6">
                  <c:v/>
                </c:pt>
                <c:pt idx="7">
                  <c:v/>
                </c:pt>
                <c:pt idx="8">
                  <c:v/>
                </c:pt>
              </c:numCache>
            </c:numRef>
          </c:val>
        </c:ser>
        <c:axId val="22339318"/>
        <c:axId val="50760560"/>
      </c:areaChart>
      <c:catAx>
        <c:axId val="22339318"/>
        <c:scaling>
          <c:orientation val="minMax"/>
        </c:scaling>
        <c:delete val="0"/>
        <c:axPos val="b"/>
        <c:majorTickMark val="out"/>
        <c:minorTickMark val="none"/>
        <c:tickLblPos val="nextTo"/>
        <c:spPr>
          <a:ln w="9360">
            <a:solidFill>
              <a:srgbClr val="d9d9d9"/>
            </a:solidFill>
            <a:round/>
          </a:ln>
        </c:spPr>
        <c:crossAx val="50760560"/>
        <c:crosses val="autoZero"/>
        <c:auto val="1"/>
        <c:lblAlgn val="ctr"/>
        <c:lblOffset val="100"/>
      </c:catAx>
      <c:valAx>
        <c:axId val="50760560"/>
        <c:scaling>
          <c:orientation val="minMax"/>
        </c:scaling>
        <c:delete val="0"/>
        <c:axPos val="l"/>
        <c:majorGridlines>
          <c:spPr>
            <a:ln w="9360">
              <a:solidFill>
                <a:srgbClr val="d9d9d9"/>
              </a:solidFill>
              <a:round/>
            </a:ln>
          </c:spPr>
        </c:majorGridlines>
        <c:majorTickMark val="none"/>
        <c:minorTickMark val="none"/>
        <c:tickLblPos val="nextTo"/>
        <c:spPr>
          <a:ln w="6480">
            <a:noFill/>
          </a:ln>
        </c:spPr>
        <c:crossAx val="22339318"/>
        <c:crosses val="autoZero"/>
      </c:valAx>
      <c:spPr>
        <a:noFill/>
        <a:ln>
          <a:noFill/>
        </a:ln>
      </c:spPr>
    </c:plotArea>
    <c:legend>
      <c:legendPos val="r"/>
      <c:overlay val="0"/>
      <c:spPr>
        <a:noFill/>
        <a:ln>
          <a:noFill/>
        </a:ln>
      </c:spPr>
    </c:legend>
    <c:plotVisOnly val="1"/>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tx>
            <c:strRef>
              <c:f>'Team Profile'!$B$3</c:f>
              <c:strCache>
                <c:ptCount val="1"/>
                <c:pt idx="0">
                  <c:v>Data</c:v>
                </c:pt>
              </c:strCache>
            </c:strRef>
          </c:tx>
          <c:spPr>
            <a:solidFill>
              <a:srgbClr val="5b9bd5"/>
            </a:solidFill>
            <a:ln w="28440">
              <a:solidFill>
                <a:srgbClr val="5b9bd5"/>
              </a:solidFill>
              <a:round/>
            </a:ln>
          </c:spPr>
          <c:marker>
            <c:symbol val="circle"/>
            <c:size val="5"/>
            <c:spPr>
              <a:solidFill>
                <a:srgbClr val="5b9bd5"/>
              </a:solidFill>
            </c:spPr>
          </c:marker>
          <c:dLbls>
            <c:dLblPos val="r"/>
            <c:showLegendKey val="0"/>
            <c:showVal val="1"/>
            <c:showCatName val="0"/>
            <c:showSerName val="0"/>
            <c:showPercent val="0"/>
          </c:dLbls>
          <c:cat>
            <c:strRef>
              <c:f>'Team Profile'!$A$4:$A$12</c:f>
              <c:strCache>
                <c:ptCount val="9"/>
                <c:pt idx="0">
                  <c:v>Match</c:v>
                </c:pt>
                <c:pt idx="1">
                  <c:v>6</c:v>
                </c:pt>
                <c:pt idx="2">
                  <c:v>11</c:v>
                </c:pt>
                <c:pt idx="3">
                  <c:v>14</c:v>
                </c:pt>
                <c:pt idx="4">
                  <c:v>20</c:v>
                </c:pt>
                <c:pt idx="5">
                  <c:v>26</c:v>
                </c:pt>
                <c:pt idx="6">
                  <c:v>35</c:v>
                </c:pt>
                <c:pt idx="7">
                  <c:v>42</c:v>
                </c:pt>
                <c:pt idx="8">
                  <c:v>48</c:v>
                </c:pt>
              </c:strCache>
            </c:strRef>
          </c:cat>
          <c:val>
            <c:numRef>
              <c:f>'Team Profile'!$B$4:$B$12</c:f>
              <c:numCache>
                <c:formatCode>General</c:formatCode>
                <c:ptCount val="9"/>
                <c:pt idx="0">
                  <c:v/>
                </c:pt>
                <c:pt idx="1">
                  <c:v/>
                </c:pt>
                <c:pt idx="2">
                  <c:v/>
                </c:pt>
                <c:pt idx="3">
                  <c:v/>
                </c:pt>
                <c:pt idx="4">
                  <c:v/>
                </c:pt>
                <c:pt idx="5">
                  <c:v/>
                </c:pt>
                <c:pt idx="6">
                  <c:v/>
                </c:pt>
                <c:pt idx="7">
                  <c:v/>
                </c:pt>
                <c:pt idx="8">
                  <c:v/>
                </c:pt>
              </c:numCache>
            </c:numRef>
          </c:val>
          <c:smooth val="0"/>
        </c:ser>
        <c:ser>
          <c:idx val="1"/>
          <c:order val="1"/>
          <c:tx>
            <c:strRef>
              <c:f>'Team Profile'!$C$3</c:f>
              <c:strCache>
                <c:ptCount val="1"/>
                <c:pt idx="0">
                  <c:v/>
                </c:pt>
              </c:strCache>
            </c:strRef>
          </c:tx>
          <c:spPr>
            <a:solidFill>
              <a:srgbClr val="ed7d31"/>
            </a:solidFill>
            <a:ln w="28440">
              <a:solidFill>
                <a:srgbClr val="ed7d31"/>
              </a:solidFill>
              <a:round/>
            </a:ln>
          </c:spPr>
          <c:marker>
            <c:symbol val="circle"/>
            <c:size val="5"/>
            <c:spPr>
              <a:solidFill>
                <a:srgbClr val="ed7d31"/>
              </a:solidFill>
            </c:spPr>
          </c:marker>
          <c:dLbls>
            <c:dLblPos val="r"/>
            <c:showLegendKey val="0"/>
            <c:showVal val="1"/>
            <c:showCatName val="0"/>
            <c:showSerName val="0"/>
            <c:showPercent val="0"/>
          </c:dLbls>
          <c:cat>
            <c:strRef>
              <c:f>'Team Profile'!$A$4:$A$12</c:f>
              <c:strCache>
                <c:ptCount val="9"/>
                <c:pt idx="0">
                  <c:v>Match</c:v>
                </c:pt>
                <c:pt idx="1">
                  <c:v>6</c:v>
                </c:pt>
                <c:pt idx="2">
                  <c:v>11</c:v>
                </c:pt>
                <c:pt idx="3">
                  <c:v>14</c:v>
                </c:pt>
                <c:pt idx="4">
                  <c:v>20</c:v>
                </c:pt>
                <c:pt idx="5">
                  <c:v>26</c:v>
                </c:pt>
                <c:pt idx="6">
                  <c:v>35</c:v>
                </c:pt>
                <c:pt idx="7">
                  <c:v>42</c:v>
                </c:pt>
                <c:pt idx="8">
                  <c:v>48</c:v>
                </c:pt>
              </c:strCache>
            </c:strRef>
          </c:cat>
          <c:val>
            <c:numRef>
              <c:f>'Team Profile'!$C$4:$C$12</c:f>
              <c:numCache>
                <c:formatCode>General</c:formatCode>
                <c:ptCount val="9"/>
                <c:pt idx="0">
                  <c:v/>
                </c:pt>
                <c:pt idx="1">
                  <c:v/>
                </c:pt>
                <c:pt idx="2">
                  <c:v/>
                </c:pt>
                <c:pt idx="3">
                  <c:v/>
                </c:pt>
                <c:pt idx="4">
                  <c:v/>
                </c:pt>
                <c:pt idx="5">
                  <c:v/>
                </c:pt>
                <c:pt idx="6">
                  <c:v/>
                </c:pt>
                <c:pt idx="7">
                  <c:v/>
                </c:pt>
                <c:pt idx="8">
                  <c:v/>
                </c:pt>
              </c:numCache>
            </c:numRef>
          </c:val>
          <c:smooth val="0"/>
        </c:ser>
        <c:hiLowLines>
          <c:spPr>
            <a:ln>
              <a:noFill/>
            </a:ln>
          </c:spPr>
        </c:hiLowLines>
        <c:upDownBars>
          <c:gapWidth val="150"/>
          <c:upBars/>
          <c:downBars/>
        </c:upDownBars>
        <c:marker val="1"/>
        <c:axId val="20747606"/>
        <c:axId val="88320572"/>
      </c:lineChart>
      <c:catAx>
        <c:axId val="20747606"/>
        <c:scaling>
          <c:orientation val="minMax"/>
        </c:scaling>
        <c:delete val="0"/>
        <c:axPos val="b"/>
        <c:majorGridlines>
          <c:spPr>
            <a:ln w="9360">
              <a:solidFill>
                <a:srgbClr val="d9d9d9"/>
              </a:solidFill>
              <a:round/>
            </a:ln>
          </c:spPr>
        </c:majorGridlines>
        <c:majorTickMark val="none"/>
        <c:minorTickMark val="none"/>
        <c:tickLblPos val="nextTo"/>
        <c:spPr>
          <a:ln w="9360">
            <a:solidFill>
              <a:srgbClr val="d9d9d9"/>
            </a:solidFill>
            <a:round/>
          </a:ln>
        </c:spPr>
        <c:crossAx val="88320572"/>
        <c:crosses val="autoZero"/>
        <c:auto val="1"/>
        <c:lblAlgn val="ctr"/>
        <c:lblOffset val="100"/>
      </c:catAx>
      <c:valAx>
        <c:axId val="88320572"/>
        <c:scaling>
          <c:orientation val="minMax"/>
        </c:scaling>
        <c:delete val="0"/>
        <c:axPos val="l"/>
        <c:majorGridlines>
          <c:spPr>
            <a:ln w="9360">
              <a:solidFill>
                <a:srgbClr val="d9d9d9"/>
              </a:solidFill>
              <a:round/>
            </a:ln>
          </c:spPr>
        </c:majorGridlines>
        <c:majorTickMark val="none"/>
        <c:minorTickMark val="none"/>
        <c:tickLblPos val="nextTo"/>
        <c:spPr>
          <a:ln w="6480">
            <a:noFill/>
          </a:ln>
        </c:spPr>
        <c:crossAx val="20747606"/>
        <c:crosses val="autoZero"/>
      </c:valAx>
      <c:spPr>
        <a:noFill/>
        <a:ln>
          <a:noFill/>
        </a:ln>
      </c:spPr>
    </c:plotArea>
    <c:legend>
      <c:legendPos val="r"/>
      <c:overlay val="0"/>
      <c:spPr>
        <a:noFill/>
        <a:ln>
          <a:noFill/>
        </a:ln>
      </c:spPr>
    </c:legend>
    <c:plotVisOnly val="1"/>
  </c:chart>
  <c:spPr>
    <a:solidFill>
      <a:srgbClr val="ffffff"/>
    </a:solidFill>
    <a:ln w="9360">
      <a:solidFill>
        <a:srgbClr val="000000"/>
      </a:solidFill>
      <a:round/>
    </a:ln>
  </c:spPr>
</c:chartSpace>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_rels/drawing3.xml.rels><?xml version="1.0" encoding="UTF-8"?>
<Relationships xmlns="http://schemas.openxmlformats.org/package/2006/relationships"><Relationship Id="rId1" Type="http://schemas.openxmlformats.org/officeDocument/2006/relationships/image" Target="../media/image2.png"/>
</Relationships>
</file>

<file path=xl/drawings/_rels/drawing4.xml.rels><?xml version="1.0" encoding="UTF-8"?>
<Relationships xmlns="http://schemas.openxmlformats.org/package/2006/relationships"><Relationship Id="rId1" Type="http://schemas.openxmlformats.org/officeDocument/2006/relationships/chart" Target="../charts/chart1.xml"/>
</Relationships>
</file>

<file path=xl/drawings/_rels/drawing5.xml.rels><?xml version="1.0" encoding="UTF-8"?>
<Relationships xmlns="http://schemas.openxmlformats.org/package/2006/relationships"><Relationship Id="rId1" Type="http://schemas.openxmlformats.org/officeDocument/2006/relationships/chart" Target="../charts/chart2.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19</xdr:col>
      <xdr:colOff>351000</xdr:colOff>
      <xdr:row>1</xdr:row>
      <xdr:rowOff>22680</xdr:rowOff>
    </xdr:from>
    <xdr:to>
      <xdr:col>23</xdr:col>
      <xdr:colOff>109440</xdr:colOff>
      <xdr:row>6</xdr:row>
      <xdr:rowOff>168480</xdr:rowOff>
    </xdr:to>
    <xdr:sp>
      <xdr:nvSpPr>
        <xdr:cNvPr id="0" name="CustomShape 1"/>
        <xdr:cNvSpPr/>
      </xdr:nvSpPr>
      <xdr:spPr>
        <a:xfrm>
          <a:off x="9330840" y="1253160"/>
          <a:ext cx="2061720" cy="1390320"/>
        </a:xfrm>
        <a:prstGeom prst="wedgeRoundRectCallout">
          <a:avLst>
            <a:gd name="adj1" fmla="val 22385"/>
            <a:gd name="adj2" fmla="val 49582"/>
            <a:gd name="adj3" fmla="val 16667"/>
          </a:avLst>
        </a:prstGeom>
        <a:ln/>
      </xdr:spPr>
      <xdr:style>
        <a:lnRef idx="2">
          <a:schemeClr val="accent2">
            <a:shade val="50000"/>
          </a:schemeClr>
        </a:lnRef>
        <a:fillRef idx="1">
          <a:schemeClr val="accent2"/>
        </a:fillRef>
        <a:effectRef idx="0">
          <a:schemeClr val="accent2"/>
        </a:effectRef>
        <a:fontRef idx="minor"/>
      </xdr:style>
      <xdr:txBody>
        <a:bodyPr lIns="90000" rIns="90000" tIns="45000" bIns="45000"/>
        <a:p>
          <a:pPr>
            <a:lnSpc>
              <a:spcPct val="100000"/>
            </a:lnSpc>
          </a:pPr>
          <a:r>
            <a:rPr lang="en-US" sz="1200" strike="noStrike">
              <a:solidFill>
                <a:srgbClr val="ffffff"/>
              </a:solidFill>
              <a:latin typeface="Calibri"/>
            </a:rPr>
            <a:t>The pit scouting data is a separate table. However, match and pit scouting data is related in an Excel Data Model, so reporting can be done with combined data to a certain extent.</a:t>
          </a:r>
          <a:endParaRPr/>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122400</xdr:colOff>
      <xdr:row>0</xdr:row>
      <xdr:rowOff>13320</xdr:rowOff>
    </xdr:from>
    <xdr:to>
      <xdr:col>0</xdr:col>
      <xdr:colOff>1198440</xdr:colOff>
      <xdr:row>4</xdr:row>
      <xdr:rowOff>131040</xdr:rowOff>
    </xdr:to>
    <xdr:pic>
      <xdr:nvPicPr>
        <xdr:cNvPr id="1" name="Picture 2" descr=""/>
        <xdr:cNvPicPr/>
      </xdr:nvPicPr>
      <xdr:blipFill>
        <a:blip r:embed="rId1"/>
        <a:stretch/>
      </xdr:blipFill>
      <xdr:spPr>
        <a:xfrm>
          <a:off x="122400" y="13320"/>
          <a:ext cx="1076040" cy="116964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123840</xdr:colOff>
      <xdr:row>1</xdr:row>
      <xdr:rowOff>162360</xdr:rowOff>
    </xdr:from>
    <xdr:to>
      <xdr:col>0</xdr:col>
      <xdr:colOff>1122120</xdr:colOff>
      <xdr:row>1</xdr:row>
      <xdr:rowOff>1101240</xdr:rowOff>
    </xdr:to>
    <xdr:pic>
      <xdr:nvPicPr>
        <xdr:cNvPr id="2" name="Picture 2" descr=""/>
        <xdr:cNvPicPr/>
      </xdr:nvPicPr>
      <xdr:blipFill>
        <a:blip r:embed="rId1"/>
        <a:stretch/>
      </xdr:blipFill>
      <xdr:spPr>
        <a:xfrm>
          <a:off x="123840" y="530640"/>
          <a:ext cx="998280" cy="93888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68400</xdr:colOff>
      <xdr:row>0</xdr:row>
      <xdr:rowOff>41760</xdr:rowOff>
    </xdr:from>
    <xdr:to>
      <xdr:col>5</xdr:col>
      <xdr:colOff>26640</xdr:colOff>
      <xdr:row>25</xdr:row>
      <xdr:rowOff>9720</xdr:rowOff>
    </xdr:to>
    <xdr:graphicFrame>
      <xdr:nvGraphicFramePr>
        <xdr:cNvPr id="3" name="TeamTrend"/>
        <xdr:cNvGraphicFramePr/>
      </xdr:nvGraphicFramePr>
      <xdr:xfrm>
        <a:off x="68400" y="41760"/>
        <a:ext cx="5884560" cy="44827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382680</xdr:colOff>
      <xdr:row>17</xdr:row>
      <xdr:rowOff>66960</xdr:rowOff>
    </xdr:from>
    <xdr:to>
      <xdr:col>6</xdr:col>
      <xdr:colOff>1042560</xdr:colOff>
      <xdr:row>33</xdr:row>
      <xdr:rowOff>60120</xdr:rowOff>
    </xdr:to>
    <xdr:graphicFrame>
      <xdr:nvGraphicFramePr>
        <xdr:cNvPr id="4" name="Chart 4"/>
        <xdr:cNvGraphicFramePr/>
      </xdr:nvGraphicFramePr>
      <xdr:xfrm>
        <a:off x="2422080" y="3108600"/>
        <a:ext cx="5797080" cy="2939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1392120</xdr:colOff>
      <xdr:row>19</xdr:row>
      <xdr:rowOff>16200</xdr:rowOff>
    </xdr:from>
    <xdr:to>
      <xdr:col>9</xdr:col>
      <xdr:colOff>267840</xdr:colOff>
      <xdr:row>32</xdr:row>
      <xdr:rowOff>22680</xdr:rowOff>
    </xdr:to>
    <xdr:sp>
      <xdr:nvSpPr>
        <xdr:cNvPr id="5" name="CustomShape 1"/>
        <xdr:cNvSpPr/>
      </xdr:nvSpPr>
      <xdr:spPr>
        <a:xfrm>
          <a:off x="8568720" y="3426120"/>
          <a:ext cx="3525840" cy="2400120"/>
        </a:xfrm>
        <a:prstGeom prst="wedgeRoundRectCallout">
          <a:avLst>
            <a:gd name="adj1" fmla="val -57566"/>
            <a:gd name="adj2" fmla="val -24137"/>
            <a:gd name="adj3" fmla="val 16667"/>
          </a:avLst>
        </a:prstGeom>
        <a:ln/>
      </xdr:spPr>
      <xdr:style>
        <a:lnRef idx="2">
          <a:schemeClr val="accent2">
            <a:shade val="50000"/>
          </a:schemeClr>
        </a:lnRef>
        <a:fillRef idx="1">
          <a:schemeClr val="accent2"/>
        </a:fillRef>
        <a:effectRef idx="0">
          <a:schemeClr val="accent2"/>
        </a:effectRef>
        <a:fontRef idx="minor"/>
      </xdr:style>
      <xdr:txBody>
        <a:bodyPr lIns="90000" rIns="90000" tIns="45000" bIns="45000"/>
        <a:p>
          <a:pPr>
            <a:lnSpc>
              <a:spcPct val="100000"/>
            </a:lnSpc>
          </a:pPr>
          <a:r>
            <a:rPr lang="en-US" sz="1200" strike="noStrike">
              <a:solidFill>
                <a:srgbClr val="ffffff"/>
              </a:solidFill>
              <a:latin typeface="Calibri"/>
            </a:rPr>
            <a:t>Another bit of fun. This shows a side-by-side comparison of crossing and goals scoring for a robot over time. This chart suggests that team 1001 is more of a Crossing Robot. It also suggests that either mechanical difficulties or opposing alliance defense has made them less effective in their last couple of matches. </a:t>
          </a:r>
          <a:endParaRPr/>
        </a:p>
        <a:p>
          <a:pPr>
            <a:lnSpc>
              <a:spcPct val="100000"/>
            </a:lnSpc>
          </a:pPr>
          <a:endParaRPr/>
        </a:p>
        <a:p>
          <a:pPr>
            <a:lnSpc>
              <a:spcPct val="100000"/>
            </a:lnSpc>
          </a:pPr>
          <a:r>
            <a:rPr lang="en-US" sz="1200" strike="noStrike">
              <a:solidFill>
                <a:srgbClr val="ffffff"/>
              </a:solidFill>
              <a:latin typeface="Calibri"/>
            </a:rPr>
            <a:t>Frustratingly, Excel doesn't let you do a scatter plot on pivot table data, so I'm still working on that visualization.</a:t>
          </a:r>
          <a:endParaRPr/>
        </a:p>
      </xdr:txBody>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274680</xdr:colOff>
      <xdr:row>8</xdr:row>
      <xdr:rowOff>48240</xdr:rowOff>
    </xdr:from>
    <xdr:to>
      <xdr:col>11</xdr:col>
      <xdr:colOff>217080</xdr:colOff>
      <xdr:row>15</xdr:row>
      <xdr:rowOff>73440</xdr:rowOff>
    </xdr:to>
    <xdr:sp>
      <xdr:nvSpPr>
        <xdr:cNvPr id="6" name="CustomShape 1"/>
        <xdr:cNvSpPr/>
      </xdr:nvSpPr>
      <xdr:spPr>
        <a:xfrm>
          <a:off x="3822120" y="2530800"/>
          <a:ext cx="4028760" cy="1314360"/>
        </a:xfrm>
        <a:prstGeom prst="wedgeRoundRectCallout">
          <a:avLst>
            <a:gd name="adj1" fmla="val -50034"/>
            <a:gd name="adj2" fmla="val -23171"/>
            <a:gd name="adj3" fmla="val 16667"/>
          </a:avLst>
        </a:prstGeom>
        <a:ln/>
      </xdr:spPr>
      <xdr:style>
        <a:lnRef idx="2">
          <a:schemeClr val="accent2">
            <a:shade val="50000"/>
          </a:schemeClr>
        </a:lnRef>
        <a:fillRef idx="1">
          <a:schemeClr val="accent2"/>
        </a:fillRef>
        <a:effectRef idx="0">
          <a:schemeClr val="accent2"/>
        </a:effectRef>
        <a:fontRef idx="minor"/>
      </xdr:style>
      <xdr:txBody>
        <a:bodyPr lIns="90000" rIns="90000" tIns="45000" bIns="45000"/>
        <a:p>
          <a:pPr>
            <a:lnSpc>
              <a:spcPct val="100000"/>
            </a:lnSpc>
          </a:pPr>
          <a:r>
            <a:rPr lang="en-US" sz="1200" strike="noStrike">
              <a:solidFill>
                <a:srgbClr val="ffffff"/>
              </a:solidFill>
              <a:latin typeface="Calibri"/>
            </a:rPr>
            <a:t>This is part of my test data generation solution. I can create any number of personas and assign them to robots in the match scouting table. The data sets up min and max capabilities for what the robot can do. Formulas in the table generate data for each match. This is useful to test reports, charts, and other outputs.</a:t>
          </a:r>
          <a:endParaRPr/>
        </a:p>
      </xdr:txBody>
    </xdr:sp>
    <xdr:clientData/>
  </xdr:twoCellAnchor>
</xdr:wsDr>
</file>

<file path=xl/pivotTables/pivotTable1.xml><?xml version="1.0" encoding="utf-8"?>
<pivotTableDefinition xmlns="http://schemas.openxmlformats.org/spreadsheetml/2006/main" name="Pre-Match Report" cacheId="0" dataOnRows="false" dataPosition="65535" autoFormatId="1" dataCaption="Data" enableDrill="true" rowGrandTotals="false" colGrandTotals="false">
  <location ref="B4:J22" firstHeaderRow="3" firstDataRow="6" firstDataCol="2" rowPageCount="16" colPageCount="8"/>
</pivotTableDefinition>
</file>

<file path=xl/pivotTables/pivotTable2.xml><?xml version="1.0" encoding="utf-8"?>
<pivotTableDefinition xmlns="http://schemas.openxmlformats.org/spreadsheetml/2006/main" name="TeamTrend" cacheId="0" dataOnRows="true" dataPosition="65535" autoFormatId="1" dataCaption="Data" enableDrill="true" rowGrandTotals="true" colGrandTotals="true">
  <location ref="G3:L13" firstHeaderRow="2" firstDataRow="4" firstDataCol="7" rowPageCount="9" colPageCount="5"/>
</pivotTableDefinition>
</file>

<file path=xl/pivotTables/pivotTable3.xml><?xml version="1.0" encoding="utf-8"?>
<pivotTableDefinition xmlns="http://schemas.openxmlformats.org/spreadsheetml/2006/main" name="PivotTable3" cacheId="0" dataOnRows="true" dataPosition="65535" autoFormatId="1" dataCaption="Data" enableDrill="true" rowGrandTotals="true" colGrandTotals="true">
  <location ref="A3:C13" firstHeaderRow="2" firstDataRow="4" firstDataCol="1" rowPageCount="9" colPageCount="2"/>
</pivotTableDefinition>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_rels/sheet7.xml.rels><?xml version="1.0" encoding="UTF-8"?>
<Relationships xmlns="http://schemas.openxmlformats.org/package/2006/relationships"><Relationship Id="rId1" Type="http://schemas.openxmlformats.org/officeDocument/2006/relationships/pivotTable" Target="../pivotTables/pivotTable2.xml"/><Relationship Id="rId2" Type="http://schemas.openxmlformats.org/officeDocument/2006/relationships/drawing" Target="../drawings/drawing4.xml"/>
</Relationships>
</file>

<file path=xl/worksheets/_rels/sheet8.xml.rels><?xml version="1.0" encoding="UTF-8"?>
<Relationships xmlns="http://schemas.openxmlformats.org/package/2006/relationships"><Relationship Id="rId1" Type="http://schemas.openxmlformats.org/officeDocument/2006/relationships/pivotTable" Target="../pivotTables/pivotTable3.xml"/><Relationship Id="rId2" Type="http://schemas.openxmlformats.org/officeDocument/2006/relationships/drawing" Target="../drawings/drawing5.xml"/>
</Relationships>
</file>

<file path=xl/worksheets/_rels/sheet9.xml.rels><?xml version="1.0" encoding="UTF-8"?>
<Relationships xmlns="http://schemas.openxmlformats.org/package/2006/relationships"><Relationship Id="rId1" Type="http://schemas.openxmlformats.org/officeDocument/2006/relationships/drawing" Target="../drawings/drawing6.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DD301"/>
  <sheetViews>
    <sheetView windowProtection="true" showFormulas="false" showGridLines="true" showRowColHeaders="true" showZeros="true" rightToLeft="false" tabSelected="true" showOutlineSymbols="true" defaultGridColor="true" view="normal" topLeftCell="A1" colorId="64" zoomScale="100" zoomScaleNormal="100" zoomScalePageLayoutView="100" workbookViewId="0">
      <pane xSplit="4" ySplit="1" topLeftCell="AW2" activePane="bottomRight" state="frozen"/>
      <selection pane="topLeft" activeCell="A1" activeCellId="0" sqref="A1"/>
      <selection pane="topRight" activeCell="AW1" activeCellId="0" sqref="AW1"/>
      <selection pane="bottomLeft" activeCell="A2" activeCellId="0" sqref="A2"/>
      <selection pane="bottomRight" activeCell="BN1" activeCellId="0" sqref="BN1"/>
    </sheetView>
  </sheetViews>
  <sheetFormatPr defaultRowHeight="14.5"/>
  <cols>
    <col collapsed="false" hidden="false" max="1" min="1" style="0" width="3.45408163265306"/>
    <col collapsed="false" hidden="false" max="2" min="2" style="1" width="5.63265306122449"/>
    <col collapsed="false" hidden="false" max="3" min="3" style="1" width="7.63265306122449"/>
    <col collapsed="false" hidden="false" max="4" min="4" style="0" width="8.72959183673469"/>
    <col collapsed="false" hidden="false" max="5" min="5" style="0" width="9.35714285714286"/>
    <col collapsed="false" hidden="false" max="9" min="6" style="0" width="4.54591836734694"/>
    <col collapsed="false" hidden="false" max="10" min="10" style="2" width="5.09183673469388"/>
    <col collapsed="false" hidden="false" max="13" min="11" style="0" width="5.09183673469388"/>
    <col collapsed="false" hidden="false" max="18" min="14" style="2" width="5.09183673469388"/>
    <col collapsed="false" hidden="false" max="19" min="19" style="0" width="5.27551020408163"/>
    <col collapsed="false" hidden="false" max="20" min="20" style="2" width="5.27551020408163"/>
    <col collapsed="false" hidden="false" max="21" min="21" style="0" width="5.27551020408163"/>
    <col collapsed="false" hidden="false" max="24" min="22" style="2" width="5.27551020408163"/>
    <col collapsed="false" hidden="false" max="28" min="25" style="0" width="5.27551020408163"/>
    <col collapsed="false" hidden="false" max="29" min="29" style="0" width="5.09183673469388"/>
    <col collapsed="false" hidden="false" max="30" min="30" style="0" width="8.72959183673469"/>
    <col collapsed="false" hidden="false" max="33" min="31" style="0" width="5.09183673469388"/>
    <col collapsed="false" hidden="false" max="34" min="34" style="0" width="8.72959183673469"/>
    <col collapsed="false" hidden="false" max="35" min="35" style="0" width="5.09183673469388"/>
    <col collapsed="false" hidden="false" max="36" min="36" style="0" width="8.72959183673469"/>
    <col collapsed="false" hidden="false" max="37" min="37" style="0" width="5.09183673469388"/>
    <col collapsed="false" hidden="false" max="38" min="38" style="0" width="8.72959183673469"/>
    <col collapsed="false" hidden="false" max="39" min="39" style="0" width="5.09183673469388"/>
    <col collapsed="false" hidden="false" max="40" min="40" style="0" width="8.72959183673469"/>
    <col collapsed="false" hidden="false" max="41" min="41" style="0" width="5.09183673469388"/>
    <col collapsed="false" hidden="false" max="42" min="42" style="0" width="8.72959183673469"/>
    <col collapsed="false" hidden="false" max="43" min="43" style="0" width="5.09183673469388"/>
    <col collapsed="false" hidden="false" max="44" min="44" style="0" width="8.72959183673469"/>
    <col collapsed="false" hidden="false" max="45" min="45" style="0" width="5.09183673469388"/>
    <col collapsed="false" hidden="false" max="46" min="46" style="0" width="8.72959183673469"/>
    <col collapsed="false" hidden="false" max="52" min="47" style="0" width="5.09183673469388"/>
    <col collapsed="false" hidden="false" max="54" min="53" style="0" width="8.72959183673469"/>
    <col collapsed="false" hidden="false" max="61" min="55" style="0" width="5.09183673469388"/>
    <col collapsed="false" hidden="false" max="67" min="62" style="0" width="8.72959183673469"/>
    <col collapsed="false" hidden="false" max="68" min="68" style="0" width="3.99489795918367"/>
    <col collapsed="false" hidden="false" max="72" min="69" style="0" width="5.09183673469388"/>
    <col collapsed="false" hidden="false" max="73" min="73" style="0" width="5.81122448979592"/>
    <col collapsed="false" hidden="false" max="90" min="74" style="0" width="5.09183673469388"/>
    <col collapsed="false" hidden="false" max="91" min="91" style="0" width="5.27551020408163"/>
    <col collapsed="false" hidden="false" max="95" min="92" style="0" width="5.09183673469388"/>
    <col collapsed="false" hidden="false" max="96" min="96" style="0" width="5.72448979591837"/>
    <col collapsed="false" hidden="false" max="105" min="97" style="0" width="5.09183673469388"/>
    <col collapsed="false" hidden="false" max="106" min="106" style="0" width="3.81632653061224"/>
    <col collapsed="false" hidden="false" max="129" min="107" style="0" width="5.09183673469388"/>
    <col collapsed="false" hidden="false" max="1025" min="130" style="0" width="8.72959183673469"/>
  </cols>
  <sheetData>
    <row r="1" s="12" customFormat="true" ht="118.65" hidden="false" customHeight="false" outlineLevel="0" collapsed="false">
      <c r="A1" s="3" t="s">
        <v>0</v>
      </c>
      <c r="B1" s="4" t="s">
        <v>1</v>
      </c>
      <c r="C1" s="5" t="s">
        <v>2</v>
      </c>
      <c r="D1" s="5" t="s">
        <v>3</v>
      </c>
      <c r="E1" s="5" t="s">
        <v>4</v>
      </c>
      <c r="F1" s="6" t="s">
        <v>5</v>
      </c>
      <c r="G1" s="6" t="s">
        <v>6</v>
      </c>
      <c r="H1" s="6" t="s">
        <v>7</v>
      </c>
      <c r="I1" s="6" t="s">
        <v>8</v>
      </c>
      <c r="J1" s="7" t="s">
        <v>9</v>
      </c>
      <c r="K1" s="7" t="s">
        <v>10</v>
      </c>
      <c r="L1" s="7" t="s">
        <v>11</v>
      </c>
      <c r="M1" s="7" t="s">
        <v>12</v>
      </c>
      <c r="N1" s="7" t="s">
        <v>13</v>
      </c>
      <c r="O1" s="7" t="s">
        <v>14</v>
      </c>
      <c r="P1" s="7" t="s">
        <v>15</v>
      </c>
      <c r="Q1" s="7" t="s">
        <v>16</v>
      </c>
      <c r="R1" s="7" t="s">
        <v>17</v>
      </c>
      <c r="S1" s="6" t="s">
        <v>18</v>
      </c>
      <c r="T1" s="6" t="s">
        <v>19</v>
      </c>
      <c r="U1" s="6" t="s">
        <v>20</v>
      </c>
      <c r="V1" s="6" t="s">
        <v>21</v>
      </c>
      <c r="W1" s="6" t="s">
        <v>22</v>
      </c>
      <c r="X1" s="6" t="s">
        <v>23</v>
      </c>
      <c r="Y1" s="6" t="s">
        <v>24</v>
      </c>
      <c r="Z1" s="6" t="s">
        <v>25</v>
      </c>
      <c r="AA1" s="6" t="s">
        <v>26</v>
      </c>
      <c r="AB1" s="6" t="s">
        <v>27</v>
      </c>
      <c r="AC1" s="7" t="s">
        <v>28</v>
      </c>
      <c r="AD1" s="6" t="s">
        <v>29</v>
      </c>
      <c r="AE1" s="7" t="s">
        <v>30</v>
      </c>
      <c r="AF1" s="6" t="s">
        <v>31</v>
      </c>
      <c r="AG1" s="7" t="s">
        <v>32</v>
      </c>
      <c r="AH1" s="6" t="s">
        <v>33</v>
      </c>
      <c r="AI1" s="7" t="s">
        <v>34</v>
      </c>
      <c r="AJ1" s="6" t="s">
        <v>35</v>
      </c>
      <c r="AK1" s="7" t="s">
        <v>36</v>
      </c>
      <c r="AL1" s="6" t="s">
        <v>37</v>
      </c>
      <c r="AM1" s="7" t="s">
        <v>38</v>
      </c>
      <c r="AN1" s="6" t="s">
        <v>39</v>
      </c>
      <c r="AO1" s="7" t="s">
        <v>40</v>
      </c>
      <c r="AP1" s="6" t="s">
        <v>41</v>
      </c>
      <c r="AQ1" s="7" t="s">
        <v>42</v>
      </c>
      <c r="AR1" s="6" t="s">
        <v>43</v>
      </c>
      <c r="AS1" s="7" t="s">
        <v>44</v>
      </c>
      <c r="AT1" s="6" t="s">
        <v>45</v>
      </c>
      <c r="AU1" s="8" t="s">
        <v>46</v>
      </c>
      <c r="AV1" s="8" t="s">
        <v>47</v>
      </c>
      <c r="AW1" s="7" t="s">
        <v>48</v>
      </c>
      <c r="AX1" s="7" t="s">
        <v>49</v>
      </c>
      <c r="AY1" s="7" t="s">
        <v>50</v>
      </c>
      <c r="AZ1" s="7" t="s">
        <v>51</v>
      </c>
      <c r="BA1" s="7" t="s">
        <v>52</v>
      </c>
      <c r="BB1" s="7" t="s">
        <v>53</v>
      </c>
      <c r="BC1" s="9" t="s">
        <v>54</v>
      </c>
      <c r="BD1" s="9" t="s">
        <v>55</v>
      </c>
      <c r="BE1" s="9" t="s">
        <v>56</v>
      </c>
      <c r="BF1" s="9" t="s">
        <v>57</v>
      </c>
      <c r="BG1" s="9" t="s">
        <v>58</v>
      </c>
      <c r="BH1" s="9" t="s">
        <v>59</v>
      </c>
      <c r="BI1" s="9" t="s">
        <v>60</v>
      </c>
      <c r="BJ1" s="9" t="s">
        <v>61</v>
      </c>
      <c r="BK1" s="9" t="s">
        <v>62</v>
      </c>
      <c r="BL1" s="9" t="s">
        <v>63</v>
      </c>
      <c r="BM1" s="9" t="s">
        <v>64</v>
      </c>
      <c r="BN1" s="9" t="s">
        <v>65</v>
      </c>
      <c r="BO1" s="9" t="s">
        <v>66</v>
      </c>
      <c r="BP1" s="9" t="s">
        <v>67</v>
      </c>
      <c r="BQ1" s="9" t="s">
        <v>68</v>
      </c>
      <c r="BR1" s="9" t="s">
        <v>69</v>
      </c>
      <c r="BS1" s="9" t="s">
        <v>70</v>
      </c>
      <c r="BT1" s="9" t="s">
        <v>71</v>
      </c>
      <c r="BU1" s="9" t="s">
        <v>72</v>
      </c>
      <c r="BV1" s="9" t="s">
        <v>73</v>
      </c>
      <c r="BW1" s="9" t="s">
        <v>74</v>
      </c>
      <c r="BX1" s="9" t="s">
        <v>75</v>
      </c>
      <c r="BY1" s="9" t="s">
        <v>76</v>
      </c>
      <c r="BZ1" s="10" t="s">
        <v>77</v>
      </c>
      <c r="CA1" s="10" t="s">
        <v>78</v>
      </c>
      <c r="CB1" s="10" t="s">
        <v>79</v>
      </c>
      <c r="CC1" s="10" t="s">
        <v>80</v>
      </c>
      <c r="CD1" s="10" t="s">
        <v>81</v>
      </c>
      <c r="CE1" s="10" t="s">
        <v>82</v>
      </c>
      <c r="CF1" s="10" t="s">
        <v>83</v>
      </c>
      <c r="CG1" s="10" t="s">
        <v>84</v>
      </c>
      <c r="CH1" s="10" t="s">
        <v>85</v>
      </c>
      <c r="CI1" s="10" t="s">
        <v>86</v>
      </c>
      <c r="CJ1" s="10" t="s">
        <v>87</v>
      </c>
      <c r="CK1" s="10" t="s">
        <v>88</v>
      </c>
      <c r="CL1" s="10" t="s">
        <v>89</v>
      </c>
      <c r="CM1" s="10" t="s">
        <v>90</v>
      </c>
      <c r="CN1" s="10" t="s">
        <v>91</v>
      </c>
      <c r="CO1" s="10" t="s">
        <v>92</v>
      </c>
      <c r="CP1" s="10" t="s">
        <v>93</v>
      </c>
      <c r="CQ1" s="10" t="s">
        <v>94</v>
      </c>
      <c r="CR1" s="9" t="s">
        <v>95</v>
      </c>
      <c r="CS1" s="10" t="s">
        <v>96</v>
      </c>
      <c r="CT1" s="10" t="s">
        <v>97</v>
      </c>
      <c r="CU1" s="10" t="s">
        <v>98</v>
      </c>
      <c r="CV1" s="10" t="s">
        <v>99</v>
      </c>
      <c r="CW1" s="10" t="s">
        <v>100</v>
      </c>
      <c r="CX1" s="10" t="s">
        <v>101</v>
      </c>
      <c r="CY1" s="10" t="s">
        <v>102</v>
      </c>
      <c r="CZ1" s="10" t="s">
        <v>103</v>
      </c>
      <c r="DA1" s="11" t="s">
        <v>104</v>
      </c>
      <c r="DB1" s="9" t="s">
        <v>105</v>
      </c>
      <c r="DC1" s="9" t="s">
        <v>106</v>
      </c>
      <c r="DD1" s="9" t="s">
        <v>107</v>
      </c>
    </row>
    <row r="2" s="5" customFormat="true" ht="15" hidden="false" customHeight="false" outlineLevel="0" collapsed="false">
      <c r="A2" s="13" t="s">
        <v>108</v>
      </c>
      <c r="B2" s="14" t="n">
        <v>1</v>
      </c>
      <c r="C2" s="15" t="n">
        <v>2002</v>
      </c>
      <c r="D2" s="5" t="s">
        <v>109</v>
      </c>
      <c r="E2" s="5" t="s">
        <v>110</v>
      </c>
      <c r="J2" s="5" t="n">
        <v>1</v>
      </c>
      <c r="L2" s="5" t="n">
        <v>1</v>
      </c>
      <c r="M2" s="5" t="n">
        <v>1</v>
      </c>
      <c r="O2" s="5" t="n">
        <v>1</v>
      </c>
      <c r="Q2" s="5" t="n">
        <v>1</v>
      </c>
      <c r="S2" s="5" t="n">
        <v>1</v>
      </c>
      <c r="BC2" s="5" t="e">
        <f aca="false">MatchData[cheval scored crossings]*5</f>
        <v>#VALUE!</v>
      </c>
      <c r="BD2" s="5" t="e">
        <f aca="false">MatchData[moat scored crosings]*5</f>
        <v>#VALUE!</v>
      </c>
      <c r="BE2" s="5" t="e">
        <f aca="false">MatchData[ramparts scored crossings]*5</f>
        <v>#VALUE!</v>
      </c>
      <c r="BF2" s="5" t="e">
        <f aca="false">MatchData[drawbridge scored crossings]*5</f>
        <v>#VALUE!</v>
      </c>
      <c r="BG2" s="5" t="e">
        <f aca="false">MatchData[sally port scored crossings]*5</f>
        <v>#VALUE!</v>
      </c>
      <c r="BH2" s="5" t="e">
        <f aca="false">MatchData[rock wall scored crossings]*5</f>
        <v>#VALUE!</v>
      </c>
      <c r="BI2" s="5" t="e">
        <f aca="false">MatchData[rough terrain scored crossings]*5</f>
        <v>#VALUE!</v>
      </c>
      <c r="BJ2" s="5" t="e">
        <f aca="false">MatchData[low bar scored crossings]*5</f>
        <v>#VALUE!</v>
      </c>
      <c r="BK2" s="5" t="e">
        <f aca="false">SUM(MatchData[[#this row],[low bar teleop crossings]:[rough terrain scored crossings]])</f>
        <v>#VALUE!</v>
      </c>
      <c r="BL2" s="5" t="e">
        <f aca="false">IFERROR(IF(OR(MatchData[[#this row],[challenge flag]],MatchData[[#this row],[climb flag]]),1,0),0)</f>
        <v>#VALUE!</v>
      </c>
      <c r="BM2" s="5" t="e">
        <f aca="false">MatchData[auto high goals]*10+MatchData[teleop high goals]*5</f>
        <v>#VALUE!</v>
      </c>
      <c r="BN2" s="5" t="e">
        <f aca="false">MatchData[auto low goals]*5+MatchData[teleop low goals]*2</f>
        <v>#VALUE!</v>
      </c>
      <c r="BO2" s="5" t="e">
        <f aca="false">MatchData[high goal score]+MatchData[low goal score]</f>
        <v>#VALUE!</v>
      </c>
      <c r="BP2" s="5" t="e">
        <f aca="false">MatchData[teleop high goals]+MatchData[teleop low goals]</f>
        <v>#VALUE!</v>
      </c>
      <c r="BQ2" s="5" t="e">
        <f aca="false">MatchData[[#this row],[auto reach flag]]*2+SUM(MatchData[[#this row],[portcullis auto crossings]:[low bar auto crossings]])*10+MatchData[[#this row],[auto low goals]]*5+MatchData[auto high goals]*10</f>
        <v>#VALUE!</v>
      </c>
      <c r="BR2" s="5" t="e">
        <f aca="false">SUM(MatchData[[#this row],[cheval teleop crossing score]:[low bar teleop crossing score]])</f>
        <v>#VALUE!</v>
      </c>
      <c r="BS2" s="5" t="e">
        <f aca="false">SUMIF(MatchData[team],MatchData[[#this row],[team]],MatchData[total auto score])/MatchData[match count]</f>
        <v>#VALUE!</v>
      </c>
      <c r="BT2" s="5" t="e">
        <f aca="false">MatchData[challenge flag]*5</f>
        <v>#VALUE!</v>
      </c>
      <c r="BU2" s="5" t="e">
        <f aca="false">MatchData[climb flag]*15</f>
        <v>#VALUE!</v>
      </c>
      <c r="BV2" s="5" t="e">
        <f aca="false">SUM(MatchData[[#this row],[total goal score]],MatchData[[#this row],[crossing score]],MatchData[[#this row],[challenge score]],MatchData[[#this row],[climb score]],MatchData[[#this row],[total auto score]])</f>
        <v>#VALUE!</v>
      </c>
      <c r="BW2" s="16" t="e">
        <f aca="false">ROUND(SUMIF(MatchData[team],MatchData[[#this row],[team]],MatchData[teleop low goals])/COUNTIF(MatchData[team],MatchData[[#this row],[team]]),2)</f>
        <v>#VALUE!</v>
      </c>
      <c r="BX2" s="16" t="e">
        <f aca="false">ROUND(SUMIF(MatchData[team],MatchData[[#this row],[team]],MatchData[teleop high goals])/COUNTIF(MatchData[team],MatchData[[#this row],[team]]),2)</f>
        <v>#VALUE!</v>
      </c>
      <c r="BY2" s="16" t="e">
        <f aca="false">COUNTIF(MatchData[team],MatchData[[#this row],[team]])</f>
        <v>#VALUE!</v>
      </c>
      <c r="BZ2" s="16" t="e">
        <f aca="false">SUMIF(MatchData[team],MatchData[[#this row],[team]],MatchData[portcullis available])</f>
        <v>#VALUE!</v>
      </c>
      <c r="CA2" s="16" t="e">
        <f aca="false">SUMIF(MatchData[team],MatchData[[#this row],[team]],MatchData[cheval available])</f>
        <v>#VALUE!</v>
      </c>
      <c r="CB2" s="16" t="e">
        <f aca="false">SUMIF(MatchData[team],MatchData[[#this row],[team]],MatchData[moat available])</f>
        <v>#VALUE!</v>
      </c>
      <c r="CC2" s="16" t="e">
        <f aca="false">SUMIF(MatchData[team],MatchData[[#this row],[team]],MatchData[ramparts available])</f>
        <v>#VALUE!</v>
      </c>
      <c r="CD2" s="16" t="e">
        <f aca="false">SUMIF(MatchData[team],MatchData[[#this row],[team]],MatchData[drawbridge available])</f>
        <v>#VALUE!</v>
      </c>
      <c r="CE2" s="16" t="e">
        <f aca="false">SUMIF(MatchData[team],MatchData[[#this row],[team]],MatchData[sally port available])</f>
        <v>#VALUE!</v>
      </c>
      <c r="CF2" s="16" t="e">
        <f aca="false">SUMIF(MatchData[team],MatchData[[#this row],[team]],MatchData[rock wall available])</f>
        <v>#VALUE!</v>
      </c>
      <c r="CG2" s="16" t="e">
        <f aca="false">SUMIF(MatchData[team],MatchData[[#this row],[team]],MatchData[rough terrain available])</f>
        <v>#VALUE!</v>
      </c>
      <c r="CH2" s="16" t="e">
        <f aca="false">SUMIF(MatchData[team],MatchData[[#this row],[team]],MatchData[low bar available])</f>
        <v>#VALUE!</v>
      </c>
      <c r="CI2" s="16" t="e">
        <f aca="false">SUMIF(MatchData[team],MatchData[[#this row],[team]],MatchData[portcullis teleop crossings]:MatchData[portcullis scored crossings])</f>
        <v>#VALUE!</v>
      </c>
      <c r="CJ2" s="16" t="e">
        <f aca="false">SUMIF(MatchData[team],MatchData[[#this row],[team]],MatchData[cheval teleop crossings])+SUMIF(MatchData[team],MatchData[[#this row],[team]],MatchData[cheval scored crossings])</f>
        <v>#VALUE!</v>
      </c>
      <c r="CK2" s="16" t="e">
        <f aca="false">SUMIF(MatchData[team],MatchData[[#this row],[team]],MatchData[moat teleop crossings])+SUMIF(MatchData[team],MatchData[[#this row],[team]],MatchData[moat scored crosings])</f>
        <v>#VALUE!</v>
      </c>
      <c r="CL2" s="16" t="e">
        <f aca="false">SUMIF(MatchData[team],MatchData[[#this row],[team]],MatchData[ramparts teleop crossings])+SUMIF(MatchData[team],MatchData[[#this row],[team]],MatchData[ramparts scored crossings])</f>
        <v>#VALUE!</v>
      </c>
      <c r="CM2" s="16" t="e">
        <f aca="false">SUMIF(MatchData[team],MatchData[[#this row],[team]],MatchData[drawbridge teleop crossings])+SUMIF(MatchData[team],MatchData[[#this row],[team]],MatchData[drawbridge scored crossings])</f>
        <v>#VALUE!</v>
      </c>
      <c r="CN2" s="16" t="e">
        <f aca="false">SUMIF(MatchData[team],MatchData[[#this row],[team]],MatchData[sally port teleop crossings])+SUMIF(MatchData[team],MatchData[[#this row],[team]],MatchData[sally port scored crossings])</f>
        <v>#VALUE!</v>
      </c>
      <c r="CO2" s="16" t="e">
        <f aca="false">SUMIF(MatchData[team],MatchData[[#this row],[team]],MatchData[rock wall teleop crossings])+SUMIF(MatchData[team],MatchData[[#this row],[team]],MatchData[rock wall scored crossings])</f>
        <v>#VALUE!</v>
      </c>
      <c r="CP2" s="16" t="e">
        <f aca="false">SUMIF(MatchData[team],MatchData[[#this row],[team]],MatchData[rough terrain teleop crossings])+SUMIF(MatchData[team],MatchData[[#this row],[team]],MatchData[rough terrain scored crossings])</f>
        <v>#VALUE!</v>
      </c>
      <c r="CQ2" s="16" t="e">
        <f aca="false">SUMIF(MatchData[team],MatchData[[#this row],[team]],MatchData[low bar teleop crossings])+SUMIF(MatchData[team],MatchData[[#this row],[team]],MatchData[low bar scored crossings])</f>
        <v>#VALUE!</v>
      </c>
      <c r="CR2" s="16" t="e">
        <f aca="false">IFERROR(ROUND(MatchData[[#this row],[portcullis sum]]/MatchData[[#this row],[portcullis avail count]],2),0)</f>
        <v>#VALUE!</v>
      </c>
      <c r="CS2" s="5" t="e">
        <f aca="false">IFERROR(ROUND(MatchData[[#this row],[cheval sum]]/MatchData[[#this row],[cheval avail count]],2),0)</f>
        <v>#VALUE!</v>
      </c>
      <c r="CT2" s="5" t="e">
        <f aca="false">IFERROR(ROUND(MatchData[[#this row],[moat sum]]/MatchData[[#this row],[moat avail count]],2),0)</f>
        <v>#VALUE!</v>
      </c>
      <c r="CU2" s="5" t="e">
        <f aca="false">IFERROR(ROUND(MatchData[[#this row],[ramparts sum]]/MatchData[[#this row],[ramparts avail count]],2),0)</f>
        <v>#VALUE!</v>
      </c>
      <c r="CV2" s="5" t="e">
        <f aca="false">IFERROR(ROUND(MatchData[[#this row],[drawbridge sum]]/MatchData[[#this row],[drawbridge avail countigh6]],2),0)</f>
        <v>#VALUE!</v>
      </c>
      <c r="CW2" s="5" t="e">
        <f aca="false">IFERROR(ROUND(MatchData[[#this row],[sally port sum]]/MatchData[[#this row],[sally port avail count]],2),0)</f>
        <v>#VALUE!</v>
      </c>
      <c r="CX2" s="5" t="e">
        <f aca="false">IFERROR(ROUND(MatchData[[#this row],[rock wall sum]]/MatchData[[#this row],[rock wall avail count]],2),0)</f>
        <v>#VALUE!</v>
      </c>
      <c r="CY2" s="5" t="e">
        <f aca="false">IFERROR(ROUND(MatchData[[#this row],[rough terrain sum]]/MatchData[[#this row],[rough terrain avail count]],2),0)</f>
        <v>#VALUE!</v>
      </c>
      <c r="CZ2" s="5" t="e">
        <f aca="false">IFERROR(ROUND(MatchData[[#this row],[low bar sum]]/MatchData[[#this row],[low bar avail count]],2),0)</f>
        <v>#VALUE!</v>
      </c>
      <c r="DA2" s="5" t="e">
        <f aca="false">SUM(MatchData[[#this row],[cheval sum]:[low bar sum]])/MatchData[match count]</f>
        <v>#VALUE!</v>
      </c>
      <c r="DB2" s="16" t="n">
        <f aca="false">MAX(IF(C$2:C$74=C2,BP$2:BP$74))</f>
        <v>-1.79769313486232E+308</v>
      </c>
      <c r="DC2" s="16" t="e">
        <f aca="false">AVERAGEIF(MatchData[team],MatchData[[#this row],[team]],MatchData[total score])</f>
        <v>#VALUE!</v>
      </c>
      <c r="DD2" s="16" t="e">
        <f aca="false">ROUND(AVERAGEIF(MatchData[team],MatchData[team],MatchData[climb or challenge flag]),2)</f>
        <v>#VALUE!</v>
      </c>
    </row>
    <row r="3" s="5" customFormat="true" ht="14.25" hidden="false" customHeight="true" outlineLevel="0" collapsed="false">
      <c r="A3" s="13" t="s">
        <v>108</v>
      </c>
      <c r="B3" s="14" t="n">
        <v>1</v>
      </c>
      <c r="C3" s="15" t="n">
        <v>2471</v>
      </c>
      <c r="D3" s="5" t="s">
        <v>109</v>
      </c>
      <c r="E3" s="5" t="s">
        <v>111</v>
      </c>
      <c r="J3" s="5" t="n">
        <v>1</v>
      </c>
      <c r="L3" s="5" t="n">
        <v>1</v>
      </c>
      <c r="M3" s="5" t="n">
        <v>1</v>
      </c>
      <c r="P3" s="5" t="n">
        <v>1</v>
      </c>
      <c r="Q3" s="5" t="n">
        <v>1</v>
      </c>
      <c r="S3" s="5" t="n">
        <v>1</v>
      </c>
      <c r="AH3" s="5" t="n">
        <v>2</v>
      </c>
      <c r="AP3" s="5" t="n">
        <v>1</v>
      </c>
      <c r="AR3" s="5" t="n">
        <v>2</v>
      </c>
      <c r="AW3" s="5" t="n">
        <v>1</v>
      </c>
      <c r="BC3" s="5" t="e">
        <f aca="false">MatchData[cheval scored crossings]*5</f>
        <v>#VALUE!</v>
      </c>
      <c r="BD3" s="5" t="e">
        <f aca="false">MatchData[moat scored crosings]*5</f>
        <v>#VALUE!</v>
      </c>
      <c r="BE3" s="5" t="e">
        <f aca="false">MatchData[ramparts scored crossings]*5</f>
        <v>#VALUE!</v>
      </c>
      <c r="BF3" s="5" t="e">
        <f aca="false">MatchData[drawbridge scored crossings]*5</f>
        <v>#VALUE!</v>
      </c>
      <c r="BG3" s="5" t="e">
        <f aca="false">MatchData[sally port scored crossings]*5</f>
        <v>#VALUE!</v>
      </c>
      <c r="BH3" s="5" t="e">
        <f aca="false">MatchData[rock wall scored crossings]*5</f>
        <v>#VALUE!</v>
      </c>
      <c r="BI3" s="5" t="e">
        <f aca="false">MatchData[rough terrain scored crossings]*5</f>
        <v>#VALUE!</v>
      </c>
      <c r="BJ3" s="5" t="e">
        <f aca="false">MatchData[low bar scored crossings]*5</f>
        <v>#VALUE!</v>
      </c>
      <c r="BK3" s="5" t="e">
        <f aca="false">SUM(MatchData[[#this row],[low bar teleop crossings]:[rough terrain scored crossings]])</f>
        <v>#VALUE!</v>
      </c>
      <c r="BL3" s="5" t="e">
        <f aca="false">IFERROR(IF(OR(MatchData[[#this row],[challenge flag]],MatchData[[#this row],[climb flag]]),1,0),0)</f>
        <v>#VALUE!</v>
      </c>
      <c r="BM3" s="5" t="e">
        <f aca="false">MatchData[auto high goals]*10+MatchData[teleop high goals]*5</f>
        <v>#VALUE!</v>
      </c>
      <c r="BN3" s="5" t="e">
        <f aca="false">MatchData[auto low goals]*5+MatchData[teleop low goals]*2</f>
        <v>#VALUE!</v>
      </c>
      <c r="BO3" s="5" t="e">
        <f aca="false">MatchData[high goal score]+MatchData[low goal score]</f>
        <v>#VALUE!</v>
      </c>
      <c r="BP3" s="5" t="e">
        <f aca="false">MatchData[teleop high goals]+MatchData[teleop low goals]</f>
        <v>#VALUE!</v>
      </c>
      <c r="BQ3" s="5" t="e">
        <f aca="false">MatchData[[#this row],[auto reach flag]]*2+SUM(MatchData[[#this row],[portcullis auto crossings]:[low bar auto crossings]])*10+MatchData[[#this row],[auto low goals]]*5+MatchData[auto high goals]*10</f>
        <v>#VALUE!</v>
      </c>
      <c r="BR3" s="5" t="e">
        <f aca="false">SUM(MatchData[[#this row],[cheval teleop crossing score]:[low bar teleop crossing score]])</f>
        <v>#VALUE!</v>
      </c>
      <c r="BS3" s="5" t="e">
        <f aca="false">SUMIF(MatchData[team],MatchData[[#this row],[team]],MatchData[total auto score])/MatchData[match count]</f>
        <v>#VALUE!</v>
      </c>
      <c r="BT3" s="5" t="e">
        <f aca="false">MatchData[challenge flag]*5</f>
        <v>#VALUE!</v>
      </c>
      <c r="BU3" s="5" t="e">
        <f aca="false">MatchData[climb flag]*15</f>
        <v>#VALUE!</v>
      </c>
      <c r="BV3" s="5" t="e">
        <f aca="false">SUM(MatchData[[#this row],[total goal score]],MatchData[[#this row],[crossing score]],MatchData[[#this row],[challenge score]],MatchData[[#this row],[climb score]],MatchData[[#this row],[total auto score]])</f>
        <v>#VALUE!</v>
      </c>
      <c r="BW3" s="16" t="e">
        <f aca="false">ROUND(SUMIF(MatchData[team],MatchData[[#this row],[team]],MatchData[teleop low goals])/COUNTIF(MatchData[team],MatchData[[#this row],[team]]),2)</f>
        <v>#VALUE!</v>
      </c>
      <c r="BX3" s="16" t="e">
        <f aca="false">ROUND(SUMIF(MatchData[team],MatchData[[#this row],[team]],MatchData[teleop high goals])/COUNTIF(MatchData[team],MatchData[[#this row],[team]]),2)</f>
        <v>#VALUE!</v>
      </c>
      <c r="BY3" s="16" t="e">
        <f aca="false">COUNTIF(MatchData[team],MatchData[[#this row],[team]])</f>
        <v>#VALUE!</v>
      </c>
      <c r="BZ3" s="16" t="e">
        <f aca="false">SUMIF(MatchData[team],MatchData[[#this row],[team]],MatchData[portcullis available])</f>
        <v>#VALUE!</v>
      </c>
      <c r="CA3" s="16" t="e">
        <f aca="false">SUMIF(MatchData[team],MatchData[[#this row],[team]],MatchData[cheval available])</f>
        <v>#VALUE!</v>
      </c>
      <c r="CB3" s="16" t="e">
        <f aca="false">SUMIF(MatchData[team],MatchData[[#this row],[team]],MatchData[moat available])</f>
        <v>#VALUE!</v>
      </c>
      <c r="CC3" s="16" t="e">
        <f aca="false">SUMIF(MatchData[team],MatchData[[#this row],[team]],MatchData[ramparts available])</f>
        <v>#VALUE!</v>
      </c>
      <c r="CD3" s="16" t="e">
        <f aca="false">SUMIF(MatchData[team],MatchData[[#this row],[team]],MatchData[drawbridge available])</f>
        <v>#VALUE!</v>
      </c>
      <c r="CE3" s="16" t="e">
        <f aca="false">SUMIF(MatchData[team],MatchData[[#this row],[team]],MatchData[sally port available])</f>
        <v>#VALUE!</v>
      </c>
      <c r="CF3" s="16" t="e">
        <f aca="false">SUMIF(MatchData[team],MatchData[[#this row],[team]],MatchData[rock wall available])</f>
        <v>#VALUE!</v>
      </c>
      <c r="CG3" s="16" t="e">
        <f aca="false">SUMIF(MatchData[team],MatchData[[#this row],[team]],MatchData[rough terrain available])</f>
        <v>#VALUE!</v>
      </c>
      <c r="CH3" s="16" t="e">
        <f aca="false">SUMIF(MatchData[team],MatchData[[#this row],[team]],MatchData[low bar available])</f>
        <v>#VALUE!</v>
      </c>
      <c r="CI3" s="16" t="e">
        <f aca="false">SUMIF(MatchData[team],MatchData[[#this row],[team]],MatchData[portcullis teleop crossings]:MatchData[portcullis scored crossings])</f>
        <v>#VALUE!</v>
      </c>
      <c r="CJ3" s="16" t="e">
        <f aca="false">SUMIF(MatchData[team],MatchData[[#this row],[team]],MatchData[cheval teleop crossings])+SUMIF(MatchData[team],MatchData[[#this row],[team]],MatchData[cheval scored crossings])</f>
        <v>#VALUE!</v>
      </c>
      <c r="CK3" s="16" t="e">
        <f aca="false">SUMIF(MatchData[team],MatchData[[#this row],[team]],MatchData[moat teleop crossings])+SUMIF(MatchData[team],MatchData[[#this row],[team]],MatchData[moat scored crosings])</f>
        <v>#VALUE!</v>
      </c>
      <c r="CL3" s="16" t="e">
        <f aca="false">SUMIF(MatchData[team],MatchData[[#this row],[team]],MatchData[ramparts teleop crossings])+SUMIF(MatchData[team],MatchData[[#this row],[team]],MatchData[ramparts scored crossings])</f>
        <v>#VALUE!</v>
      </c>
      <c r="CM3" s="16" t="e">
        <f aca="false">SUMIF(MatchData[team],MatchData[[#this row],[team]],MatchData[drawbridge teleop crossings])+SUMIF(MatchData[team],MatchData[[#this row],[team]],MatchData[drawbridge scored crossings])</f>
        <v>#VALUE!</v>
      </c>
      <c r="CN3" s="16" t="e">
        <f aca="false">SUMIF(MatchData[team],MatchData[[#this row],[team]],MatchData[sally port teleop crossings])+SUMIF(MatchData[team],MatchData[[#this row],[team]],MatchData[sally port scored crossings])</f>
        <v>#VALUE!</v>
      </c>
      <c r="CO3" s="16" t="e">
        <f aca="false">SUMIF(MatchData[team],MatchData[[#this row],[team]],MatchData[rock wall teleop crossings])+SUMIF(MatchData[team],MatchData[[#this row],[team]],MatchData[rock wall scored crossings])</f>
        <v>#VALUE!</v>
      </c>
      <c r="CP3" s="16" t="e">
        <f aca="false">SUMIF(MatchData[team],MatchData[[#this row],[team]],MatchData[rough terrain teleop crossings])+SUMIF(MatchData[team],MatchData[[#this row],[team]],MatchData[rough terrain scored crossings])</f>
        <v>#VALUE!</v>
      </c>
      <c r="CQ3" s="16" t="e">
        <f aca="false">SUMIF(MatchData[team],MatchData[[#this row],[team]],MatchData[low bar teleop crossings])+SUMIF(MatchData[team],MatchData[[#this row],[team]],MatchData[low bar scored crossings])</f>
        <v>#VALUE!</v>
      </c>
      <c r="CR3" s="16" t="e">
        <f aca="false">IFERROR(ROUND(MatchData[[#this row],[portcullis sum]]/MatchData[[#this row],[portcullis avail count]],2),0)</f>
        <v>#VALUE!</v>
      </c>
      <c r="CS3" s="5" t="e">
        <f aca="false">IFERROR(ROUND(MatchData[[#this row],[cheval sum]]/MatchData[[#this row],[cheval avail count]],2),0)</f>
        <v>#VALUE!</v>
      </c>
      <c r="CT3" s="5" t="e">
        <f aca="false">IFERROR(ROUND(MatchData[[#this row],[moat sum]]/MatchData[[#this row],[moat avail count]],2),0)</f>
        <v>#VALUE!</v>
      </c>
      <c r="CU3" s="5" t="e">
        <f aca="false">IFERROR(ROUND(MatchData[[#this row],[ramparts sum]]/MatchData[[#this row],[ramparts avail count]],2),0)</f>
        <v>#VALUE!</v>
      </c>
      <c r="CV3" s="5" t="e">
        <f aca="false">IFERROR(ROUND(MatchData[[#this row],[drawbridge sum]]/MatchData[[#this row],[drawbridge avail countigh6]],2),0)</f>
        <v>#VALUE!</v>
      </c>
      <c r="CW3" s="5" t="e">
        <f aca="false">IFERROR(ROUND(MatchData[[#this row],[sally port sum]]/MatchData[[#this row],[sally port avail count]],2),0)</f>
        <v>#VALUE!</v>
      </c>
      <c r="CX3" s="5" t="e">
        <f aca="false">IFERROR(ROUND(MatchData[[#this row],[rock wall sum]]/MatchData[[#this row],[rock wall avail count]],2),0)</f>
        <v>#VALUE!</v>
      </c>
      <c r="CY3" s="5" t="e">
        <f aca="false">IFERROR(ROUND(MatchData[[#this row],[rough terrain sum]]/MatchData[[#this row],[rough terrain avail count]],2),0)</f>
        <v>#VALUE!</v>
      </c>
      <c r="CZ3" s="5" t="e">
        <f aca="false">IFERROR(ROUND(MatchData[[#this row],[low bar sum]]/MatchData[[#this row],[low bar avail count]],2),0)</f>
        <v>#VALUE!</v>
      </c>
      <c r="DA3" s="5" t="e">
        <f aca="false">SUM(MatchData[[#this row],[cheval sum]:[low bar sum]])/MatchData[match count]</f>
        <v>#VALUE!</v>
      </c>
      <c r="DB3" s="16" t="n">
        <f aca="false">MAX(IF(C$2:C$74=C3,BP$2:BP$74))</f>
        <v>-1.79769313486232E+308</v>
      </c>
      <c r="DC3" s="16" t="e">
        <f aca="false">AVERAGEIF(MatchData[team],MatchData[[#this row],[team]],MatchData[total score])</f>
        <v>#VALUE!</v>
      </c>
      <c r="DD3" s="16" t="e">
        <f aca="false">ROUND(AVERAGEIF(MatchData[team],MatchData[team],MatchData[climb or challenge flag]),2)</f>
        <v>#VALUE!</v>
      </c>
    </row>
    <row r="4" customFormat="false" ht="14.5" hidden="false" customHeight="false" outlineLevel="0" collapsed="false">
      <c r="A4" s="13" t="s">
        <v>108</v>
      </c>
      <c r="B4" s="14" t="n">
        <v>1</v>
      </c>
      <c r="C4" s="15" t="n">
        <v>2635</v>
      </c>
      <c r="D4" s="5" t="s">
        <v>109</v>
      </c>
      <c r="E4" s="5" t="s">
        <v>112</v>
      </c>
      <c r="F4" s="5"/>
      <c r="G4" s="5"/>
      <c r="H4" s="5"/>
      <c r="I4" s="5"/>
      <c r="J4" s="5" t="n">
        <v>1</v>
      </c>
      <c r="K4" s="5"/>
      <c r="L4" s="5" t="n">
        <v>1</v>
      </c>
      <c r="M4" s="5" t="n">
        <v>1</v>
      </c>
      <c r="N4" s="5"/>
      <c r="O4" s="5" t="n">
        <v>1</v>
      </c>
      <c r="P4" s="5"/>
      <c r="Q4" s="5" t="n">
        <v>1</v>
      </c>
      <c r="R4" s="5"/>
      <c r="T4" s="5"/>
      <c r="U4" s="5"/>
      <c r="V4" s="5"/>
      <c r="W4" s="5"/>
      <c r="X4" s="5"/>
      <c r="Y4" s="5"/>
      <c r="Z4" s="5"/>
      <c r="AA4" s="5"/>
      <c r="AB4" s="5"/>
      <c r="AC4" s="5"/>
      <c r="AD4" s="5"/>
      <c r="AE4" s="5"/>
      <c r="AF4" s="5"/>
      <c r="AG4" s="5"/>
      <c r="AI4" s="5"/>
      <c r="AJ4" s="5"/>
      <c r="AK4" s="5"/>
      <c r="AL4" s="5"/>
      <c r="AM4" s="5"/>
      <c r="AN4" s="5"/>
      <c r="AO4" s="5"/>
      <c r="AQ4" s="5"/>
      <c r="AS4" s="5"/>
      <c r="AT4" s="5"/>
      <c r="AU4" s="5"/>
      <c r="AV4" s="5"/>
      <c r="AX4" s="5"/>
      <c r="AY4" s="5"/>
      <c r="AZ4" s="5" t="n">
        <v>1</v>
      </c>
      <c r="BC4" s="5" t="e">
        <f aca="false">MatchData[cheval scored crossings]*5</f>
        <v>#VALUE!</v>
      </c>
      <c r="BD4" s="5" t="e">
        <f aca="false">MatchData[moat scored crosings]*5</f>
        <v>#VALUE!</v>
      </c>
      <c r="BE4" s="5" t="e">
        <f aca="false">MatchData[ramparts scored crossings]*5</f>
        <v>#VALUE!</v>
      </c>
      <c r="BF4" s="5" t="e">
        <f aca="false">MatchData[drawbridge scored crossings]*5</f>
        <v>#VALUE!</v>
      </c>
      <c r="BG4" s="5" t="e">
        <f aca="false">MatchData[sally port scored crossings]*5</f>
        <v>#VALUE!</v>
      </c>
      <c r="BH4" s="5" t="e">
        <f aca="false">MatchData[rock wall scored crossings]*5</f>
        <v>#VALUE!</v>
      </c>
      <c r="BI4" s="5" t="e">
        <f aca="false">MatchData[rough terrain scored crossings]*5</f>
        <v>#VALUE!</v>
      </c>
      <c r="BJ4" s="5" t="e">
        <f aca="false">MatchData[low bar scored crossings]*5</f>
        <v>#VALUE!</v>
      </c>
      <c r="BK4" s="5" t="e">
        <f aca="false">SUM(MatchData[[#this row],[low bar teleop crossings]:[rough terrain scored crossings]])</f>
        <v>#VALUE!</v>
      </c>
      <c r="BL4" s="5" t="e">
        <f aca="false">IFERROR(IF(OR(MatchData[[#this row],[challenge flag]],MatchData[[#this row],[climb flag]]),1,0),0)</f>
        <v>#VALUE!</v>
      </c>
      <c r="BM4" s="5" t="e">
        <f aca="false">MatchData[auto high goals]*10+MatchData[teleop high goals]*5</f>
        <v>#VALUE!</v>
      </c>
      <c r="BN4" s="5" t="e">
        <f aca="false">MatchData[auto low goals]*5+MatchData[teleop low goals]*2</f>
        <v>#VALUE!</v>
      </c>
      <c r="BO4" s="5" t="e">
        <f aca="false">MatchData[high goal score]+MatchData[low goal score]</f>
        <v>#VALUE!</v>
      </c>
      <c r="BP4" s="5" t="e">
        <f aca="false">MatchData[teleop high goals]+MatchData[teleop low goals]</f>
        <v>#VALUE!</v>
      </c>
      <c r="BQ4" s="5" t="e">
        <f aca="false">MatchData[[#this row],[auto reach flag]]*2+SUM(MatchData[[#this row],[portcullis auto crossings]:[low bar auto crossings]])*10+MatchData[[#this row],[auto low goals]]*5+MatchData[auto high goals]*10</f>
        <v>#VALUE!</v>
      </c>
      <c r="BR4" s="5" t="e">
        <f aca="false">SUM(MatchData[[#this row],[cheval teleop crossing score]:[low bar teleop crossing score]])</f>
        <v>#VALUE!</v>
      </c>
      <c r="BS4" s="5" t="e">
        <f aca="false">SUMIF(MatchData[team],MatchData[[#this row],[team]],MatchData[total auto score])/MatchData[match count]</f>
        <v>#VALUE!</v>
      </c>
      <c r="BT4" s="5" t="e">
        <f aca="false">MatchData[challenge flag]*5</f>
        <v>#VALUE!</v>
      </c>
      <c r="BU4" s="5" t="e">
        <f aca="false">MatchData[climb flag]*15</f>
        <v>#VALUE!</v>
      </c>
      <c r="BV4" s="5" t="e">
        <f aca="false">SUM(MatchData[[#this row],[total goal score]],MatchData[[#this row],[crossing score]],MatchData[[#this row],[challenge score]],MatchData[[#this row],[climb score]],MatchData[[#this row],[total auto score]])</f>
        <v>#VALUE!</v>
      </c>
      <c r="BW4" s="16" t="e">
        <f aca="false">ROUND(SUMIF(MatchData[team],MatchData[[#this row],[team]],MatchData[teleop low goals])/COUNTIF(MatchData[team],MatchData[[#this row],[team]]),2)</f>
        <v>#VALUE!</v>
      </c>
      <c r="BX4" s="16" t="e">
        <f aca="false">ROUND(SUMIF(MatchData[team],MatchData[[#this row],[team]],MatchData[teleop high goals])/COUNTIF(MatchData[team],MatchData[[#this row],[team]]),2)</f>
        <v>#VALUE!</v>
      </c>
      <c r="BY4" s="16" t="e">
        <f aca="false">COUNTIF(MatchData[team],MatchData[[#this row],[team]])</f>
        <v>#VALUE!</v>
      </c>
      <c r="BZ4" s="16" t="e">
        <f aca="false">SUMIF(MatchData[team],MatchData[[#this row],[team]],MatchData[portcullis available])</f>
        <v>#VALUE!</v>
      </c>
      <c r="CA4" s="16" t="e">
        <f aca="false">SUMIF(MatchData[team],MatchData[[#this row],[team]],MatchData[cheval available])</f>
        <v>#VALUE!</v>
      </c>
      <c r="CB4" s="16" t="e">
        <f aca="false">SUMIF(MatchData[team],MatchData[[#this row],[team]],MatchData[moat available])</f>
        <v>#VALUE!</v>
      </c>
      <c r="CC4" s="16" t="e">
        <f aca="false">SUMIF(MatchData[team],MatchData[[#this row],[team]],MatchData[ramparts available])</f>
        <v>#VALUE!</v>
      </c>
      <c r="CD4" s="16" t="e">
        <f aca="false">SUMIF(MatchData[team],MatchData[[#this row],[team]],MatchData[drawbridge available])</f>
        <v>#VALUE!</v>
      </c>
      <c r="CE4" s="16" t="e">
        <f aca="false">SUMIF(MatchData[team],MatchData[[#this row],[team]],MatchData[sally port available])</f>
        <v>#VALUE!</v>
      </c>
      <c r="CF4" s="16" t="e">
        <f aca="false">SUMIF(MatchData[team],MatchData[[#this row],[team]],MatchData[rock wall available])</f>
        <v>#VALUE!</v>
      </c>
      <c r="CG4" s="16" t="e">
        <f aca="false">SUMIF(MatchData[team],MatchData[[#this row],[team]],MatchData[rough terrain available])</f>
        <v>#VALUE!</v>
      </c>
      <c r="CH4" s="16" t="e">
        <f aca="false">SUMIF(MatchData[team],MatchData[[#this row],[team]],MatchData[low bar available])</f>
        <v>#VALUE!</v>
      </c>
      <c r="CI4" s="16" t="e">
        <f aca="false">SUMIF(MatchData[team],MatchData[[#this row],[team]],MatchData[portcullis teleop crossings]:MatchData[portcullis scored crossings])</f>
        <v>#VALUE!</v>
      </c>
      <c r="CJ4" s="16" t="e">
        <f aca="false">SUMIF(MatchData[team],MatchData[[#this row],[team]],MatchData[cheval teleop crossings])+SUMIF(MatchData[team],MatchData[[#this row],[team]],MatchData[cheval scored crossings])</f>
        <v>#VALUE!</v>
      </c>
      <c r="CK4" s="16" t="e">
        <f aca="false">SUMIF(MatchData[team],MatchData[[#this row],[team]],MatchData[moat teleop crossings])+SUMIF(MatchData[team],MatchData[[#this row],[team]],MatchData[moat scored crosings])</f>
        <v>#VALUE!</v>
      </c>
      <c r="CL4" s="16" t="e">
        <f aca="false">SUMIF(MatchData[team],MatchData[[#this row],[team]],MatchData[ramparts teleop crossings])+SUMIF(MatchData[team],MatchData[[#this row],[team]],MatchData[ramparts scored crossings])</f>
        <v>#VALUE!</v>
      </c>
      <c r="CM4" s="16" t="e">
        <f aca="false">SUMIF(MatchData[team],MatchData[[#this row],[team]],MatchData[drawbridge teleop crossings])+SUMIF(MatchData[team],MatchData[[#this row],[team]],MatchData[drawbridge scored crossings])</f>
        <v>#VALUE!</v>
      </c>
      <c r="CN4" s="16" t="e">
        <f aca="false">SUMIF(MatchData[team],MatchData[[#this row],[team]],MatchData[sally port teleop crossings])+SUMIF(MatchData[team],MatchData[[#this row],[team]],MatchData[sally port scored crossings])</f>
        <v>#VALUE!</v>
      </c>
      <c r="CO4" s="16" t="e">
        <f aca="false">SUMIF(MatchData[team],MatchData[[#this row],[team]],MatchData[rock wall teleop crossings])+SUMIF(MatchData[team],MatchData[[#this row],[team]],MatchData[rock wall scored crossings])</f>
        <v>#VALUE!</v>
      </c>
      <c r="CP4" s="16" t="e">
        <f aca="false">SUMIF(MatchData[team],MatchData[[#this row],[team]],MatchData[rough terrain teleop crossings])+SUMIF(MatchData[team],MatchData[[#this row],[team]],MatchData[rough terrain scored crossings])</f>
        <v>#VALUE!</v>
      </c>
      <c r="CQ4" s="16" t="e">
        <f aca="false">SUMIF(MatchData[team],MatchData[[#this row],[team]],MatchData[low bar teleop crossings])+SUMIF(MatchData[team],MatchData[[#this row],[team]],MatchData[low bar scored crossings])</f>
        <v>#VALUE!</v>
      </c>
      <c r="CR4" s="16" t="e">
        <f aca="false">IFERROR(ROUND(MatchData[[#this row],[portcullis sum]]/MatchData[[#this row],[portcullis avail count]],2),0)</f>
        <v>#VALUE!</v>
      </c>
      <c r="CS4" s="5" t="e">
        <f aca="false">IFERROR(ROUND(MatchData[[#this row],[cheval sum]]/MatchData[[#this row],[cheval avail count]],2),0)</f>
        <v>#VALUE!</v>
      </c>
      <c r="CT4" s="5" t="e">
        <f aca="false">IFERROR(ROUND(MatchData[[#this row],[moat sum]]/MatchData[[#this row],[moat avail count]],2),0)</f>
        <v>#VALUE!</v>
      </c>
      <c r="CU4" s="5" t="e">
        <f aca="false">IFERROR(ROUND(MatchData[[#this row],[ramparts sum]]/MatchData[[#this row],[ramparts avail count]],2),0)</f>
        <v>#VALUE!</v>
      </c>
      <c r="CV4" s="5" t="e">
        <f aca="false">IFERROR(ROUND(MatchData[[#this row],[drawbridge sum]]/MatchData[[#this row],[drawbridge avail countigh6]],2),0)</f>
        <v>#VALUE!</v>
      </c>
      <c r="CW4" s="5" t="e">
        <f aca="false">IFERROR(ROUND(MatchData[[#this row],[sally port sum]]/MatchData[[#this row],[sally port avail count]],2),0)</f>
        <v>#VALUE!</v>
      </c>
      <c r="CX4" s="5" t="e">
        <f aca="false">IFERROR(ROUND(MatchData[[#this row],[rock wall sum]]/MatchData[[#this row],[rock wall avail count]],2),0)</f>
        <v>#VALUE!</v>
      </c>
      <c r="CY4" s="5" t="e">
        <f aca="false">IFERROR(ROUND(MatchData[[#this row],[rough terrain sum]]/MatchData[[#this row],[rough terrain avail count]],2),0)</f>
        <v>#VALUE!</v>
      </c>
      <c r="CZ4" s="5" t="e">
        <f aca="false">IFERROR(ROUND(MatchData[[#this row],[low bar sum]]/MatchData[[#this row],[low bar avail count]],2),0)</f>
        <v>#VALUE!</v>
      </c>
      <c r="DA4" s="5" t="e">
        <f aca="false">SUM(MatchData[[#this row],[cheval sum]:[low bar sum]])/MatchData[match count]</f>
        <v>#VALUE!</v>
      </c>
      <c r="DB4" s="16" t="n">
        <f aca="false">MAX(IF(C$2:C$74=C4,BP$2:BP$74))</f>
        <v>-1.79769313486232E+308</v>
      </c>
      <c r="DC4" s="16" t="e">
        <f aca="false">AVERAGEIF(MatchData[team],MatchData[[#this row],[team]],MatchData[total score])</f>
        <v>#VALUE!</v>
      </c>
      <c r="DD4" s="16" t="e">
        <f aca="false">ROUND(AVERAGEIF(MatchData[team],MatchData[team],MatchData[climb or challenge flag]),2)</f>
        <v>#VALUE!</v>
      </c>
    </row>
    <row r="5" customFormat="false" ht="14.5" hidden="false" customHeight="false" outlineLevel="0" collapsed="false">
      <c r="A5" s="13" t="s">
        <v>108</v>
      </c>
      <c r="B5" s="14" t="n">
        <v>1</v>
      </c>
      <c r="C5" s="15" t="n">
        <v>1510</v>
      </c>
      <c r="D5" s="5" t="s">
        <v>113</v>
      </c>
      <c r="E5" s="5" t="s">
        <v>114</v>
      </c>
      <c r="F5" s="5"/>
      <c r="G5" s="5"/>
      <c r="H5" s="5"/>
      <c r="I5" s="5"/>
      <c r="J5" s="5" t="n">
        <v>1</v>
      </c>
      <c r="K5" s="5"/>
      <c r="L5" s="5" t="n">
        <v>1</v>
      </c>
      <c r="M5" s="5" t="n">
        <v>1</v>
      </c>
      <c r="N5" s="5"/>
      <c r="O5" s="5" t="n">
        <v>1</v>
      </c>
      <c r="P5" s="5"/>
      <c r="Q5" s="5" t="n">
        <v>1</v>
      </c>
      <c r="R5" s="5"/>
      <c r="T5" s="5"/>
      <c r="U5" s="5"/>
      <c r="V5" s="5"/>
      <c r="W5" s="5"/>
      <c r="X5" s="5"/>
      <c r="Y5" s="5"/>
      <c r="Z5" s="5"/>
      <c r="AA5" s="5"/>
      <c r="AB5" s="5"/>
      <c r="AC5" s="5"/>
      <c r="AD5" s="5"/>
      <c r="AE5" s="5"/>
      <c r="AF5" s="5"/>
      <c r="AG5" s="5"/>
      <c r="AH5" s="5" t="n">
        <v>1</v>
      </c>
      <c r="AI5" s="5"/>
      <c r="AJ5" s="5"/>
      <c r="AK5" s="5"/>
      <c r="AL5" s="5"/>
      <c r="AM5" s="5"/>
      <c r="AN5" s="5"/>
      <c r="AO5" s="5"/>
      <c r="AQ5" s="5"/>
      <c r="AS5" s="5"/>
      <c r="AT5" s="5"/>
      <c r="AU5" s="5"/>
      <c r="AV5" s="5"/>
      <c r="AX5" s="5"/>
      <c r="AY5" s="5"/>
      <c r="AZ5" s="5" t="n">
        <v>1</v>
      </c>
      <c r="BC5" s="5" t="e">
        <f aca="false">MatchData[cheval scored crossings]*5</f>
        <v>#VALUE!</v>
      </c>
      <c r="BD5" s="5" t="e">
        <f aca="false">MatchData[moat scored crosings]*5</f>
        <v>#VALUE!</v>
      </c>
      <c r="BE5" s="5" t="e">
        <f aca="false">MatchData[ramparts scored crossings]*5</f>
        <v>#VALUE!</v>
      </c>
      <c r="BF5" s="5" t="e">
        <f aca="false">MatchData[drawbridge scored crossings]*5</f>
        <v>#VALUE!</v>
      </c>
      <c r="BG5" s="5" t="e">
        <f aca="false">MatchData[sally port scored crossings]*5</f>
        <v>#VALUE!</v>
      </c>
      <c r="BH5" s="5" t="e">
        <f aca="false">MatchData[rock wall scored crossings]*5</f>
        <v>#VALUE!</v>
      </c>
      <c r="BI5" s="5" t="e">
        <f aca="false">MatchData[rough terrain scored crossings]*5</f>
        <v>#VALUE!</v>
      </c>
      <c r="BJ5" s="5" t="e">
        <f aca="false">MatchData[low bar scored crossings]*5</f>
        <v>#VALUE!</v>
      </c>
      <c r="BK5" s="5" t="e">
        <f aca="false">SUM(MatchData[[#this row],[low bar teleop crossings]:[rough terrain scored crossings]])</f>
        <v>#VALUE!</v>
      </c>
      <c r="BL5" s="5" t="e">
        <f aca="false">IFERROR(IF(OR(MatchData[[#this row],[challenge flag]],MatchData[[#this row],[climb flag]]),1,0),0)</f>
        <v>#VALUE!</v>
      </c>
      <c r="BM5" s="5" t="e">
        <f aca="false">MatchData[auto high goals]*10+MatchData[teleop high goals]*5</f>
        <v>#VALUE!</v>
      </c>
      <c r="BN5" s="5" t="e">
        <f aca="false">MatchData[auto low goals]*5+MatchData[teleop low goals]*2</f>
        <v>#VALUE!</v>
      </c>
      <c r="BO5" s="5" t="e">
        <f aca="false">MatchData[high goal score]+MatchData[low goal score]</f>
        <v>#VALUE!</v>
      </c>
      <c r="BP5" s="5" t="e">
        <f aca="false">MatchData[teleop high goals]+MatchData[teleop low goals]</f>
        <v>#VALUE!</v>
      </c>
      <c r="BQ5" s="5" t="e">
        <f aca="false">MatchData[[#this row],[auto reach flag]]*2+SUM(MatchData[[#this row],[portcullis auto crossings]:[low bar auto crossings]])*10+MatchData[[#this row],[auto low goals]]*5+MatchData[auto high goals]*10</f>
        <v>#VALUE!</v>
      </c>
      <c r="BR5" s="5" t="e">
        <f aca="false">SUM(MatchData[[#this row],[cheval teleop crossing score]:[low bar teleop crossing score]])</f>
        <v>#VALUE!</v>
      </c>
      <c r="BS5" s="5" t="e">
        <f aca="false">SUMIF(MatchData[team],MatchData[[#this row],[team]],MatchData[total auto score])/MatchData[match count]</f>
        <v>#VALUE!</v>
      </c>
      <c r="BT5" s="5" t="e">
        <f aca="false">MatchData[challenge flag]*5</f>
        <v>#VALUE!</v>
      </c>
      <c r="BU5" s="5" t="e">
        <f aca="false">MatchData[climb flag]*15</f>
        <v>#VALUE!</v>
      </c>
      <c r="BV5" s="5" t="e">
        <f aca="false">SUM(MatchData[[#this row],[total goal score]],MatchData[[#this row],[crossing score]],MatchData[[#this row],[challenge score]],MatchData[[#this row],[climb score]],MatchData[[#this row],[total auto score]])</f>
        <v>#VALUE!</v>
      </c>
      <c r="BW5" s="16" t="e">
        <f aca="false">ROUND(SUMIF(MatchData[team],MatchData[[#this row],[team]],MatchData[teleop low goals])/COUNTIF(MatchData[team],MatchData[[#this row],[team]]),2)</f>
        <v>#VALUE!</v>
      </c>
      <c r="BX5" s="16" t="e">
        <f aca="false">ROUND(SUMIF(MatchData[team],MatchData[[#this row],[team]],MatchData[teleop high goals])/COUNTIF(MatchData[team],MatchData[[#this row],[team]]),2)</f>
        <v>#VALUE!</v>
      </c>
      <c r="BY5" s="16" t="e">
        <f aca="false">COUNTIF(MatchData[team],MatchData[[#this row],[team]])</f>
        <v>#VALUE!</v>
      </c>
      <c r="BZ5" s="16" t="e">
        <f aca="false">SUMIF(MatchData[team],MatchData[[#this row],[team]],MatchData[portcullis available])</f>
        <v>#VALUE!</v>
      </c>
      <c r="CA5" s="16" t="e">
        <f aca="false">SUMIF(MatchData[team],MatchData[[#this row],[team]],MatchData[cheval available])</f>
        <v>#VALUE!</v>
      </c>
      <c r="CB5" s="16" t="e">
        <f aca="false">SUMIF(MatchData[team],MatchData[[#this row],[team]],MatchData[moat available])</f>
        <v>#VALUE!</v>
      </c>
      <c r="CC5" s="16" t="e">
        <f aca="false">SUMIF(MatchData[team],MatchData[[#this row],[team]],MatchData[ramparts available])</f>
        <v>#VALUE!</v>
      </c>
      <c r="CD5" s="16" t="e">
        <f aca="false">SUMIF(MatchData[team],MatchData[[#this row],[team]],MatchData[drawbridge available])</f>
        <v>#VALUE!</v>
      </c>
      <c r="CE5" s="16" t="e">
        <f aca="false">SUMIF(MatchData[team],MatchData[[#this row],[team]],MatchData[sally port available])</f>
        <v>#VALUE!</v>
      </c>
      <c r="CF5" s="16" t="e">
        <f aca="false">SUMIF(MatchData[team],MatchData[[#this row],[team]],MatchData[rock wall available])</f>
        <v>#VALUE!</v>
      </c>
      <c r="CG5" s="16" t="e">
        <f aca="false">SUMIF(MatchData[team],MatchData[[#this row],[team]],MatchData[rough terrain available])</f>
        <v>#VALUE!</v>
      </c>
      <c r="CH5" s="16" t="e">
        <f aca="false">SUMIF(MatchData[team],MatchData[[#this row],[team]],MatchData[low bar available])</f>
        <v>#VALUE!</v>
      </c>
      <c r="CI5" s="16" t="e">
        <f aca="false">SUMIF(MatchData[team],MatchData[[#this row],[team]],MatchData[portcullis teleop crossings]:MatchData[portcullis scored crossings])</f>
        <v>#VALUE!</v>
      </c>
      <c r="CJ5" s="16" t="e">
        <f aca="false">SUMIF(MatchData[team],MatchData[[#this row],[team]],MatchData[cheval teleop crossings])+SUMIF(MatchData[team],MatchData[[#this row],[team]],MatchData[cheval scored crossings])</f>
        <v>#VALUE!</v>
      </c>
      <c r="CK5" s="16" t="e">
        <f aca="false">SUMIF(MatchData[team],MatchData[[#this row],[team]],MatchData[moat teleop crossings])+SUMIF(MatchData[team],MatchData[[#this row],[team]],MatchData[moat scored crosings])</f>
        <v>#VALUE!</v>
      </c>
      <c r="CL5" s="16" t="e">
        <f aca="false">SUMIF(MatchData[team],MatchData[[#this row],[team]],MatchData[ramparts teleop crossings])+SUMIF(MatchData[team],MatchData[[#this row],[team]],MatchData[ramparts scored crossings])</f>
        <v>#VALUE!</v>
      </c>
      <c r="CM5" s="16" t="e">
        <f aca="false">SUMIF(MatchData[team],MatchData[[#this row],[team]],MatchData[drawbridge teleop crossings])+SUMIF(MatchData[team],MatchData[[#this row],[team]],MatchData[drawbridge scored crossings])</f>
        <v>#VALUE!</v>
      </c>
      <c r="CN5" s="16" t="e">
        <f aca="false">SUMIF(MatchData[team],MatchData[[#this row],[team]],MatchData[sally port teleop crossings])+SUMIF(MatchData[team],MatchData[[#this row],[team]],MatchData[sally port scored crossings])</f>
        <v>#VALUE!</v>
      </c>
      <c r="CO5" s="16" t="e">
        <f aca="false">SUMIF(MatchData[team],MatchData[[#this row],[team]],MatchData[rock wall teleop crossings])+SUMIF(MatchData[team],MatchData[[#this row],[team]],MatchData[rock wall scored crossings])</f>
        <v>#VALUE!</v>
      </c>
      <c r="CP5" s="16" t="e">
        <f aca="false">SUMIF(MatchData[team],MatchData[[#this row],[team]],MatchData[rough terrain teleop crossings])+SUMIF(MatchData[team],MatchData[[#this row],[team]],MatchData[rough terrain scored crossings])</f>
        <v>#VALUE!</v>
      </c>
      <c r="CQ5" s="16" t="e">
        <f aca="false">SUMIF(MatchData[team],MatchData[[#this row],[team]],MatchData[low bar teleop crossings])+SUMIF(MatchData[team],MatchData[[#this row],[team]],MatchData[low bar scored crossings])</f>
        <v>#VALUE!</v>
      </c>
      <c r="CR5" s="16" t="e">
        <f aca="false">IFERROR(ROUND(MatchData[[#this row],[portcullis sum]]/MatchData[[#this row],[portcullis avail count]],2),0)</f>
        <v>#VALUE!</v>
      </c>
      <c r="CS5" s="5" t="e">
        <f aca="false">IFERROR(ROUND(MatchData[[#this row],[cheval sum]]/MatchData[[#this row],[cheval avail count]],2),0)</f>
        <v>#VALUE!</v>
      </c>
      <c r="CT5" s="5" t="e">
        <f aca="false">IFERROR(ROUND(MatchData[[#this row],[moat sum]]/MatchData[[#this row],[moat avail count]],2),0)</f>
        <v>#VALUE!</v>
      </c>
      <c r="CU5" s="5" t="e">
        <f aca="false">IFERROR(ROUND(MatchData[[#this row],[ramparts sum]]/MatchData[[#this row],[ramparts avail count]],2),0)</f>
        <v>#VALUE!</v>
      </c>
      <c r="CV5" s="5" t="e">
        <f aca="false">IFERROR(ROUND(MatchData[[#this row],[drawbridge sum]]/MatchData[[#this row],[drawbridge avail countigh6]],2),0)</f>
        <v>#VALUE!</v>
      </c>
      <c r="CW5" s="5" t="e">
        <f aca="false">IFERROR(ROUND(MatchData[[#this row],[sally port sum]]/MatchData[[#this row],[sally port avail count]],2),0)</f>
        <v>#VALUE!</v>
      </c>
      <c r="CX5" s="5" t="e">
        <f aca="false">IFERROR(ROUND(MatchData[[#this row],[rock wall sum]]/MatchData[[#this row],[rock wall avail count]],2),0)</f>
        <v>#VALUE!</v>
      </c>
      <c r="CY5" s="5" t="e">
        <f aca="false">IFERROR(ROUND(MatchData[[#this row],[rough terrain sum]]/MatchData[[#this row],[rough terrain avail count]],2),0)</f>
        <v>#VALUE!</v>
      </c>
      <c r="CZ5" s="5" t="e">
        <f aca="false">IFERROR(ROUND(MatchData[[#this row],[low bar sum]]/MatchData[[#this row],[low bar avail count]],2),0)</f>
        <v>#VALUE!</v>
      </c>
      <c r="DA5" s="5" t="e">
        <f aca="false">SUM(MatchData[[#this row],[cheval sum]:[low bar sum]])/MatchData[match count]</f>
        <v>#VALUE!</v>
      </c>
      <c r="DB5" s="16" t="n">
        <f aca="false">MAX(IF(C$2:C$74=C5,BP$2:BP$74))</f>
        <v>-1.79769313486232E+308</v>
      </c>
      <c r="DC5" s="16" t="e">
        <f aca="false">AVERAGEIF(MatchData[team],MatchData[[#this row],[team]],MatchData[total score])</f>
        <v>#VALUE!</v>
      </c>
      <c r="DD5" s="16" t="e">
        <f aca="false">ROUND(AVERAGEIF(MatchData[team],MatchData[team],MatchData[climb or challenge flag]),2)</f>
        <v>#VALUE!</v>
      </c>
    </row>
    <row r="6" customFormat="false" ht="14.5" hidden="false" customHeight="false" outlineLevel="0" collapsed="false">
      <c r="A6" s="13" t="s">
        <v>108</v>
      </c>
      <c r="B6" s="14" t="n">
        <v>1</v>
      </c>
      <c r="C6" s="15" t="n">
        <v>3673</v>
      </c>
      <c r="D6" s="5" t="s">
        <v>113</v>
      </c>
      <c r="E6" s="5" t="s">
        <v>115</v>
      </c>
      <c r="F6" s="5"/>
      <c r="G6" s="5"/>
      <c r="H6" s="5"/>
      <c r="I6" s="5"/>
      <c r="J6" s="5" t="n">
        <v>1</v>
      </c>
      <c r="K6" s="5"/>
      <c r="L6" s="5" t="n">
        <v>1</v>
      </c>
      <c r="M6" s="5" t="n">
        <v>1</v>
      </c>
      <c r="N6" s="5"/>
      <c r="O6" s="5" t="n">
        <v>1</v>
      </c>
      <c r="P6" s="5"/>
      <c r="Q6" s="5" t="n">
        <v>1</v>
      </c>
      <c r="R6" s="5"/>
      <c r="T6" s="5"/>
      <c r="U6" s="5"/>
      <c r="V6" s="5"/>
      <c r="W6" s="5"/>
      <c r="X6" s="5"/>
      <c r="Y6" s="5"/>
      <c r="Z6" s="5"/>
      <c r="AA6" s="5"/>
      <c r="AB6" s="5"/>
      <c r="AC6" s="5"/>
      <c r="AD6" s="5"/>
      <c r="AE6" s="5"/>
      <c r="AF6" s="5"/>
      <c r="AG6" s="5"/>
      <c r="AI6" s="5"/>
      <c r="AJ6" s="5"/>
      <c r="AK6" s="5"/>
      <c r="AL6" s="5"/>
      <c r="AM6" s="5"/>
      <c r="AN6" s="5"/>
      <c r="AO6" s="5"/>
      <c r="AQ6" s="5"/>
      <c r="AS6" s="5"/>
      <c r="AT6" s="5"/>
      <c r="AU6" s="5"/>
      <c r="AV6" s="5"/>
      <c r="AW6" s="5" t="n">
        <v>0</v>
      </c>
      <c r="AX6" s="5" t="n">
        <v>0</v>
      </c>
      <c r="AY6" s="5" t="n">
        <v>0</v>
      </c>
      <c r="AZ6" s="5" t="n">
        <v>1</v>
      </c>
      <c r="BA6" s="5" t="n">
        <v>0</v>
      </c>
      <c r="BC6" s="5" t="e">
        <f aca="false">MatchData[cheval scored crossings]*5</f>
        <v>#VALUE!</v>
      </c>
      <c r="BD6" s="5" t="e">
        <f aca="false">MatchData[moat scored crosings]*5</f>
        <v>#VALUE!</v>
      </c>
      <c r="BE6" s="5" t="e">
        <f aca="false">MatchData[ramparts scored crossings]*5</f>
        <v>#VALUE!</v>
      </c>
      <c r="BF6" s="5" t="e">
        <f aca="false">MatchData[drawbridge scored crossings]*5</f>
        <v>#VALUE!</v>
      </c>
      <c r="BG6" s="5" t="e">
        <f aca="false">MatchData[sally port scored crossings]*5</f>
        <v>#VALUE!</v>
      </c>
      <c r="BH6" s="5" t="e">
        <f aca="false">MatchData[rock wall scored crossings]*5</f>
        <v>#VALUE!</v>
      </c>
      <c r="BI6" s="5" t="e">
        <f aca="false">MatchData[rough terrain scored crossings]*5</f>
        <v>#VALUE!</v>
      </c>
      <c r="BJ6" s="5" t="e">
        <f aca="false">MatchData[low bar scored crossings]*5</f>
        <v>#VALUE!</v>
      </c>
      <c r="BK6" s="5" t="e">
        <f aca="false">SUM(MatchData[[#this row],[low bar teleop crossings]:[rough terrain scored crossings]])</f>
        <v>#VALUE!</v>
      </c>
      <c r="BL6" s="5" t="e">
        <f aca="false">IFERROR(IF(OR(MatchData[[#this row],[challenge flag]],MatchData[[#this row],[climb flag]]),1,0),0)</f>
        <v>#VALUE!</v>
      </c>
      <c r="BM6" s="5" t="e">
        <f aca="false">MatchData[auto high goals]*10+MatchData[teleop high goals]*5</f>
        <v>#VALUE!</v>
      </c>
      <c r="BN6" s="5" t="e">
        <f aca="false">MatchData[auto low goals]*5+MatchData[teleop low goals]*2</f>
        <v>#VALUE!</v>
      </c>
      <c r="BO6" s="5" t="e">
        <f aca="false">MatchData[high goal score]+MatchData[low goal score]</f>
        <v>#VALUE!</v>
      </c>
      <c r="BP6" s="5" t="e">
        <f aca="false">MatchData[teleop high goals]+MatchData[teleop low goals]</f>
        <v>#VALUE!</v>
      </c>
      <c r="BQ6" s="5" t="e">
        <f aca="false">MatchData[[#this row],[auto reach flag]]*2+SUM(MatchData[[#this row],[portcullis auto crossings]:[low bar auto crossings]])*10+MatchData[[#this row],[auto low goals]]*5+MatchData[auto high goals]*10</f>
        <v>#VALUE!</v>
      </c>
      <c r="BR6" s="5" t="e">
        <f aca="false">SUM(MatchData[[#this row],[cheval teleop crossing score]:[low bar teleop crossing score]])</f>
        <v>#VALUE!</v>
      </c>
      <c r="BS6" s="5" t="e">
        <f aca="false">SUMIF(MatchData[team],MatchData[[#this row],[team]],MatchData[total auto score])/MatchData[match count]</f>
        <v>#VALUE!</v>
      </c>
      <c r="BT6" s="5" t="e">
        <f aca="false">MatchData[challenge flag]*5</f>
        <v>#VALUE!</v>
      </c>
      <c r="BU6" s="5" t="e">
        <f aca="false">MatchData[climb flag]*15</f>
        <v>#VALUE!</v>
      </c>
      <c r="BV6" s="5" t="e">
        <f aca="false">SUM(MatchData[[#this row],[total goal score]],MatchData[[#this row],[crossing score]],MatchData[[#this row],[challenge score]],MatchData[[#this row],[climb score]],MatchData[[#this row],[total auto score]])</f>
        <v>#VALUE!</v>
      </c>
      <c r="BW6" s="16" t="e">
        <f aca="false">ROUND(SUMIF(MatchData[team],MatchData[[#this row],[team]],MatchData[teleop low goals])/COUNTIF(MatchData[team],MatchData[[#this row],[team]]),2)</f>
        <v>#VALUE!</v>
      </c>
      <c r="BX6" s="16" t="e">
        <f aca="false">ROUND(SUMIF(MatchData[team],MatchData[[#this row],[team]],MatchData[teleop high goals])/COUNTIF(MatchData[team],MatchData[[#this row],[team]]),2)</f>
        <v>#VALUE!</v>
      </c>
      <c r="BY6" s="16" t="e">
        <f aca="false">COUNTIF(MatchData[team],MatchData[[#this row],[team]])</f>
        <v>#VALUE!</v>
      </c>
      <c r="BZ6" s="16" t="e">
        <f aca="false">SUMIF(MatchData[team],MatchData[[#this row],[team]],MatchData[portcullis available])</f>
        <v>#VALUE!</v>
      </c>
      <c r="CA6" s="16" t="e">
        <f aca="false">SUMIF(MatchData[team],MatchData[[#this row],[team]],MatchData[cheval available])</f>
        <v>#VALUE!</v>
      </c>
      <c r="CB6" s="16" t="e">
        <f aca="false">SUMIF(MatchData[team],MatchData[[#this row],[team]],MatchData[moat available])</f>
        <v>#VALUE!</v>
      </c>
      <c r="CC6" s="16" t="e">
        <f aca="false">SUMIF(MatchData[team],MatchData[[#this row],[team]],MatchData[ramparts available])</f>
        <v>#VALUE!</v>
      </c>
      <c r="CD6" s="16" t="e">
        <f aca="false">SUMIF(MatchData[team],MatchData[[#this row],[team]],MatchData[drawbridge available])</f>
        <v>#VALUE!</v>
      </c>
      <c r="CE6" s="16" t="e">
        <f aca="false">SUMIF(MatchData[team],MatchData[[#this row],[team]],MatchData[sally port available])</f>
        <v>#VALUE!</v>
      </c>
      <c r="CF6" s="16" t="e">
        <f aca="false">SUMIF(MatchData[team],MatchData[[#this row],[team]],MatchData[rock wall available])</f>
        <v>#VALUE!</v>
      </c>
      <c r="CG6" s="16" t="e">
        <f aca="false">SUMIF(MatchData[team],MatchData[[#this row],[team]],MatchData[rough terrain available])</f>
        <v>#VALUE!</v>
      </c>
      <c r="CH6" s="16" t="e">
        <f aca="false">SUMIF(MatchData[team],MatchData[[#this row],[team]],MatchData[low bar available])</f>
        <v>#VALUE!</v>
      </c>
      <c r="CI6" s="16" t="e">
        <f aca="false">SUMIF(MatchData[team],MatchData[[#this row],[team]],MatchData[portcullis teleop crossings]:MatchData[portcullis scored crossings])</f>
        <v>#VALUE!</v>
      </c>
      <c r="CJ6" s="16" t="e">
        <f aca="false">SUMIF(MatchData[team],MatchData[[#this row],[team]],MatchData[cheval teleop crossings])+SUMIF(MatchData[team],MatchData[[#this row],[team]],MatchData[cheval scored crossings])</f>
        <v>#VALUE!</v>
      </c>
      <c r="CK6" s="16" t="e">
        <f aca="false">SUMIF(MatchData[team],MatchData[[#this row],[team]],MatchData[moat teleop crossings])+SUMIF(MatchData[team],MatchData[[#this row],[team]],MatchData[moat scored crosings])</f>
        <v>#VALUE!</v>
      </c>
      <c r="CL6" s="16" t="e">
        <f aca="false">SUMIF(MatchData[team],MatchData[[#this row],[team]],MatchData[ramparts teleop crossings])+SUMIF(MatchData[team],MatchData[[#this row],[team]],MatchData[ramparts scored crossings])</f>
        <v>#VALUE!</v>
      </c>
      <c r="CM6" s="16" t="e">
        <f aca="false">SUMIF(MatchData[team],MatchData[[#this row],[team]],MatchData[drawbridge teleop crossings])+SUMIF(MatchData[team],MatchData[[#this row],[team]],MatchData[drawbridge scored crossings])</f>
        <v>#VALUE!</v>
      </c>
      <c r="CN6" s="16" t="e">
        <f aca="false">SUMIF(MatchData[team],MatchData[[#this row],[team]],MatchData[sally port teleop crossings])+SUMIF(MatchData[team],MatchData[[#this row],[team]],MatchData[sally port scored crossings])</f>
        <v>#VALUE!</v>
      </c>
      <c r="CO6" s="16" t="e">
        <f aca="false">SUMIF(MatchData[team],MatchData[[#this row],[team]],MatchData[rock wall teleop crossings])+SUMIF(MatchData[team],MatchData[[#this row],[team]],MatchData[rock wall scored crossings])</f>
        <v>#VALUE!</v>
      </c>
      <c r="CP6" s="16" t="e">
        <f aca="false">SUMIF(MatchData[team],MatchData[[#this row],[team]],MatchData[rough terrain teleop crossings])+SUMIF(MatchData[team],MatchData[[#this row],[team]],MatchData[rough terrain scored crossings])</f>
        <v>#VALUE!</v>
      </c>
      <c r="CQ6" s="16" t="e">
        <f aca="false">SUMIF(MatchData[team],MatchData[[#this row],[team]],MatchData[low bar teleop crossings])+SUMIF(MatchData[team],MatchData[[#this row],[team]],MatchData[low bar scored crossings])</f>
        <v>#VALUE!</v>
      </c>
      <c r="CR6" s="16" t="e">
        <f aca="false">IFERROR(ROUND(MatchData[[#this row],[portcullis sum]]/MatchData[[#this row],[portcullis avail count]],2),0)</f>
        <v>#VALUE!</v>
      </c>
      <c r="CS6" s="5" t="e">
        <f aca="false">IFERROR(ROUND(MatchData[[#this row],[cheval sum]]/MatchData[[#this row],[cheval avail count]],2),0)</f>
        <v>#VALUE!</v>
      </c>
      <c r="CT6" s="5" t="e">
        <f aca="false">IFERROR(ROUND(MatchData[[#this row],[moat sum]]/MatchData[[#this row],[moat avail count]],2),0)</f>
        <v>#VALUE!</v>
      </c>
      <c r="CU6" s="5" t="e">
        <f aca="false">IFERROR(ROUND(MatchData[[#this row],[ramparts sum]]/MatchData[[#this row],[ramparts avail count]],2),0)</f>
        <v>#VALUE!</v>
      </c>
      <c r="CV6" s="5" t="e">
        <f aca="false">IFERROR(ROUND(MatchData[[#this row],[drawbridge sum]]/MatchData[[#this row],[drawbridge avail countigh6]],2),0)</f>
        <v>#VALUE!</v>
      </c>
      <c r="CW6" s="5" t="e">
        <f aca="false">IFERROR(ROUND(MatchData[[#this row],[sally port sum]]/MatchData[[#this row],[sally port avail count]],2),0)</f>
        <v>#VALUE!</v>
      </c>
      <c r="CX6" s="5" t="e">
        <f aca="false">IFERROR(ROUND(MatchData[[#this row],[rock wall sum]]/MatchData[[#this row],[rock wall avail count]],2),0)</f>
        <v>#VALUE!</v>
      </c>
      <c r="CY6" s="5" t="e">
        <f aca="false">IFERROR(ROUND(MatchData[[#this row],[rough terrain sum]]/MatchData[[#this row],[rough terrain avail count]],2),0)</f>
        <v>#VALUE!</v>
      </c>
      <c r="CZ6" s="5" t="e">
        <f aca="false">IFERROR(ROUND(MatchData[[#this row],[low bar sum]]/MatchData[[#this row],[low bar avail count]],2),0)</f>
        <v>#VALUE!</v>
      </c>
      <c r="DA6" s="5" t="e">
        <f aca="false">SUM(MatchData[[#this row],[cheval sum]:[low bar sum]])/MatchData[match count]</f>
        <v>#VALUE!</v>
      </c>
      <c r="DB6" s="16" t="n">
        <f aca="false">MAX(IF(C$2:C$74=C6,BP$2:BP$74))</f>
        <v>-1.79769313486232E+308</v>
      </c>
      <c r="DC6" s="16" t="e">
        <f aca="false">AVERAGEIF(MatchData[team],MatchData[[#this row],[team]],MatchData[total score])</f>
        <v>#VALUE!</v>
      </c>
      <c r="DD6" s="16" t="e">
        <f aca="false">ROUND(AVERAGEIF(MatchData[team],MatchData[team],MatchData[climb or challenge flag]),2)</f>
        <v>#VALUE!</v>
      </c>
    </row>
    <row r="7" customFormat="false" ht="14.5" hidden="false" customHeight="false" outlineLevel="0" collapsed="false">
      <c r="A7" s="17" t="s">
        <v>108</v>
      </c>
      <c r="B7" s="18" t="n">
        <v>1</v>
      </c>
      <c r="C7" s="15" t="n">
        <v>3812</v>
      </c>
      <c r="D7" s="5" t="s">
        <v>113</v>
      </c>
      <c r="E7" s="5" t="s">
        <v>116</v>
      </c>
      <c r="F7" s="5"/>
      <c r="G7" s="16"/>
      <c r="H7" s="5"/>
      <c r="I7" s="16"/>
      <c r="J7" s="5" t="n">
        <v>1</v>
      </c>
      <c r="K7" s="16"/>
      <c r="L7" s="5" t="n">
        <v>1</v>
      </c>
      <c r="M7" s="5" t="n">
        <v>1</v>
      </c>
      <c r="N7" s="0"/>
      <c r="O7" s="5" t="n">
        <v>1</v>
      </c>
      <c r="P7" s="0"/>
      <c r="Q7" s="5" t="n">
        <v>1</v>
      </c>
      <c r="R7" s="0"/>
      <c r="S7" s="16" t="n">
        <v>1</v>
      </c>
      <c r="T7" s="0"/>
      <c r="U7" s="16"/>
      <c r="V7" s="16"/>
      <c r="W7" s="0"/>
      <c r="X7" s="0"/>
      <c r="AD7" s="16" t="n">
        <v>1</v>
      </c>
      <c r="AE7" s="5"/>
      <c r="AF7" s="16"/>
      <c r="AG7" s="16"/>
      <c r="AH7" s="16"/>
      <c r="AJ7" s="16"/>
      <c r="AL7" s="16"/>
      <c r="AN7" s="16"/>
      <c r="AP7" s="16"/>
      <c r="AR7" s="16"/>
      <c r="AT7" s="16"/>
      <c r="AU7" s="16"/>
      <c r="AV7" s="16"/>
      <c r="AW7" s="16"/>
      <c r="AX7" s="16"/>
      <c r="AY7" s="16"/>
      <c r="AZ7" s="16" t="n">
        <v>1</v>
      </c>
      <c r="BB7" s="16"/>
      <c r="BC7" s="5" t="e">
        <f aca="false">MatchData[cheval scored crossings]*5</f>
        <v>#VALUE!</v>
      </c>
      <c r="BD7" s="5" t="e">
        <f aca="false">MatchData[moat scored crosings]*5</f>
        <v>#VALUE!</v>
      </c>
      <c r="BE7" s="5" t="e">
        <f aca="false">MatchData[ramparts scored crossings]*5</f>
        <v>#VALUE!</v>
      </c>
      <c r="BF7" s="5" t="e">
        <f aca="false">MatchData[drawbridge scored crossings]*5</f>
        <v>#VALUE!</v>
      </c>
      <c r="BG7" s="5" t="e">
        <f aca="false">MatchData[sally port scored crossings]*5</f>
        <v>#VALUE!</v>
      </c>
      <c r="BH7" s="5" t="e">
        <f aca="false">MatchData[rock wall scored crossings]*5</f>
        <v>#VALUE!</v>
      </c>
      <c r="BI7" s="5" t="e">
        <f aca="false">MatchData[rough terrain scored crossings]*5</f>
        <v>#VALUE!</v>
      </c>
      <c r="BJ7" s="5" t="e">
        <f aca="false">MatchData[low bar scored crossings]*5</f>
        <v>#VALUE!</v>
      </c>
      <c r="BK7" s="5" t="e">
        <f aca="false">SUM(MatchData[[#this row],[low bar teleop crossings]:[rough terrain scored crossings]])</f>
        <v>#VALUE!</v>
      </c>
      <c r="BL7" s="5" t="e">
        <f aca="false">IFERROR(IF(OR(MatchData[[#this row],[challenge flag]],MatchData[[#this row],[climb flag]]),1,0),0)</f>
        <v>#VALUE!</v>
      </c>
      <c r="BM7" s="5" t="e">
        <f aca="false">MatchData[auto high goals]*10+MatchData[teleop high goals]*5</f>
        <v>#VALUE!</v>
      </c>
      <c r="BN7" s="5" t="e">
        <f aca="false">MatchData[auto low goals]*5+MatchData[teleop low goals]*2</f>
        <v>#VALUE!</v>
      </c>
      <c r="BO7" s="5" t="e">
        <f aca="false">MatchData[high goal score]+MatchData[low goal score]</f>
        <v>#VALUE!</v>
      </c>
      <c r="BP7" s="5" t="e">
        <f aca="false">MatchData[teleop high goals]+MatchData[teleop low goals]</f>
        <v>#VALUE!</v>
      </c>
      <c r="BQ7" s="5" t="e">
        <f aca="false">MatchData[[#this row],[auto reach flag]]*2+SUM(MatchData[[#this row],[portcullis auto crossings]:[low bar auto crossings]])*10+MatchData[[#this row],[auto low goals]]*5+MatchData[auto high goals]*10</f>
        <v>#VALUE!</v>
      </c>
      <c r="BR7" s="5" t="e">
        <f aca="false">SUM(MatchData[[#this row],[cheval teleop crossing score]:[low bar teleop crossing score]])</f>
        <v>#VALUE!</v>
      </c>
      <c r="BS7" s="5" t="e">
        <f aca="false">SUMIF(MatchData[team],MatchData[[#this row],[team]],MatchData[total auto score])/MatchData[match count]</f>
        <v>#VALUE!</v>
      </c>
      <c r="BT7" s="5" t="e">
        <f aca="false">MatchData[challenge flag]*5</f>
        <v>#VALUE!</v>
      </c>
      <c r="BU7" s="5" t="e">
        <f aca="false">MatchData[climb flag]*15</f>
        <v>#VALUE!</v>
      </c>
      <c r="BV7" s="5" t="e">
        <f aca="false">SUM(MatchData[[#this row],[total goal score]],MatchData[[#this row],[crossing score]],MatchData[[#this row],[challenge score]],MatchData[[#this row],[climb score]],MatchData[[#this row],[total auto score]])</f>
        <v>#VALUE!</v>
      </c>
      <c r="BW7" s="16" t="e">
        <f aca="false">ROUND(SUMIF(MatchData[team],MatchData[[#this row],[team]],MatchData[teleop low goals])/COUNTIF(MatchData[team],MatchData[[#this row],[team]]),2)</f>
        <v>#VALUE!</v>
      </c>
      <c r="BX7" s="16" t="e">
        <f aca="false">ROUND(SUMIF(MatchData[team],MatchData[[#this row],[team]],MatchData[teleop high goals])/COUNTIF(MatchData[team],MatchData[[#this row],[team]]),2)</f>
        <v>#VALUE!</v>
      </c>
      <c r="BY7" s="16" t="e">
        <f aca="false">COUNTIF(MatchData[team],MatchData[[#this row],[team]])</f>
        <v>#VALUE!</v>
      </c>
      <c r="BZ7" s="16" t="e">
        <f aca="false">SUMIF(MatchData[team],MatchData[[#this row],[team]],MatchData[portcullis available])</f>
        <v>#VALUE!</v>
      </c>
      <c r="CA7" s="16" t="e">
        <f aca="false">SUMIF(MatchData[team],MatchData[[#this row],[team]],MatchData[cheval available])</f>
        <v>#VALUE!</v>
      </c>
      <c r="CB7" s="16" t="e">
        <f aca="false">SUMIF(MatchData[team],MatchData[[#this row],[team]],MatchData[moat available])</f>
        <v>#VALUE!</v>
      </c>
      <c r="CC7" s="16" t="e">
        <f aca="false">SUMIF(MatchData[team],MatchData[[#this row],[team]],MatchData[ramparts available])</f>
        <v>#VALUE!</v>
      </c>
      <c r="CD7" s="16" t="e">
        <f aca="false">SUMIF(MatchData[team],MatchData[[#this row],[team]],MatchData[drawbridge available])</f>
        <v>#VALUE!</v>
      </c>
      <c r="CE7" s="16" t="e">
        <f aca="false">SUMIF(MatchData[team],MatchData[[#this row],[team]],MatchData[sally port available])</f>
        <v>#VALUE!</v>
      </c>
      <c r="CF7" s="16" t="e">
        <f aca="false">SUMIF(MatchData[team],MatchData[[#this row],[team]],MatchData[rock wall available])</f>
        <v>#VALUE!</v>
      </c>
      <c r="CG7" s="16" t="e">
        <f aca="false">SUMIF(MatchData[team],MatchData[[#this row],[team]],MatchData[rough terrain available])</f>
        <v>#VALUE!</v>
      </c>
      <c r="CH7" s="16" t="e">
        <f aca="false">SUMIF(MatchData[team],MatchData[[#this row],[team]],MatchData[low bar available])</f>
        <v>#VALUE!</v>
      </c>
      <c r="CI7" s="16" t="e">
        <f aca="false">SUMIF(MatchData[team],MatchData[[#this row],[team]],MatchData[portcullis teleop crossings]:MatchData[portcullis scored crossings])</f>
        <v>#VALUE!</v>
      </c>
      <c r="CJ7" s="16" t="e">
        <f aca="false">SUMIF(MatchData[team],MatchData[[#this row],[team]],MatchData[cheval teleop crossings])+SUMIF(MatchData[team],MatchData[[#this row],[team]],MatchData[cheval scored crossings])</f>
        <v>#VALUE!</v>
      </c>
      <c r="CK7" s="16" t="e">
        <f aca="false">SUMIF(MatchData[team],MatchData[[#this row],[team]],MatchData[moat teleop crossings])+SUMIF(MatchData[team],MatchData[[#this row],[team]],MatchData[moat scored crosings])</f>
        <v>#VALUE!</v>
      </c>
      <c r="CL7" s="16" t="e">
        <f aca="false">SUMIF(MatchData[team],MatchData[[#this row],[team]],MatchData[ramparts teleop crossings])+SUMIF(MatchData[team],MatchData[[#this row],[team]],MatchData[ramparts scored crossings])</f>
        <v>#VALUE!</v>
      </c>
      <c r="CM7" s="16" t="e">
        <f aca="false">SUMIF(MatchData[team],MatchData[[#this row],[team]],MatchData[drawbridge teleop crossings])+SUMIF(MatchData[team],MatchData[[#this row],[team]],MatchData[drawbridge scored crossings])</f>
        <v>#VALUE!</v>
      </c>
      <c r="CN7" s="16" t="e">
        <f aca="false">SUMIF(MatchData[team],MatchData[[#this row],[team]],MatchData[sally port teleop crossings])+SUMIF(MatchData[team],MatchData[[#this row],[team]],MatchData[sally port scored crossings])</f>
        <v>#VALUE!</v>
      </c>
      <c r="CO7" s="16" t="e">
        <f aca="false">SUMIF(MatchData[team],MatchData[[#this row],[team]],MatchData[rock wall teleop crossings])+SUMIF(MatchData[team],MatchData[[#this row],[team]],MatchData[rock wall scored crossings])</f>
        <v>#VALUE!</v>
      </c>
      <c r="CP7" s="16" t="e">
        <f aca="false">SUMIF(MatchData[team],MatchData[[#this row],[team]],MatchData[rough terrain teleop crossings])+SUMIF(MatchData[team],MatchData[[#this row],[team]],MatchData[rough terrain scored crossings])</f>
        <v>#VALUE!</v>
      </c>
      <c r="CQ7" s="16" t="e">
        <f aca="false">SUMIF(MatchData[team],MatchData[[#this row],[team]],MatchData[low bar teleop crossings])+SUMIF(MatchData[team],MatchData[[#this row],[team]],MatchData[low bar scored crossings])</f>
        <v>#VALUE!</v>
      </c>
      <c r="CR7" s="5" t="e">
        <f aca="false">IFERROR(ROUND(MatchData[[#this row],[portcullis sum]]/MatchData[[#this row],[portcullis avail count]],2),0)</f>
        <v>#VALUE!</v>
      </c>
      <c r="CS7" s="5" t="e">
        <f aca="false">IFERROR(ROUND(MatchData[[#this row],[cheval sum]]/MatchData[[#this row],[cheval avail count]],2),0)</f>
        <v>#VALUE!</v>
      </c>
      <c r="CT7" s="5" t="e">
        <f aca="false">IFERROR(ROUND(MatchData[[#this row],[moat sum]]/MatchData[[#this row],[moat avail count]],2),0)</f>
        <v>#VALUE!</v>
      </c>
      <c r="CU7" s="5" t="e">
        <f aca="false">IFERROR(ROUND(MatchData[[#this row],[ramparts sum]]/MatchData[[#this row],[ramparts avail count]],2),0)</f>
        <v>#VALUE!</v>
      </c>
      <c r="CV7" s="5" t="e">
        <f aca="false">IFERROR(ROUND(MatchData[[#this row],[drawbridge sum]]/MatchData[[#this row],[drawbridge avail countigh6]],2),0)</f>
        <v>#VALUE!</v>
      </c>
      <c r="CW7" s="5" t="e">
        <f aca="false">IFERROR(ROUND(MatchData[[#this row],[sally port sum]]/MatchData[[#this row],[sally port avail count]],2),0)</f>
        <v>#VALUE!</v>
      </c>
      <c r="CX7" s="5" t="e">
        <f aca="false">IFERROR(ROUND(MatchData[[#this row],[rock wall sum]]/MatchData[[#this row],[rock wall avail count]],2),0)</f>
        <v>#VALUE!</v>
      </c>
      <c r="CY7" s="5" t="e">
        <f aca="false">IFERROR(ROUND(MatchData[[#this row],[rough terrain sum]]/MatchData[[#this row],[rough terrain avail count]],2),0)</f>
        <v>#VALUE!</v>
      </c>
      <c r="CZ7" s="5" t="e">
        <f aca="false">IFERROR(ROUND(MatchData[[#this row],[low bar sum]]/MatchData[[#this row],[low bar avail count]],2),0)</f>
        <v>#VALUE!</v>
      </c>
      <c r="DA7" s="5" t="e">
        <f aca="false">SUM(MatchData[[#this row],[cheval sum]:[low bar sum]])/MatchData[match count]</f>
        <v>#VALUE!</v>
      </c>
      <c r="DB7" s="16" t="n">
        <f aca="false">MAX(IF(C$2:C$74=C7,BP$2:BP$74))</f>
        <v>-1.79769313486232E+308</v>
      </c>
      <c r="DC7" s="16" t="e">
        <f aca="false">AVERAGEIF(MatchData[team],MatchData[[#this row],[team]],MatchData[total score])</f>
        <v>#VALUE!</v>
      </c>
      <c r="DD7" s="16" t="e">
        <f aca="false">ROUND(AVERAGEIF(MatchData[team],MatchData[team],MatchData[climb or challenge flag]),2)</f>
        <v>#VALUE!</v>
      </c>
    </row>
    <row r="8" customFormat="false" ht="14.5" hidden="false" customHeight="false" outlineLevel="0" collapsed="false">
      <c r="A8" s="13" t="s">
        <v>108</v>
      </c>
      <c r="B8" s="14" t="n">
        <v>2</v>
      </c>
      <c r="C8" s="15" t="n">
        <v>847</v>
      </c>
      <c r="D8" s="5" t="s">
        <v>109</v>
      </c>
      <c r="E8" s="5" t="s">
        <v>111</v>
      </c>
      <c r="F8" s="5"/>
      <c r="H8" s="5"/>
      <c r="J8" s="5" t="n">
        <v>1</v>
      </c>
      <c r="K8" s="5"/>
      <c r="L8" s="5" t="n">
        <v>1</v>
      </c>
      <c r="M8" s="5"/>
      <c r="N8" s="5" t="n">
        <v>1</v>
      </c>
      <c r="O8" s="5"/>
      <c r="P8" s="5" t="n">
        <v>1</v>
      </c>
      <c r="Q8" s="5" t="n">
        <v>1</v>
      </c>
      <c r="R8" s="0"/>
      <c r="T8" s="0"/>
      <c r="V8" s="0"/>
      <c r="W8" s="0"/>
      <c r="X8" s="0"/>
      <c r="AL8" s="5" t="n">
        <v>2</v>
      </c>
      <c r="BC8" s="5" t="e">
        <f aca="false">MatchData[cheval scored crossings]*5</f>
        <v>#VALUE!</v>
      </c>
      <c r="BD8" s="5" t="e">
        <f aca="false">MatchData[moat scored crosings]*5</f>
        <v>#VALUE!</v>
      </c>
      <c r="BE8" s="5" t="e">
        <f aca="false">MatchData[ramparts scored crossings]*5</f>
        <v>#VALUE!</v>
      </c>
      <c r="BF8" s="5" t="e">
        <f aca="false">MatchData[drawbridge scored crossings]*5</f>
        <v>#VALUE!</v>
      </c>
      <c r="BG8" s="5" t="e">
        <f aca="false">MatchData[sally port scored crossings]*5</f>
        <v>#VALUE!</v>
      </c>
      <c r="BH8" s="5" t="e">
        <f aca="false">MatchData[rock wall scored crossings]*5</f>
        <v>#VALUE!</v>
      </c>
      <c r="BI8" s="5" t="e">
        <f aca="false">MatchData[rough terrain scored crossings]*5</f>
        <v>#VALUE!</v>
      </c>
      <c r="BJ8" s="5" t="e">
        <f aca="false">MatchData[low bar scored crossings]*5</f>
        <v>#VALUE!</v>
      </c>
      <c r="BK8" s="5" t="e">
        <f aca="false">SUM(MatchData[[#this row],[low bar teleop crossings]:[rough terrain scored crossings]])</f>
        <v>#VALUE!</v>
      </c>
      <c r="BL8" s="5" t="e">
        <f aca="false">IFERROR(IF(OR(MatchData[[#this row],[challenge flag]],MatchData[[#this row],[climb flag]]),1,0),0)</f>
        <v>#VALUE!</v>
      </c>
      <c r="BM8" s="5" t="e">
        <f aca="false">MatchData[auto high goals]*10+MatchData[teleop high goals]*5</f>
        <v>#VALUE!</v>
      </c>
      <c r="BN8" s="5" t="e">
        <f aca="false">MatchData[auto low goals]*5+MatchData[teleop low goals]*2</f>
        <v>#VALUE!</v>
      </c>
      <c r="BO8" s="5" t="e">
        <f aca="false">MatchData[high goal score]+MatchData[low goal score]</f>
        <v>#VALUE!</v>
      </c>
      <c r="BP8" s="5" t="e">
        <f aca="false">MatchData[teleop high goals]+MatchData[teleop low goals]</f>
        <v>#VALUE!</v>
      </c>
      <c r="BQ8" s="5" t="e">
        <f aca="false">MatchData[[#this row],[auto reach flag]]*2+SUM(MatchData[[#this row],[portcullis auto crossings]:[low bar auto crossings]])*10+MatchData[[#this row],[auto low goals]]*5+MatchData[auto high goals]*10</f>
        <v>#VALUE!</v>
      </c>
      <c r="BR8" s="5" t="e">
        <f aca="false">SUM(MatchData[[#this row],[cheval teleop crossing score]:[low bar teleop crossing score]])</f>
        <v>#VALUE!</v>
      </c>
      <c r="BS8" s="5" t="e">
        <f aca="false">SUMIF(MatchData[team],MatchData[[#this row],[team]],MatchData[total auto score])/MatchData[match count]</f>
        <v>#VALUE!</v>
      </c>
      <c r="BT8" s="5" t="e">
        <f aca="false">MatchData[challenge flag]*5</f>
        <v>#VALUE!</v>
      </c>
      <c r="BU8" s="5" t="e">
        <f aca="false">MatchData[climb flag]*15</f>
        <v>#VALUE!</v>
      </c>
      <c r="BV8" s="5" t="e">
        <f aca="false">SUM(MatchData[[#this row],[total goal score]],MatchData[[#this row],[crossing score]],MatchData[[#this row],[challenge score]],MatchData[[#this row],[climb score]],MatchData[[#this row],[total auto score]])</f>
        <v>#VALUE!</v>
      </c>
      <c r="BW8" s="16" t="e">
        <f aca="false">ROUND(SUMIF(MatchData[team],MatchData[[#this row],[team]],MatchData[teleop low goals])/COUNTIF(MatchData[team],MatchData[[#this row],[team]]),2)</f>
        <v>#VALUE!</v>
      </c>
      <c r="BX8" s="16" t="e">
        <f aca="false">ROUND(SUMIF(MatchData[team],MatchData[[#this row],[team]],MatchData[teleop high goals])/COUNTIF(MatchData[team],MatchData[[#this row],[team]]),2)</f>
        <v>#VALUE!</v>
      </c>
      <c r="BY8" s="16" t="e">
        <f aca="false">COUNTIF(MatchData[team],MatchData[[#this row],[team]])</f>
        <v>#VALUE!</v>
      </c>
      <c r="BZ8" s="16" t="e">
        <f aca="false">SUMIF(MatchData[team],MatchData[[#this row],[team]],MatchData[portcullis available])</f>
        <v>#VALUE!</v>
      </c>
      <c r="CA8" s="16" t="e">
        <f aca="false">SUMIF(MatchData[team],MatchData[[#this row],[team]],MatchData[cheval available])</f>
        <v>#VALUE!</v>
      </c>
      <c r="CB8" s="16" t="e">
        <f aca="false">SUMIF(MatchData[team],MatchData[[#this row],[team]],MatchData[moat available])</f>
        <v>#VALUE!</v>
      </c>
      <c r="CC8" s="16" t="e">
        <f aca="false">SUMIF(MatchData[team],MatchData[[#this row],[team]],MatchData[ramparts available])</f>
        <v>#VALUE!</v>
      </c>
      <c r="CD8" s="16" t="e">
        <f aca="false">SUMIF(MatchData[team],MatchData[[#this row],[team]],MatchData[drawbridge available])</f>
        <v>#VALUE!</v>
      </c>
      <c r="CE8" s="16" t="e">
        <f aca="false">SUMIF(MatchData[team],MatchData[[#this row],[team]],MatchData[sally port available])</f>
        <v>#VALUE!</v>
      </c>
      <c r="CF8" s="16" t="e">
        <f aca="false">SUMIF(MatchData[team],MatchData[[#this row],[team]],MatchData[rock wall available])</f>
        <v>#VALUE!</v>
      </c>
      <c r="CG8" s="16" t="e">
        <f aca="false">SUMIF(MatchData[team],MatchData[[#this row],[team]],MatchData[rough terrain available])</f>
        <v>#VALUE!</v>
      </c>
      <c r="CH8" s="16" t="e">
        <f aca="false">SUMIF(MatchData[team],MatchData[[#this row],[team]],MatchData[low bar available])</f>
        <v>#VALUE!</v>
      </c>
      <c r="CI8" s="16" t="e">
        <f aca="false">SUMIF(MatchData[team],MatchData[[#this row],[team]],MatchData[portcullis teleop crossings]:MatchData[portcullis scored crossings])</f>
        <v>#VALUE!</v>
      </c>
      <c r="CJ8" s="16" t="e">
        <f aca="false">SUMIF(MatchData[team],MatchData[[#this row],[team]],MatchData[cheval teleop crossings])+SUMIF(MatchData[team],MatchData[[#this row],[team]],MatchData[cheval scored crossings])</f>
        <v>#VALUE!</v>
      </c>
      <c r="CK8" s="16" t="e">
        <f aca="false">SUMIF(MatchData[team],MatchData[[#this row],[team]],MatchData[moat teleop crossings])+SUMIF(MatchData[team],MatchData[[#this row],[team]],MatchData[moat scored crosings])</f>
        <v>#VALUE!</v>
      </c>
      <c r="CL8" s="16" t="e">
        <f aca="false">SUMIF(MatchData[team],MatchData[[#this row],[team]],MatchData[ramparts teleop crossings])+SUMIF(MatchData[team],MatchData[[#this row],[team]],MatchData[ramparts scored crossings])</f>
        <v>#VALUE!</v>
      </c>
      <c r="CM8" s="16" t="e">
        <f aca="false">SUMIF(MatchData[team],MatchData[[#this row],[team]],MatchData[drawbridge teleop crossings])+SUMIF(MatchData[team],MatchData[[#this row],[team]],MatchData[drawbridge scored crossings])</f>
        <v>#VALUE!</v>
      </c>
      <c r="CN8" s="16" t="e">
        <f aca="false">SUMIF(MatchData[team],MatchData[[#this row],[team]],MatchData[sally port teleop crossings])+SUMIF(MatchData[team],MatchData[[#this row],[team]],MatchData[sally port scored crossings])</f>
        <v>#VALUE!</v>
      </c>
      <c r="CO8" s="16" t="e">
        <f aca="false">SUMIF(MatchData[team],MatchData[[#this row],[team]],MatchData[rock wall teleop crossings])+SUMIF(MatchData[team],MatchData[[#this row],[team]],MatchData[rock wall scored crossings])</f>
        <v>#VALUE!</v>
      </c>
      <c r="CP8" s="16" t="e">
        <f aca="false">SUMIF(MatchData[team],MatchData[[#this row],[team]],MatchData[rough terrain teleop crossings])+SUMIF(MatchData[team],MatchData[[#this row],[team]],MatchData[rough terrain scored crossings])</f>
        <v>#VALUE!</v>
      </c>
      <c r="CQ8" s="16" t="e">
        <f aca="false">SUMIF(MatchData[team],MatchData[[#this row],[team]],MatchData[low bar teleop crossings])+SUMIF(MatchData[team],MatchData[[#this row],[team]],MatchData[low bar scored crossings])</f>
        <v>#VALUE!</v>
      </c>
      <c r="CR8" s="16" t="e">
        <f aca="false">IFERROR(ROUND(MatchData[[#this row],[portcullis sum]]/MatchData[[#this row],[portcullis avail count]],2),0)</f>
        <v>#VALUE!</v>
      </c>
      <c r="CS8" s="5" t="e">
        <f aca="false">IFERROR(ROUND(MatchData[[#this row],[cheval sum]]/MatchData[[#this row],[cheval avail count]],2),0)</f>
        <v>#VALUE!</v>
      </c>
      <c r="CT8" s="5" t="e">
        <f aca="false">IFERROR(ROUND(MatchData[[#this row],[moat sum]]/MatchData[[#this row],[moat avail count]],2),0)</f>
        <v>#VALUE!</v>
      </c>
      <c r="CU8" s="5" t="e">
        <f aca="false">IFERROR(ROUND(MatchData[[#this row],[ramparts sum]]/MatchData[[#this row],[ramparts avail count]],2),0)</f>
        <v>#VALUE!</v>
      </c>
      <c r="CV8" s="5" t="e">
        <f aca="false">IFERROR(ROUND(MatchData[[#this row],[drawbridge sum]]/MatchData[[#this row],[drawbridge avail countigh6]],2),0)</f>
        <v>#VALUE!</v>
      </c>
      <c r="CW8" s="5" t="e">
        <f aca="false">IFERROR(ROUND(MatchData[[#this row],[sally port sum]]/MatchData[[#this row],[sally port avail count]],2),0)</f>
        <v>#VALUE!</v>
      </c>
      <c r="CX8" s="5" t="e">
        <f aca="false">IFERROR(ROUND(MatchData[[#this row],[rock wall sum]]/MatchData[[#this row],[rock wall avail count]],2),0)</f>
        <v>#VALUE!</v>
      </c>
      <c r="CY8" s="5" t="e">
        <f aca="false">IFERROR(ROUND(MatchData[[#this row],[rough terrain sum]]/MatchData[[#this row],[rough terrain avail count]],2),0)</f>
        <v>#VALUE!</v>
      </c>
      <c r="CZ8" s="5" t="e">
        <f aca="false">IFERROR(ROUND(MatchData[[#this row],[low bar sum]]/MatchData[[#this row],[low bar avail count]],2),0)</f>
        <v>#VALUE!</v>
      </c>
      <c r="DA8" s="5" t="e">
        <f aca="false">SUM(MatchData[[#this row],[cheval sum]:[low bar sum]])/MatchData[match count]</f>
        <v>#VALUE!</v>
      </c>
      <c r="DB8" s="16" t="n">
        <f aca="false">MAX(IF(C$2:C$74=C8,BP$2:BP$74))</f>
        <v>-1.79769313486232E+308</v>
      </c>
      <c r="DC8" s="16" t="e">
        <f aca="false">AVERAGEIF(MatchData[team],MatchData[[#this row],[team]],MatchData[total score])</f>
        <v>#VALUE!</v>
      </c>
      <c r="DD8" s="16" t="e">
        <f aca="false">ROUND(AVERAGEIF(MatchData[team],MatchData[team],MatchData[climb or challenge flag]),2)</f>
        <v>#VALUE!</v>
      </c>
    </row>
    <row r="9" customFormat="false" ht="14.5" hidden="false" customHeight="false" outlineLevel="0" collapsed="false">
      <c r="A9" s="17" t="s">
        <v>108</v>
      </c>
      <c r="B9" s="18" t="n">
        <v>2</v>
      </c>
      <c r="C9" s="15" t="n">
        <v>3711</v>
      </c>
      <c r="D9" s="5" t="s">
        <v>109</v>
      </c>
      <c r="E9" s="5" t="s">
        <v>117</v>
      </c>
      <c r="F9" s="5"/>
      <c r="H9" s="5"/>
      <c r="I9" s="5" t="n">
        <v>1</v>
      </c>
      <c r="J9" s="5" t="n">
        <v>1</v>
      </c>
      <c r="K9" s="5"/>
      <c r="L9" s="5" t="n">
        <v>1</v>
      </c>
      <c r="M9" s="5"/>
      <c r="N9" s="5" t="n">
        <v>1</v>
      </c>
      <c r="O9" s="5"/>
      <c r="P9" s="5" t="n">
        <v>1</v>
      </c>
      <c r="Q9" s="5" t="n">
        <v>1</v>
      </c>
      <c r="R9" s="0"/>
      <c r="T9" s="0"/>
      <c r="V9" s="0"/>
      <c r="W9" s="0"/>
      <c r="X9" s="0"/>
      <c r="AB9" s="5" t="n">
        <v>1</v>
      </c>
      <c r="AD9" s="5" t="n">
        <v>1</v>
      </c>
      <c r="AG9" s="5" t="n">
        <v>1</v>
      </c>
      <c r="AH9" s="5" t="n">
        <v>1</v>
      </c>
      <c r="AR9" s="5" t="n">
        <v>1</v>
      </c>
      <c r="AW9" s="5" t="n">
        <v>1</v>
      </c>
      <c r="BC9" s="5" t="e">
        <f aca="false">MatchData[cheval scored crossings]*5</f>
        <v>#VALUE!</v>
      </c>
      <c r="BD9" s="5" t="e">
        <f aca="false">MatchData[moat scored crosings]*5</f>
        <v>#VALUE!</v>
      </c>
      <c r="BE9" s="5" t="e">
        <f aca="false">MatchData[ramparts scored crossings]*5</f>
        <v>#VALUE!</v>
      </c>
      <c r="BF9" s="5" t="e">
        <f aca="false">MatchData[drawbridge scored crossings]*5</f>
        <v>#VALUE!</v>
      </c>
      <c r="BG9" s="5" t="e">
        <f aca="false">MatchData[sally port scored crossings]*5</f>
        <v>#VALUE!</v>
      </c>
      <c r="BH9" s="5" t="e">
        <f aca="false">MatchData[rock wall scored crossings]*5</f>
        <v>#VALUE!</v>
      </c>
      <c r="BI9" s="5" t="e">
        <f aca="false">MatchData[rough terrain scored crossings]*5</f>
        <v>#VALUE!</v>
      </c>
      <c r="BJ9" s="5" t="e">
        <f aca="false">MatchData[low bar scored crossings]*5</f>
        <v>#VALUE!</v>
      </c>
      <c r="BK9" s="5" t="e">
        <f aca="false">SUM(MatchData[[#this row],[low bar teleop crossings]:[rough terrain scored crossings]])</f>
        <v>#VALUE!</v>
      </c>
      <c r="BL9" s="5" t="e">
        <f aca="false">IFERROR(IF(OR(MatchData[[#this row],[challenge flag]],MatchData[[#this row],[climb flag]]),1,0),0)</f>
        <v>#VALUE!</v>
      </c>
      <c r="BM9" s="5" t="e">
        <f aca="false">MatchData[auto high goals]*10+MatchData[teleop high goals]*5</f>
        <v>#VALUE!</v>
      </c>
      <c r="BN9" s="5" t="e">
        <f aca="false">MatchData[auto low goals]*5+MatchData[teleop low goals]*2</f>
        <v>#VALUE!</v>
      </c>
      <c r="BO9" s="5" t="e">
        <f aca="false">MatchData[high goal score]+MatchData[low goal score]</f>
        <v>#VALUE!</v>
      </c>
      <c r="BP9" s="5" t="e">
        <f aca="false">MatchData[teleop high goals]+MatchData[teleop low goals]</f>
        <v>#VALUE!</v>
      </c>
      <c r="BQ9" s="5" t="e">
        <f aca="false">MatchData[[#this row],[auto reach flag]]*2+SUM(MatchData[[#this row],[portcullis auto crossings]:[low bar auto crossings]])*10+MatchData[[#this row],[auto low goals]]*5+MatchData[auto high goals]*10</f>
        <v>#VALUE!</v>
      </c>
      <c r="BR9" s="5" t="e">
        <f aca="false">SUM(MatchData[[#this row],[cheval teleop crossing score]:[low bar teleop crossing score]])</f>
        <v>#VALUE!</v>
      </c>
      <c r="BS9" s="5" t="e">
        <f aca="false">SUMIF(MatchData[team],MatchData[[#this row],[team]],MatchData[total auto score])/MatchData[match count]</f>
        <v>#VALUE!</v>
      </c>
      <c r="BT9" s="5" t="e">
        <f aca="false">MatchData[challenge flag]*5</f>
        <v>#VALUE!</v>
      </c>
      <c r="BU9" s="5" t="e">
        <f aca="false">MatchData[climb flag]*15</f>
        <v>#VALUE!</v>
      </c>
      <c r="BV9" s="5" t="e">
        <f aca="false">SUM(MatchData[[#this row],[total goal score]],MatchData[[#this row],[crossing score]],MatchData[[#this row],[challenge score]],MatchData[[#this row],[climb score]],MatchData[[#this row],[total auto score]])</f>
        <v>#VALUE!</v>
      </c>
      <c r="BW9" s="16" t="e">
        <f aca="false">ROUND(SUMIF(MatchData[team],MatchData[[#this row],[team]],MatchData[teleop low goals])/COUNTIF(MatchData[team],MatchData[[#this row],[team]]),2)</f>
        <v>#VALUE!</v>
      </c>
      <c r="BX9" s="16" t="e">
        <f aca="false">ROUND(SUMIF(MatchData[team],MatchData[[#this row],[team]],MatchData[teleop high goals])/COUNTIF(MatchData[team],MatchData[[#this row],[team]]),2)</f>
        <v>#VALUE!</v>
      </c>
      <c r="BY9" s="16" t="e">
        <f aca="false">COUNTIF(MatchData[team],MatchData[[#this row],[team]])</f>
        <v>#VALUE!</v>
      </c>
      <c r="BZ9" s="16" t="e">
        <f aca="false">SUMIF(MatchData[team],MatchData[[#this row],[team]],MatchData[portcullis available])</f>
        <v>#VALUE!</v>
      </c>
      <c r="CA9" s="16" t="e">
        <f aca="false">SUMIF(MatchData[team],MatchData[[#this row],[team]],MatchData[cheval available])</f>
        <v>#VALUE!</v>
      </c>
      <c r="CB9" s="16" t="e">
        <f aca="false">SUMIF(MatchData[team],MatchData[[#this row],[team]],MatchData[moat available])</f>
        <v>#VALUE!</v>
      </c>
      <c r="CC9" s="16" t="e">
        <f aca="false">SUMIF(MatchData[team],MatchData[[#this row],[team]],MatchData[ramparts available])</f>
        <v>#VALUE!</v>
      </c>
      <c r="CD9" s="16" t="e">
        <f aca="false">SUMIF(MatchData[team],MatchData[[#this row],[team]],MatchData[drawbridge available])</f>
        <v>#VALUE!</v>
      </c>
      <c r="CE9" s="16" t="e">
        <f aca="false">SUMIF(MatchData[team],MatchData[[#this row],[team]],MatchData[sally port available])</f>
        <v>#VALUE!</v>
      </c>
      <c r="CF9" s="16" t="e">
        <f aca="false">SUMIF(MatchData[team],MatchData[[#this row],[team]],MatchData[rock wall available])</f>
        <v>#VALUE!</v>
      </c>
      <c r="CG9" s="16" t="e">
        <f aca="false">SUMIF(MatchData[team],MatchData[[#this row],[team]],MatchData[rough terrain available])</f>
        <v>#VALUE!</v>
      </c>
      <c r="CH9" s="16" t="e">
        <f aca="false">SUMIF(MatchData[team],MatchData[[#this row],[team]],MatchData[low bar available])</f>
        <v>#VALUE!</v>
      </c>
      <c r="CI9" s="16" t="e">
        <f aca="false">SUMIF(MatchData[team],MatchData[[#this row],[team]],MatchData[portcullis teleop crossings]:MatchData[portcullis scored crossings])</f>
        <v>#VALUE!</v>
      </c>
      <c r="CJ9" s="16" t="e">
        <f aca="false">SUMIF(MatchData[team],MatchData[[#this row],[team]],MatchData[cheval teleop crossings])+SUMIF(MatchData[team],MatchData[[#this row],[team]],MatchData[cheval scored crossings])</f>
        <v>#VALUE!</v>
      </c>
      <c r="CK9" s="16" t="e">
        <f aca="false">SUMIF(MatchData[team],MatchData[[#this row],[team]],MatchData[moat teleop crossings])+SUMIF(MatchData[team],MatchData[[#this row],[team]],MatchData[moat scored crosings])</f>
        <v>#VALUE!</v>
      </c>
      <c r="CL9" s="16" t="e">
        <f aca="false">SUMIF(MatchData[team],MatchData[[#this row],[team]],MatchData[ramparts teleop crossings])+SUMIF(MatchData[team],MatchData[[#this row],[team]],MatchData[ramparts scored crossings])</f>
        <v>#VALUE!</v>
      </c>
      <c r="CM9" s="16" t="e">
        <f aca="false">SUMIF(MatchData[team],MatchData[[#this row],[team]],MatchData[drawbridge teleop crossings])+SUMIF(MatchData[team],MatchData[[#this row],[team]],MatchData[drawbridge scored crossings])</f>
        <v>#VALUE!</v>
      </c>
      <c r="CN9" s="16" t="e">
        <f aca="false">SUMIF(MatchData[team],MatchData[[#this row],[team]],MatchData[sally port teleop crossings])+SUMIF(MatchData[team],MatchData[[#this row],[team]],MatchData[sally port scored crossings])</f>
        <v>#VALUE!</v>
      </c>
      <c r="CO9" s="16" t="e">
        <f aca="false">SUMIF(MatchData[team],MatchData[[#this row],[team]],MatchData[rock wall teleop crossings])+SUMIF(MatchData[team],MatchData[[#this row],[team]],MatchData[rock wall scored crossings])</f>
        <v>#VALUE!</v>
      </c>
      <c r="CP9" s="16" t="e">
        <f aca="false">SUMIF(MatchData[team],MatchData[[#this row],[team]],MatchData[rough terrain teleop crossings])+SUMIF(MatchData[team],MatchData[[#this row],[team]],MatchData[rough terrain scored crossings])</f>
        <v>#VALUE!</v>
      </c>
      <c r="CQ9" s="16" t="e">
        <f aca="false">SUMIF(MatchData[team],MatchData[[#this row],[team]],MatchData[low bar teleop crossings])+SUMIF(MatchData[team],MatchData[[#this row],[team]],MatchData[low bar scored crossings])</f>
        <v>#VALUE!</v>
      </c>
      <c r="CR9" s="16" t="e">
        <f aca="false">IFERROR(ROUND(MatchData[[#this row],[portcullis sum]]/MatchData[[#this row],[portcullis avail count]],2),0)</f>
        <v>#VALUE!</v>
      </c>
      <c r="CS9" s="5" t="e">
        <f aca="false">IFERROR(ROUND(MatchData[[#this row],[cheval sum]]/MatchData[[#this row],[cheval avail count]],2),0)</f>
        <v>#VALUE!</v>
      </c>
      <c r="CT9" s="5" t="e">
        <f aca="false">IFERROR(ROUND(MatchData[[#this row],[moat sum]]/MatchData[[#this row],[moat avail count]],2),0)</f>
        <v>#VALUE!</v>
      </c>
      <c r="CU9" s="5" t="e">
        <f aca="false">IFERROR(ROUND(MatchData[[#this row],[ramparts sum]]/MatchData[[#this row],[ramparts avail count]],2),0)</f>
        <v>#VALUE!</v>
      </c>
      <c r="CV9" s="5" t="e">
        <f aca="false">IFERROR(ROUND(MatchData[[#this row],[drawbridge sum]]/MatchData[[#this row],[drawbridge avail countigh6]],2),0)</f>
        <v>#VALUE!</v>
      </c>
      <c r="CW9" s="5" t="e">
        <f aca="false">IFERROR(ROUND(MatchData[[#this row],[sally port sum]]/MatchData[[#this row],[sally port avail count]],2),0)</f>
        <v>#VALUE!</v>
      </c>
      <c r="CX9" s="5" t="e">
        <f aca="false">IFERROR(ROUND(MatchData[[#this row],[rock wall sum]]/MatchData[[#this row],[rock wall avail count]],2),0)</f>
        <v>#VALUE!</v>
      </c>
      <c r="CY9" s="5" t="e">
        <f aca="false">IFERROR(ROUND(MatchData[[#this row],[rough terrain sum]]/MatchData[[#this row],[rough terrain avail count]],2),0)</f>
        <v>#VALUE!</v>
      </c>
      <c r="CZ9" s="5" t="e">
        <f aca="false">IFERROR(ROUND(MatchData[[#this row],[low bar sum]]/MatchData[[#this row],[low bar avail count]],2),0)</f>
        <v>#VALUE!</v>
      </c>
      <c r="DA9" s="5" t="e">
        <f aca="false">SUM(MatchData[[#this row],[cheval sum]:[low bar sum]])/MatchData[match count]</f>
        <v>#VALUE!</v>
      </c>
      <c r="DB9" s="16" t="n">
        <f aca="false">MAX(IF(C$2:C$74=C9,BP$2:BP$74))</f>
        <v>-1.79769313486232E+308</v>
      </c>
      <c r="DC9" s="16" t="e">
        <f aca="false">AVERAGEIF(MatchData[team],MatchData[[#this row],[team]],MatchData[total score])</f>
        <v>#VALUE!</v>
      </c>
      <c r="DD9" s="16" t="e">
        <f aca="false">ROUND(AVERAGEIF(MatchData[team],MatchData[team],MatchData[climb or challenge flag]),2)</f>
        <v>#VALUE!</v>
      </c>
    </row>
    <row r="10" customFormat="false" ht="14.5" hidden="false" customHeight="false" outlineLevel="0" collapsed="false">
      <c r="A10" s="17" t="s">
        <v>108</v>
      </c>
      <c r="B10" s="18" t="n">
        <v>2</v>
      </c>
      <c r="C10" s="15" t="n">
        <v>5198</v>
      </c>
      <c r="D10" s="5" t="s">
        <v>109</v>
      </c>
      <c r="F10" s="5"/>
      <c r="H10" s="5"/>
      <c r="J10" s="0"/>
      <c r="K10" s="5"/>
      <c r="L10" s="5"/>
      <c r="M10" s="5"/>
      <c r="N10" s="5"/>
      <c r="O10" s="5"/>
      <c r="P10" s="5"/>
      <c r="Q10" s="5"/>
      <c r="R10" s="0"/>
      <c r="T10" s="0"/>
      <c r="V10" s="0"/>
      <c r="W10" s="0"/>
      <c r="X10" s="0"/>
      <c r="BC10" s="5" t="e">
        <f aca="false">MatchData[cheval scored crossings]*5</f>
        <v>#VALUE!</v>
      </c>
      <c r="BD10" s="5" t="e">
        <f aca="false">MatchData[moat scored crosings]*5</f>
        <v>#VALUE!</v>
      </c>
      <c r="BE10" s="5" t="e">
        <f aca="false">MatchData[ramparts scored crossings]*5</f>
        <v>#VALUE!</v>
      </c>
      <c r="BF10" s="5" t="e">
        <f aca="false">MatchData[drawbridge scored crossings]*5</f>
        <v>#VALUE!</v>
      </c>
      <c r="BG10" s="5" t="e">
        <f aca="false">MatchData[sally port scored crossings]*5</f>
        <v>#VALUE!</v>
      </c>
      <c r="BH10" s="5" t="e">
        <f aca="false">MatchData[rock wall scored crossings]*5</f>
        <v>#VALUE!</v>
      </c>
      <c r="BI10" s="5" t="e">
        <f aca="false">MatchData[rough terrain scored crossings]*5</f>
        <v>#VALUE!</v>
      </c>
      <c r="BJ10" s="5" t="e">
        <f aca="false">MatchData[low bar scored crossings]*5</f>
        <v>#VALUE!</v>
      </c>
      <c r="BK10" s="5" t="e">
        <f aca="false">SUM(MatchData[[#this row],[low bar teleop crossings]:[rough terrain scored crossings]])</f>
        <v>#VALUE!</v>
      </c>
      <c r="BL10" s="5" t="e">
        <f aca="false">IFERROR(IF(OR(MatchData[[#this row],[challenge flag]],MatchData[[#this row],[climb flag]]),1,0),0)</f>
        <v>#VALUE!</v>
      </c>
      <c r="BM10" s="5" t="e">
        <f aca="false">MatchData[auto high goals]*10+MatchData[teleop high goals]*5</f>
        <v>#VALUE!</v>
      </c>
      <c r="BN10" s="5" t="e">
        <f aca="false">MatchData[auto low goals]*5+MatchData[teleop low goals]*2</f>
        <v>#VALUE!</v>
      </c>
      <c r="BO10" s="5" t="e">
        <f aca="false">MatchData[high goal score]+MatchData[low goal score]</f>
        <v>#VALUE!</v>
      </c>
      <c r="BP10" s="5" t="e">
        <f aca="false">MatchData[teleop high goals]+MatchData[teleop low goals]</f>
        <v>#VALUE!</v>
      </c>
      <c r="BQ10" s="5" t="e">
        <f aca="false">MatchData[[#this row],[auto reach flag]]*2+SUM(MatchData[[#this row],[portcullis auto crossings]:[low bar auto crossings]])*10+MatchData[[#this row],[auto low goals]]*5+MatchData[auto high goals]*10</f>
        <v>#VALUE!</v>
      </c>
      <c r="BR10" s="5" t="e">
        <f aca="false">SUM(MatchData[[#this row],[cheval teleop crossing score]:[low bar teleop crossing score]])</f>
        <v>#VALUE!</v>
      </c>
      <c r="BS10" s="5" t="e">
        <f aca="false">SUMIF(MatchData[team],MatchData[[#this row],[team]],MatchData[total auto score])/MatchData[match count]</f>
        <v>#VALUE!</v>
      </c>
      <c r="BT10" s="5" t="e">
        <f aca="false">MatchData[challenge flag]*5</f>
        <v>#VALUE!</v>
      </c>
      <c r="BU10" s="5" t="e">
        <f aca="false">MatchData[climb flag]*15</f>
        <v>#VALUE!</v>
      </c>
      <c r="BV10" s="5" t="e">
        <f aca="false">SUM(MatchData[[#this row],[total goal score]],MatchData[[#this row],[crossing score]],MatchData[[#this row],[challenge score]],MatchData[[#this row],[climb score]],MatchData[[#this row],[total auto score]])</f>
        <v>#VALUE!</v>
      </c>
      <c r="BW10" s="16" t="e">
        <f aca="false">ROUND(SUMIF(MatchData[team],MatchData[[#this row],[team]],MatchData[teleop low goals])/COUNTIF(MatchData[team],MatchData[[#this row],[team]]),2)</f>
        <v>#VALUE!</v>
      </c>
      <c r="BX10" s="16" t="e">
        <f aca="false">ROUND(SUMIF(MatchData[team],MatchData[[#this row],[team]],MatchData[teleop high goals])/COUNTIF(MatchData[team],MatchData[[#this row],[team]]),2)</f>
        <v>#VALUE!</v>
      </c>
      <c r="BY10" s="16" t="e">
        <f aca="false">COUNTIF(MatchData[team],MatchData[[#this row],[team]])</f>
        <v>#VALUE!</v>
      </c>
      <c r="BZ10" s="16" t="e">
        <f aca="false">SUMIF(MatchData[team],MatchData[[#this row],[team]],MatchData[portcullis available])</f>
        <v>#VALUE!</v>
      </c>
      <c r="CA10" s="16" t="e">
        <f aca="false">SUMIF(MatchData[team],MatchData[[#this row],[team]],MatchData[cheval available])</f>
        <v>#VALUE!</v>
      </c>
      <c r="CB10" s="16" t="e">
        <f aca="false">SUMIF(MatchData[team],MatchData[[#this row],[team]],MatchData[moat available])</f>
        <v>#VALUE!</v>
      </c>
      <c r="CC10" s="16" t="e">
        <f aca="false">SUMIF(MatchData[team],MatchData[[#this row],[team]],MatchData[ramparts available])</f>
        <v>#VALUE!</v>
      </c>
      <c r="CD10" s="16" t="e">
        <f aca="false">SUMIF(MatchData[team],MatchData[[#this row],[team]],MatchData[drawbridge available])</f>
        <v>#VALUE!</v>
      </c>
      <c r="CE10" s="16" t="e">
        <f aca="false">SUMIF(MatchData[team],MatchData[[#this row],[team]],MatchData[sally port available])</f>
        <v>#VALUE!</v>
      </c>
      <c r="CF10" s="16" t="e">
        <f aca="false">SUMIF(MatchData[team],MatchData[[#this row],[team]],MatchData[rock wall available])</f>
        <v>#VALUE!</v>
      </c>
      <c r="CG10" s="16" t="e">
        <f aca="false">SUMIF(MatchData[team],MatchData[[#this row],[team]],MatchData[rough terrain available])</f>
        <v>#VALUE!</v>
      </c>
      <c r="CH10" s="16" t="e">
        <f aca="false">SUMIF(MatchData[team],MatchData[[#this row],[team]],MatchData[low bar available])</f>
        <v>#VALUE!</v>
      </c>
      <c r="CI10" s="16" t="e">
        <f aca="false">SUMIF(MatchData[team],MatchData[[#this row],[team]],MatchData[portcullis teleop crossings]:MatchData[portcullis scored crossings])</f>
        <v>#VALUE!</v>
      </c>
      <c r="CJ10" s="16" t="e">
        <f aca="false">SUMIF(MatchData[team],MatchData[[#this row],[team]],MatchData[cheval teleop crossings])+SUMIF(MatchData[team],MatchData[[#this row],[team]],MatchData[cheval scored crossings])</f>
        <v>#VALUE!</v>
      </c>
      <c r="CK10" s="16" t="e">
        <f aca="false">SUMIF(MatchData[team],MatchData[[#this row],[team]],MatchData[moat teleop crossings])+SUMIF(MatchData[team],MatchData[[#this row],[team]],MatchData[moat scored crosings])</f>
        <v>#VALUE!</v>
      </c>
      <c r="CL10" s="16" t="e">
        <f aca="false">SUMIF(MatchData[team],MatchData[[#this row],[team]],MatchData[ramparts teleop crossings])+SUMIF(MatchData[team],MatchData[[#this row],[team]],MatchData[ramparts scored crossings])</f>
        <v>#VALUE!</v>
      </c>
      <c r="CM10" s="16" t="e">
        <f aca="false">SUMIF(MatchData[team],MatchData[[#this row],[team]],MatchData[drawbridge teleop crossings])+SUMIF(MatchData[team],MatchData[[#this row],[team]],MatchData[drawbridge scored crossings])</f>
        <v>#VALUE!</v>
      </c>
      <c r="CN10" s="16" t="e">
        <f aca="false">SUMIF(MatchData[team],MatchData[[#this row],[team]],MatchData[sally port teleop crossings])+SUMIF(MatchData[team],MatchData[[#this row],[team]],MatchData[sally port scored crossings])</f>
        <v>#VALUE!</v>
      </c>
      <c r="CO10" s="16" t="e">
        <f aca="false">SUMIF(MatchData[team],MatchData[[#this row],[team]],MatchData[rock wall teleop crossings])+SUMIF(MatchData[team],MatchData[[#this row],[team]],MatchData[rock wall scored crossings])</f>
        <v>#VALUE!</v>
      </c>
      <c r="CP10" s="16" t="e">
        <f aca="false">SUMIF(MatchData[team],MatchData[[#this row],[team]],MatchData[rough terrain teleop crossings])+SUMIF(MatchData[team],MatchData[[#this row],[team]],MatchData[rough terrain scored crossings])</f>
        <v>#VALUE!</v>
      </c>
      <c r="CQ10" s="16" t="e">
        <f aca="false">SUMIF(MatchData[team],MatchData[[#this row],[team]],MatchData[low bar teleop crossings])+SUMIF(MatchData[team],MatchData[[#this row],[team]],MatchData[low bar scored crossings])</f>
        <v>#VALUE!</v>
      </c>
      <c r="CR10" s="16" t="e">
        <f aca="false">IFERROR(ROUND(MatchData[[#this row],[portcullis sum]]/MatchData[[#this row],[portcullis avail count]],2),0)</f>
        <v>#VALUE!</v>
      </c>
      <c r="CS10" s="5" t="e">
        <f aca="false">IFERROR(ROUND(MatchData[[#this row],[cheval sum]]/MatchData[[#this row],[cheval avail count]],2),0)</f>
        <v>#VALUE!</v>
      </c>
      <c r="CT10" s="5" t="e">
        <f aca="false">IFERROR(ROUND(MatchData[[#this row],[moat sum]]/MatchData[[#this row],[moat avail count]],2),0)</f>
        <v>#VALUE!</v>
      </c>
      <c r="CU10" s="5" t="e">
        <f aca="false">IFERROR(ROUND(MatchData[[#this row],[ramparts sum]]/MatchData[[#this row],[ramparts avail count]],2),0)</f>
        <v>#VALUE!</v>
      </c>
      <c r="CV10" s="5" t="e">
        <f aca="false">IFERROR(ROUND(MatchData[[#this row],[drawbridge sum]]/MatchData[[#this row],[drawbridge avail countigh6]],2),0)</f>
        <v>#VALUE!</v>
      </c>
      <c r="CW10" s="5" t="e">
        <f aca="false">IFERROR(ROUND(MatchData[[#this row],[sally port sum]]/MatchData[[#this row],[sally port avail count]],2),0)</f>
        <v>#VALUE!</v>
      </c>
      <c r="CX10" s="5" t="e">
        <f aca="false">IFERROR(ROUND(MatchData[[#this row],[rock wall sum]]/MatchData[[#this row],[rock wall avail count]],2),0)</f>
        <v>#VALUE!</v>
      </c>
      <c r="CY10" s="5" t="e">
        <f aca="false">IFERROR(ROUND(MatchData[[#this row],[rough terrain sum]]/MatchData[[#this row],[rough terrain avail count]],2),0)</f>
        <v>#VALUE!</v>
      </c>
      <c r="CZ10" s="5" t="e">
        <f aca="false">IFERROR(ROUND(MatchData[[#this row],[low bar sum]]/MatchData[[#this row],[low bar avail count]],2),0)</f>
        <v>#VALUE!</v>
      </c>
      <c r="DA10" s="5" t="e">
        <f aca="false">SUM(MatchData[[#this row],[cheval sum]:[low bar sum]])/MatchData[match count]</f>
        <v>#VALUE!</v>
      </c>
      <c r="DB10" s="16" t="n">
        <f aca="false">MAX(IF(C$2:C$74=C10,BP$2:BP$74))</f>
        <v>-1.79769313486232E+308</v>
      </c>
      <c r="DC10" s="16" t="e">
        <f aca="false">AVERAGEIF(MatchData[team],MatchData[[#this row],[team]],MatchData[total score])</f>
        <v>#VALUE!</v>
      </c>
      <c r="DD10" s="16" t="e">
        <f aca="false">ROUND(AVERAGEIF(MatchData[team],MatchData[team],MatchData[climb or challenge flag]),2)</f>
        <v>#VALUE!</v>
      </c>
    </row>
    <row r="11" customFormat="false" ht="14.5" hidden="false" customHeight="false" outlineLevel="0" collapsed="false">
      <c r="A11" s="13" t="s">
        <v>108</v>
      </c>
      <c r="B11" s="14" t="n">
        <v>2</v>
      </c>
      <c r="C11" s="15" t="n">
        <v>2374</v>
      </c>
      <c r="D11" s="5" t="s">
        <v>113</v>
      </c>
      <c r="E11" s="5" t="s">
        <v>118</v>
      </c>
      <c r="F11" s="5"/>
      <c r="G11" s="5" t="n">
        <v>1</v>
      </c>
      <c r="H11" s="5"/>
      <c r="J11" s="5" t="n">
        <v>1</v>
      </c>
      <c r="K11" s="5"/>
      <c r="L11" s="5" t="n">
        <v>1</v>
      </c>
      <c r="M11" s="5"/>
      <c r="N11" s="5" t="n">
        <v>1</v>
      </c>
      <c r="O11" s="5"/>
      <c r="P11" s="5" t="n">
        <v>1</v>
      </c>
      <c r="Q11" s="5" t="n">
        <v>1</v>
      </c>
      <c r="R11" s="0"/>
      <c r="T11" s="0"/>
      <c r="V11" s="0"/>
      <c r="W11" s="0"/>
      <c r="X11" s="0"/>
      <c r="AL11" s="5" t="n">
        <v>1</v>
      </c>
      <c r="AR11" s="5" t="n">
        <v>1</v>
      </c>
      <c r="AW11" s="5" t="n">
        <v>1</v>
      </c>
      <c r="BC11" s="5" t="e">
        <f aca="false">MatchData[cheval scored crossings]*5</f>
        <v>#VALUE!</v>
      </c>
      <c r="BD11" s="5" t="e">
        <f aca="false">MatchData[moat scored crosings]*5</f>
        <v>#VALUE!</v>
      </c>
      <c r="BE11" s="5" t="e">
        <f aca="false">MatchData[ramparts scored crossings]*5</f>
        <v>#VALUE!</v>
      </c>
      <c r="BF11" s="5" t="e">
        <f aca="false">MatchData[drawbridge scored crossings]*5</f>
        <v>#VALUE!</v>
      </c>
      <c r="BG11" s="5" t="e">
        <f aca="false">MatchData[sally port scored crossings]*5</f>
        <v>#VALUE!</v>
      </c>
      <c r="BH11" s="5" t="e">
        <f aca="false">MatchData[rock wall scored crossings]*5</f>
        <v>#VALUE!</v>
      </c>
      <c r="BI11" s="5" t="e">
        <f aca="false">MatchData[rough terrain scored crossings]*5</f>
        <v>#VALUE!</v>
      </c>
      <c r="BJ11" s="5" t="e">
        <f aca="false">MatchData[low bar scored crossings]*5</f>
        <v>#VALUE!</v>
      </c>
      <c r="BK11" s="5" t="e">
        <f aca="false">SUM(MatchData[[#this row],[low bar teleop crossings]:[rough terrain scored crossings]])</f>
        <v>#VALUE!</v>
      </c>
      <c r="BL11" s="5" t="e">
        <f aca="false">IFERROR(IF(OR(MatchData[[#this row],[challenge flag]],MatchData[[#this row],[climb flag]]),1,0),0)</f>
        <v>#VALUE!</v>
      </c>
      <c r="BM11" s="5" t="e">
        <f aca="false">MatchData[auto high goals]*10+MatchData[teleop high goals]*5</f>
        <v>#VALUE!</v>
      </c>
      <c r="BN11" s="5" t="e">
        <f aca="false">MatchData[auto low goals]*5+MatchData[teleop low goals]*2</f>
        <v>#VALUE!</v>
      </c>
      <c r="BO11" s="5" t="e">
        <f aca="false">MatchData[high goal score]+MatchData[low goal score]</f>
        <v>#VALUE!</v>
      </c>
      <c r="BP11" s="5" t="e">
        <f aca="false">MatchData[teleop high goals]+MatchData[teleop low goals]</f>
        <v>#VALUE!</v>
      </c>
      <c r="BQ11" s="5" t="e">
        <f aca="false">MatchData[[#this row],[auto reach flag]]*2+SUM(MatchData[[#this row],[portcullis auto crossings]:[low bar auto crossings]])*10+MatchData[[#this row],[auto low goals]]*5+MatchData[auto high goals]*10</f>
        <v>#VALUE!</v>
      </c>
      <c r="BR11" s="5" t="e">
        <f aca="false">SUM(MatchData[[#this row],[cheval teleop crossing score]:[low bar teleop crossing score]])</f>
        <v>#VALUE!</v>
      </c>
      <c r="BS11" s="5" t="e">
        <f aca="false">SUMIF(MatchData[team],MatchData[[#this row],[team]],MatchData[total auto score])/MatchData[match count]</f>
        <v>#VALUE!</v>
      </c>
      <c r="BT11" s="5" t="e">
        <f aca="false">MatchData[challenge flag]*5</f>
        <v>#VALUE!</v>
      </c>
      <c r="BU11" s="5" t="e">
        <f aca="false">MatchData[climb flag]*15</f>
        <v>#VALUE!</v>
      </c>
      <c r="BV11" s="5" t="e">
        <f aca="false">SUM(MatchData[[#this row],[total goal score]],MatchData[[#this row],[crossing score]],MatchData[[#this row],[challenge score]],MatchData[[#this row],[climb score]],MatchData[[#this row],[total auto score]])</f>
        <v>#VALUE!</v>
      </c>
      <c r="BW11" s="16" t="e">
        <f aca="false">ROUND(SUMIF(MatchData[team],MatchData[[#this row],[team]],MatchData[teleop low goals])/COUNTIF(MatchData[team],MatchData[[#this row],[team]]),2)</f>
        <v>#VALUE!</v>
      </c>
      <c r="BX11" s="16" t="e">
        <f aca="false">ROUND(SUMIF(MatchData[team],MatchData[[#this row],[team]],MatchData[teleop high goals])/COUNTIF(MatchData[team],MatchData[[#this row],[team]]),2)</f>
        <v>#VALUE!</v>
      </c>
      <c r="BY11" s="16" t="e">
        <f aca="false">COUNTIF(MatchData[team],MatchData[[#this row],[team]])</f>
        <v>#VALUE!</v>
      </c>
      <c r="BZ11" s="16" t="e">
        <f aca="false">SUMIF(MatchData[team],MatchData[[#this row],[team]],MatchData[portcullis available])</f>
        <v>#VALUE!</v>
      </c>
      <c r="CA11" s="16" t="e">
        <f aca="false">SUMIF(MatchData[team],MatchData[[#this row],[team]],MatchData[cheval available])</f>
        <v>#VALUE!</v>
      </c>
      <c r="CB11" s="16" t="e">
        <f aca="false">SUMIF(MatchData[team],MatchData[[#this row],[team]],MatchData[moat available])</f>
        <v>#VALUE!</v>
      </c>
      <c r="CC11" s="16" t="e">
        <f aca="false">SUMIF(MatchData[team],MatchData[[#this row],[team]],MatchData[ramparts available])</f>
        <v>#VALUE!</v>
      </c>
      <c r="CD11" s="16" t="e">
        <f aca="false">SUMIF(MatchData[team],MatchData[[#this row],[team]],MatchData[drawbridge available])</f>
        <v>#VALUE!</v>
      </c>
      <c r="CE11" s="16" t="e">
        <f aca="false">SUMIF(MatchData[team],MatchData[[#this row],[team]],MatchData[sally port available])</f>
        <v>#VALUE!</v>
      </c>
      <c r="CF11" s="16" t="e">
        <f aca="false">SUMIF(MatchData[team],MatchData[[#this row],[team]],MatchData[rock wall available])</f>
        <v>#VALUE!</v>
      </c>
      <c r="CG11" s="16" t="e">
        <f aca="false">SUMIF(MatchData[team],MatchData[[#this row],[team]],MatchData[rough terrain available])</f>
        <v>#VALUE!</v>
      </c>
      <c r="CH11" s="16" t="e">
        <f aca="false">SUMIF(MatchData[team],MatchData[[#this row],[team]],MatchData[low bar available])</f>
        <v>#VALUE!</v>
      </c>
      <c r="CI11" s="16" t="e">
        <f aca="false">SUMIF(MatchData[team],MatchData[[#this row],[team]],MatchData[portcullis teleop crossings]:MatchData[portcullis scored crossings])</f>
        <v>#VALUE!</v>
      </c>
      <c r="CJ11" s="16" t="e">
        <f aca="false">SUMIF(MatchData[team],MatchData[[#this row],[team]],MatchData[cheval teleop crossings])+SUMIF(MatchData[team],MatchData[[#this row],[team]],MatchData[cheval scored crossings])</f>
        <v>#VALUE!</v>
      </c>
      <c r="CK11" s="16" t="e">
        <f aca="false">SUMIF(MatchData[team],MatchData[[#this row],[team]],MatchData[moat teleop crossings])+SUMIF(MatchData[team],MatchData[[#this row],[team]],MatchData[moat scored crosings])</f>
        <v>#VALUE!</v>
      </c>
      <c r="CL11" s="16" t="e">
        <f aca="false">SUMIF(MatchData[team],MatchData[[#this row],[team]],MatchData[ramparts teleop crossings])+SUMIF(MatchData[team],MatchData[[#this row],[team]],MatchData[ramparts scored crossings])</f>
        <v>#VALUE!</v>
      </c>
      <c r="CM11" s="16" t="e">
        <f aca="false">SUMIF(MatchData[team],MatchData[[#this row],[team]],MatchData[drawbridge teleop crossings])+SUMIF(MatchData[team],MatchData[[#this row],[team]],MatchData[drawbridge scored crossings])</f>
        <v>#VALUE!</v>
      </c>
      <c r="CN11" s="16" t="e">
        <f aca="false">SUMIF(MatchData[team],MatchData[[#this row],[team]],MatchData[sally port teleop crossings])+SUMIF(MatchData[team],MatchData[[#this row],[team]],MatchData[sally port scored crossings])</f>
        <v>#VALUE!</v>
      </c>
      <c r="CO11" s="16" t="e">
        <f aca="false">SUMIF(MatchData[team],MatchData[[#this row],[team]],MatchData[rock wall teleop crossings])+SUMIF(MatchData[team],MatchData[[#this row],[team]],MatchData[rock wall scored crossings])</f>
        <v>#VALUE!</v>
      </c>
      <c r="CP11" s="16" t="e">
        <f aca="false">SUMIF(MatchData[team],MatchData[[#this row],[team]],MatchData[rough terrain teleop crossings])+SUMIF(MatchData[team],MatchData[[#this row],[team]],MatchData[rough terrain scored crossings])</f>
        <v>#VALUE!</v>
      </c>
      <c r="CQ11" s="16" t="e">
        <f aca="false">SUMIF(MatchData[team],MatchData[[#this row],[team]],MatchData[low bar teleop crossings])+SUMIF(MatchData[team],MatchData[[#this row],[team]],MatchData[low bar scored crossings])</f>
        <v>#VALUE!</v>
      </c>
      <c r="CR11" s="16" t="e">
        <f aca="false">IFERROR(ROUND(MatchData[[#this row],[portcullis sum]]/MatchData[[#this row],[portcullis avail count]],2),0)</f>
        <v>#VALUE!</v>
      </c>
      <c r="CS11" s="5" t="e">
        <f aca="false">IFERROR(ROUND(MatchData[[#this row],[cheval sum]]/MatchData[[#this row],[cheval avail count]],2),0)</f>
        <v>#VALUE!</v>
      </c>
      <c r="CT11" s="5" t="e">
        <f aca="false">IFERROR(ROUND(MatchData[[#this row],[moat sum]]/MatchData[[#this row],[moat avail count]],2),0)</f>
        <v>#VALUE!</v>
      </c>
      <c r="CU11" s="5" t="e">
        <f aca="false">IFERROR(ROUND(MatchData[[#this row],[ramparts sum]]/MatchData[[#this row],[ramparts avail count]],2),0)</f>
        <v>#VALUE!</v>
      </c>
      <c r="CV11" s="5" t="e">
        <f aca="false">IFERROR(ROUND(MatchData[[#this row],[drawbridge sum]]/MatchData[[#this row],[drawbridge avail countigh6]],2),0)</f>
        <v>#VALUE!</v>
      </c>
      <c r="CW11" s="5" t="e">
        <f aca="false">IFERROR(ROUND(MatchData[[#this row],[sally port sum]]/MatchData[[#this row],[sally port avail count]],2),0)</f>
        <v>#VALUE!</v>
      </c>
      <c r="CX11" s="5" t="e">
        <f aca="false">IFERROR(ROUND(MatchData[[#this row],[rock wall sum]]/MatchData[[#this row],[rock wall avail count]],2),0)</f>
        <v>#VALUE!</v>
      </c>
      <c r="CY11" s="5" t="e">
        <f aca="false">IFERROR(ROUND(MatchData[[#this row],[rough terrain sum]]/MatchData[[#this row],[rough terrain avail count]],2),0)</f>
        <v>#VALUE!</v>
      </c>
      <c r="CZ11" s="5" t="e">
        <f aca="false">IFERROR(ROUND(MatchData[[#this row],[low bar sum]]/MatchData[[#this row],[low bar avail count]],2),0)</f>
        <v>#VALUE!</v>
      </c>
      <c r="DA11" s="5" t="e">
        <f aca="false">SUM(MatchData[[#this row],[cheval sum]:[low bar sum]])/MatchData[match count]</f>
        <v>#VALUE!</v>
      </c>
      <c r="DB11" s="16" t="n">
        <f aca="false">MAX(IF(C$2:C$74=C11,BP$2:BP$74))</f>
        <v>-1.79769313486232E+308</v>
      </c>
      <c r="DC11" s="16" t="e">
        <f aca="false">AVERAGEIF(MatchData[team],MatchData[[#this row],[team]],MatchData[total score])</f>
        <v>#VALUE!</v>
      </c>
      <c r="DD11" s="16" t="e">
        <f aca="false">ROUND(AVERAGEIF(MatchData[team],MatchData[team],MatchData[climb or challenge flag]),2)</f>
        <v>#VALUE!</v>
      </c>
    </row>
    <row r="12" customFormat="false" ht="14.5" hidden="false" customHeight="false" outlineLevel="0" collapsed="false">
      <c r="A12" s="13" t="s">
        <v>108</v>
      </c>
      <c r="B12" s="14" t="n">
        <v>2</v>
      </c>
      <c r="C12" s="15" t="n">
        <v>2990</v>
      </c>
      <c r="D12" s="5" t="s">
        <v>113</v>
      </c>
      <c r="E12" s="5" t="s">
        <v>112</v>
      </c>
      <c r="F12" s="5"/>
      <c r="H12" s="5"/>
      <c r="I12" s="5" t="n">
        <v>1</v>
      </c>
      <c r="J12" s="5" t="n">
        <v>1</v>
      </c>
      <c r="K12" s="5"/>
      <c r="L12" s="5" t="n">
        <v>1</v>
      </c>
      <c r="M12" s="5"/>
      <c r="N12" s="5" t="n">
        <v>1</v>
      </c>
      <c r="O12" s="5"/>
      <c r="P12" s="5" t="n">
        <v>1</v>
      </c>
      <c r="Q12" s="5" t="n">
        <v>1</v>
      </c>
      <c r="R12" s="0"/>
      <c r="T12" s="0"/>
      <c r="V12" s="0"/>
      <c r="W12" s="0"/>
      <c r="X12" s="0"/>
      <c r="AR12" s="5" t="n">
        <v>1</v>
      </c>
      <c r="AW12" s="5" t="n">
        <v>1</v>
      </c>
      <c r="AZ12" s="5" t="n">
        <v>1</v>
      </c>
      <c r="BC12" s="5" t="e">
        <f aca="false">MatchData[cheval scored crossings]*5</f>
        <v>#VALUE!</v>
      </c>
      <c r="BD12" s="5" t="e">
        <f aca="false">MatchData[moat scored crosings]*5</f>
        <v>#VALUE!</v>
      </c>
      <c r="BE12" s="5" t="e">
        <f aca="false">MatchData[ramparts scored crossings]*5</f>
        <v>#VALUE!</v>
      </c>
      <c r="BF12" s="5" t="e">
        <f aca="false">MatchData[drawbridge scored crossings]*5</f>
        <v>#VALUE!</v>
      </c>
      <c r="BG12" s="5" t="e">
        <f aca="false">MatchData[sally port scored crossings]*5</f>
        <v>#VALUE!</v>
      </c>
      <c r="BH12" s="5" t="e">
        <f aca="false">MatchData[rock wall scored crossings]*5</f>
        <v>#VALUE!</v>
      </c>
      <c r="BI12" s="5" t="e">
        <f aca="false">MatchData[rough terrain scored crossings]*5</f>
        <v>#VALUE!</v>
      </c>
      <c r="BJ12" s="5" t="e">
        <f aca="false">MatchData[low bar scored crossings]*5</f>
        <v>#VALUE!</v>
      </c>
      <c r="BK12" s="5" t="e">
        <f aca="false">SUM(MatchData[[#this row],[low bar teleop crossings]:[rough terrain scored crossings]])</f>
        <v>#VALUE!</v>
      </c>
      <c r="BL12" s="5" t="e">
        <f aca="false">IFERROR(IF(OR(MatchData[[#this row],[challenge flag]],MatchData[[#this row],[climb flag]]),1,0),0)</f>
        <v>#VALUE!</v>
      </c>
      <c r="BM12" s="5" t="e">
        <f aca="false">MatchData[auto high goals]*10+MatchData[teleop high goals]*5</f>
        <v>#VALUE!</v>
      </c>
      <c r="BN12" s="5" t="e">
        <f aca="false">MatchData[auto low goals]*5+MatchData[teleop low goals]*2</f>
        <v>#VALUE!</v>
      </c>
      <c r="BO12" s="5" t="e">
        <f aca="false">MatchData[high goal score]+MatchData[low goal score]</f>
        <v>#VALUE!</v>
      </c>
      <c r="BP12" s="5" t="e">
        <f aca="false">MatchData[teleop high goals]+MatchData[teleop low goals]</f>
        <v>#VALUE!</v>
      </c>
      <c r="BQ12" s="5" t="e">
        <f aca="false">MatchData[[#this row],[auto reach flag]]*2+SUM(MatchData[[#this row],[portcullis auto crossings]:[low bar auto crossings]])*10+MatchData[[#this row],[auto low goals]]*5+MatchData[auto high goals]*10</f>
        <v>#VALUE!</v>
      </c>
      <c r="BR12" s="5" t="e">
        <f aca="false">SUM(MatchData[[#this row],[cheval teleop crossing score]:[low bar teleop crossing score]])</f>
        <v>#VALUE!</v>
      </c>
      <c r="BS12" s="5" t="e">
        <f aca="false">SUMIF(MatchData[team],MatchData[[#this row],[team]],MatchData[total auto score])/MatchData[match count]</f>
        <v>#VALUE!</v>
      </c>
      <c r="BT12" s="5" t="e">
        <f aca="false">MatchData[challenge flag]*5</f>
        <v>#VALUE!</v>
      </c>
      <c r="BU12" s="5" t="e">
        <f aca="false">MatchData[climb flag]*15</f>
        <v>#VALUE!</v>
      </c>
      <c r="BV12" s="5" t="e">
        <f aca="false">SUM(MatchData[[#this row],[total goal score]],MatchData[[#this row],[crossing score]],MatchData[[#this row],[challenge score]],MatchData[[#this row],[climb score]],MatchData[[#this row],[total auto score]])</f>
        <v>#VALUE!</v>
      </c>
      <c r="BW12" s="16" t="e">
        <f aca="false">ROUND(SUMIF(MatchData[team],MatchData[[#this row],[team]],MatchData[teleop low goals])/COUNTIF(MatchData[team],MatchData[[#this row],[team]]),2)</f>
        <v>#VALUE!</v>
      </c>
      <c r="BX12" s="16" t="e">
        <f aca="false">ROUND(SUMIF(MatchData[team],MatchData[[#this row],[team]],MatchData[teleop high goals])/COUNTIF(MatchData[team],MatchData[[#this row],[team]]),2)</f>
        <v>#VALUE!</v>
      </c>
      <c r="BY12" s="16" t="e">
        <f aca="false">COUNTIF(MatchData[team],MatchData[[#this row],[team]])</f>
        <v>#VALUE!</v>
      </c>
      <c r="BZ12" s="16" t="e">
        <f aca="false">SUMIF(MatchData[team],MatchData[[#this row],[team]],MatchData[portcullis available])</f>
        <v>#VALUE!</v>
      </c>
      <c r="CA12" s="16" t="e">
        <f aca="false">SUMIF(MatchData[team],MatchData[[#this row],[team]],MatchData[cheval available])</f>
        <v>#VALUE!</v>
      </c>
      <c r="CB12" s="16" t="e">
        <f aca="false">SUMIF(MatchData[team],MatchData[[#this row],[team]],MatchData[moat available])</f>
        <v>#VALUE!</v>
      </c>
      <c r="CC12" s="16" t="e">
        <f aca="false">SUMIF(MatchData[team],MatchData[[#this row],[team]],MatchData[ramparts available])</f>
        <v>#VALUE!</v>
      </c>
      <c r="CD12" s="16" t="e">
        <f aca="false">SUMIF(MatchData[team],MatchData[[#this row],[team]],MatchData[drawbridge available])</f>
        <v>#VALUE!</v>
      </c>
      <c r="CE12" s="16" t="e">
        <f aca="false">SUMIF(MatchData[team],MatchData[[#this row],[team]],MatchData[sally port available])</f>
        <v>#VALUE!</v>
      </c>
      <c r="CF12" s="16" t="e">
        <f aca="false">SUMIF(MatchData[team],MatchData[[#this row],[team]],MatchData[rock wall available])</f>
        <v>#VALUE!</v>
      </c>
      <c r="CG12" s="16" t="e">
        <f aca="false">SUMIF(MatchData[team],MatchData[[#this row],[team]],MatchData[rough terrain available])</f>
        <v>#VALUE!</v>
      </c>
      <c r="CH12" s="16" t="e">
        <f aca="false">SUMIF(MatchData[team],MatchData[[#this row],[team]],MatchData[low bar available])</f>
        <v>#VALUE!</v>
      </c>
      <c r="CI12" s="16" t="e">
        <f aca="false">SUMIF(MatchData[team],MatchData[[#this row],[team]],MatchData[portcullis teleop crossings]:MatchData[portcullis scored crossings])</f>
        <v>#VALUE!</v>
      </c>
      <c r="CJ12" s="16" t="e">
        <f aca="false">SUMIF(MatchData[team],MatchData[[#this row],[team]],MatchData[cheval teleop crossings])+SUMIF(MatchData[team],MatchData[[#this row],[team]],MatchData[cheval scored crossings])</f>
        <v>#VALUE!</v>
      </c>
      <c r="CK12" s="16" t="e">
        <f aca="false">SUMIF(MatchData[team],MatchData[[#this row],[team]],MatchData[moat teleop crossings])+SUMIF(MatchData[team],MatchData[[#this row],[team]],MatchData[moat scored crosings])</f>
        <v>#VALUE!</v>
      </c>
      <c r="CL12" s="16" t="e">
        <f aca="false">SUMIF(MatchData[team],MatchData[[#this row],[team]],MatchData[ramparts teleop crossings])+SUMIF(MatchData[team],MatchData[[#this row],[team]],MatchData[ramparts scored crossings])</f>
        <v>#VALUE!</v>
      </c>
      <c r="CM12" s="16" t="e">
        <f aca="false">SUMIF(MatchData[team],MatchData[[#this row],[team]],MatchData[drawbridge teleop crossings])+SUMIF(MatchData[team],MatchData[[#this row],[team]],MatchData[drawbridge scored crossings])</f>
        <v>#VALUE!</v>
      </c>
      <c r="CN12" s="16" t="e">
        <f aca="false">SUMIF(MatchData[team],MatchData[[#this row],[team]],MatchData[sally port teleop crossings])+SUMIF(MatchData[team],MatchData[[#this row],[team]],MatchData[sally port scored crossings])</f>
        <v>#VALUE!</v>
      </c>
      <c r="CO12" s="16" t="e">
        <f aca="false">SUMIF(MatchData[team],MatchData[[#this row],[team]],MatchData[rock wall teleop crossings])+SUMIF(MatchData[team],MatchData[[#this row],[team]],MatchData[rock wall scored crossings])</f>
        <v>#VALUE!</v>
      </c>
      <c r="CP12" s="16" t="e">
        <f aca="false">SUMIF(MatchData[team],MatchData[[#this row],[team]],MatchData[rough terrain teleop crossings])+SUMIF(MatchData[team],MatchData[[#this row],[team]],MatchData[rough terrain scored crossings])</f>
        <v>#VALUE!</v>
      </c>
      <c r="CQ12" s="16" t="e">
        <f aca="false">SUMIF(MatchData[team],MatchData[[#this row],[team]],MatchData[low bar teleop crossings])+SUMIF(MatchData[team],MatchData[[#this row],[team]],MatchData[low bar scored crossings])</f>
        <v>#VALUE!</v>
      </c>
      <c r="CR12" s="16" t="e">
        <f aca="false">IFERROR(ROUND(MatchData[[#this row],[portcullis sum]]/MatchData[[#this row],[portcullis avail count]],2),0)</f>
        <v>#VALUE!</v>
      </c>
      <c r="CS12" s="5" t="e">
        <f aca="false">IFERROR(ROUND(MatchData[[#this row],[cheval sum]]/MatchData[[#this row],[cheval avail count]],2),0)</f>
        <v>#VALUE!</v>
      </c>
      <c r="CT12" s="5" t="e">
        <f aca="false">IFERROR(ROUND(MatchData[[#this row],[moat sum]]/MatchData[[#this row],[moat avail count]],2),0)</f>
        <v>#VALUE!</v>
      </c>
      <c r="CU12" s="5" t="e">
        <f aca="false">IFERROR(ROUND(MatchData[[#this row],[ramparts sum]]/MatchData[[#this row],[ramparts avail count]],2),0)</f>
        <v>#VALUE!</v>
      </c>
      <c r="CV12" s="5" t="e">
        <f aca="false">IFERROR(ROUND(MatchData[[#this row],[drawbridge sum]]/MatchData[[#this row],[drawbridge avail countigh6]],2),0)</f>
        <v>#VALUE!</v>
      </c>
      <c r="CW12" s="5" t="e">
        <f aca="false">IFERROR(ROUND(MatchData[[#this row],[sally port sum]]/MatchData[[#this row],[sally port avail count]],2),0)</f>
        <v>#VALUE!</v>
      </c>
      <c r="CX12" s="5" t="e">
        <f aca="false">IFERROR(ROUND(MatchData[[#this row],[rock wall sum]]/MatchData[[#this row],[rock wall avail count]],2),0)</f>
        <v>#VALUE!</v>
      </c>
      <c r="CY12" s="5" t="e">
        <f aca="false">IFERROR(ROUND(MatchData[[#this row],[rough terrain sum]]/MatchData[[#this row],[rough terrain avail count]],2),0)</f>
        <v>#VALUE!</v>
      </c>
      <c r="CZ12" s="5" t="e">
        <f aca="false">IFERROR(ROUND(MatchData[[#this row],[low bar sum]]/MatchData[[#this row],[low bar avail count]],2),0)</f>
        <v>#VALUE!</v>
      </c>
      <c r="DA12" s="5" t="e">
        <f aca="false">SUM(MatchData[[#this row],[cheval sum]:[low bar sum]])/MatchData[match count]</f>
        <v>#VALUE!</v>
      </c>
      <c r="DB12" s="16" t="n">
        <f aca="false">MAX(IF(C$2:C$74=C12,BP$2:BP$74))</f>
        <v>-1.79769313486232E+308</v>
      </c>
      <c r="DC12" s="16" t="e">
        <f aca="false">AVERAGEIF(MatchData[team],MatchData[[#this row],[team]],MatchData[total score])</f>
        <v>#VALUE!</v>
      </c>
      <c r="DD12" s="16" t="e">
        <f aca="false">ROUND(AVERAGEIF(MatchData[team],MatchData[team],MatchData[climb or challenge flag]),2)</f>
        <v>#VALUE!</v>
      </c>
    </row>
    <row r="13" customFormat="false" ht="14.5" hidden="false" customHeight="false" outlineLevel="0" collapsed="false">
      <c r="A13" s="17" t="s">
        <v>108</v>
      </c>
      <c r="B13" s="14" t="n">
        <v>2</v>
      </c>
      <c r="C13" s="15" t="n">
        <v>5956</v>
      </c>
      <c r="D13" s="5" t="s">
        <v>113</v>
      </c>
      <c r="E13" s="5" t="s">
        <v>110</v>
      </c>
      <c r="F13" s="5"/>
      <c r="H13" s="5"/>
      <c r="J13" s="5" t="n">
        <v>1</v>
      </c>
      <c r="K13" s="5"/>
      <c r="L13" s="5" t="n">
        <v>1</v>
      </c>
      <c r="M13" s="5"/>
      <c r="N13" s="5" t="n">
        <v>1</v>
      </c>
      <c r="O13" s="5"/>
      <c r="P13" s="5" t="n">
        <v>1</v>
      </c>
      <c r="Q13" s="5" t="n">
        <v>1</v>
      </c>
      <c r="R13" s="0"/>
      <c r="T13" s="0"/>
      <c r="V13" s="0"/>
      <c r="W13" s="0"/>
      <c r="X13" s="0"/>
      <c r="AD13" s="5" t="n">
        <v>1</v>
      </c>
      <c r="AZ13" s="5" t="n">
        <v>1</v>
      </c>
      <c r="BC13" s="5" t="e">
        <f aca="false">MatchData[cheval scored crossings]*5</f>
        <v>#VALUE!</v>
      </c>
      <c r="BD13" s="5" t="e">
        <f aca="false">MatchData[moat scored crosings]*5</f>
        <v>#VALUE!</v>
      </c>
      <c r="BE13" s="5" t="e">
        <f aca="false">MatchData[ramparts scored crossings]*5</f>
        <v>#VALUE!</v>
      </c>
      <c r="BF13" s="5" t="e">
        <f aca="false">MatchData[drawbridge scored crossings]*5</f>
        <v>#VALUE!</v>
      </c>
      <c r="BG13" s="5" t="e">
        <f aca="false">MatchData[sally port scored crossings]*5</f>
        <v>#VALUE!</v>
      </c>
      <c r="BH13" s="5" t="e">
        <f aca="false">MatchData[rock wall scored crossings]*5</f>
        <v>#VALUE!</v>
      </c>
      <c r="BI13" s="5" t="e">
        <f aca="false">MatchData[rough terrain scored crossings]*5</f>
        <v>#VALUE!</v>
      </c>
      <c r="BJ13" s="5" t="e">
        <f aca="false">MatchData[low bar scored crossings]*5</f>
        <v>#VALUE!</v>
      </c>
      <c r="BK13" s="5" t="e">
        <f aca="false">SUM(MatchData[[#this row],[low bar teleop crossings]:[rough terrain scored crossings]])</f>
        <v>#VALUE!</v>
      </c>
      <c r="BL13" s="5" t="e">
        <f aca="false">IFERROR(IF(OR(MatchData[[#this row],[challenge flag]],MatchData[[#this row],[climb flag]]),1,0),0)</f>
        <v>#VALUE!</v>
      </c>
      <c r="BM13" s="5" t="e">
        <f aca="false">MatchData[auto high goals]*10+MatchData[teleop high goals]*5</f>
        <v>#VALUE!</v>
      </c>
      <c r="BN13" s="5" t="e">
        <f aca="false">MatchData[auto low goals]*5+MatchData[teleop low goals]*2</f>
        <v>#VALUE!</v>
      </c>
      <c r="BO13" s="5" t="e">
        <f aca="false">MatchData[high goal score]+MatchData[low goal score]</f>
        <v>#VALUE!</v>
      </c>
      <c r="BP13" s="5" t="e">
        <f aca="false">MatchData[teleop high goals]+MatchData[teleop low goals]</f>
        <v>#VALUE!</v>
      </c>
      <c r="BQ13" s="5" t="e">
        <f aca="false">MatchData[[#this row],[auto reach flag]]*2+SUM(MatchData[[#this row],[portcullis auto crossings]:[low bar auto crossings]])*10+MatchData[[#this row],[auto low goals]]*5+MatchData[auto high goals]*10</f>
        <v>#VALUE!</v>
      </c>
      <c r="BR13" s="5" t="e">
        <f aca="false">SUM(MatchData[[#this row],[cheval teleop crossing score]:[low bar teleop crossing score]])</f>
        <v>#VALUE!</v>
      </c>
      <c r="BS13" s="5" t="e">
        <f aca="false">SUMIF(MatchData[team],MatchData[[#this row],[team]],MatchData[total auto score])/MatchData[match count]</f>
        <v>#VALUE!</v>
      </c>
      <c r="BT13" s="5" t="e">
        <f aca="false">MatchData[challenge flag]*5</f>
        <v>#VALUE!</v>
      </c>
      <c r="BU13" s="5" t="e">
        <f aca="false">MatchData[climb flag]*15</f>
        <v>#VALUE!</v>
      </c>
      <c r="BV13" s="5" t="e">
        <f aca="false">SUM(MatchData[[#this row],[total goal score]],MatchData[[#this row],[crossing score]],MatchData[[#this row],[challenge score]],MatchData[[#this row],[climb score]],MatchData[[#this row],[total auto score]])</f>
        <v>#VALUE!</v>
      </c>
      <c r="BW13" s="16" t="e">
        <f aca="false">ROUND(SUMIF(MatchData[team],MatchData[[#this row],[team]],MatchData[teleop low goals])/COUNTIF(MatchData[team],MatchData[[#this row],[team]]),2)</f>
        <v>#VALUE!</v>
      </c>
      <c r="BX13" s="16" t="e">
        <f aca="false">ROUND(SUMIF(MatchData[team],MatchData[[#this row],[team]],MatchData[teleop high goals])/COUNTIF(MatchData[team],MatchData[[#this row],[team]]),2)</f>
        <v>#VALUE!</v>
      </c>
      <c r="BY13" s="16" t="e">
        <f aca="false">COUNTIF(MatchData[team],MatchData[[#this row],[team]])</f>
        <v>#VALUE!</v>
      </c>
      <c r="BZ13" s="16" t="e">
        <f aca="false">SUMIF(MatchData[team],MatchData[[#this row],[team]],MatchData[portcullis available])</f>
        <v>#VALUE!</v>
      </c>
      <c r="CA13" s="16" t="e">
        <f aca="false">SUMIF(MatchData[team],MatchData[[#this row],[team]],MatchData[cheval available])</f>
        <v>#VALUE!</v>
      </c>
      <c r="CB13" s="16" t="e">
        <f aca="false">SUMIF(MatchData[team],MatchData[[#this row],[team]],MatchData[moat available])</f>
        <v>#VALUE!</v>
      </c>
      <c r="CC13" s="16" t="e">
        <f aca="false">SUMIF(MatchData[team],MatchData[[#this row],[team]],MatchData[ramparts available])</f>
        <v>#VALUE!</v>
      </c>
      <c r="CD13" s="16" t="e">
        <f aca="false">SUMIF(MatchData[team],MatchData[[#this row],[team]],MatchData[drawbridge available])</f>
        <v>#VALUE!</v>
      </c>
      <c r="CE13" s="16" t="e">
        <f aca="false">SUMIF(MatchData[team],MatchData[[#this row],[team]],MatchData[sally port available])</f>
        <v>#VALUE!</v>
      </c>
      <c r="CF13" s="16" t="e">
        <f aca="false">SUMIF(MatchData[team],MatchData[[#this row],[team]],MatchData[rock wall available])</f>
        <v>#VALUE!</v>
      </c>
      <c r="CG13" s="16" t="e">
        <f aca="false">SUMIF(MatchData[team],MatchData[[#this row],[team]],MatchData[rough terrain available])</f>
        <v>#VALUE!</v>
      </c>
      <c r="CH13" s="16" t="e">
        <f aca="false">SUMIF(MatchData[team],MatchData[[#this row],[team]],MatchData[low bar available])</f>
        <v>#VALUE!</v>
      </c>
      <c r="CI13" s="16" t="e">
        <f aca="false">SUMIF(MatchData[team],MatchData[[#this row],[team]],MatchData[portcullis teleop crossings]:MatchData[portcullis scored crossings])</f>
        <v>#VALUE!</v>
      </c>
      <c r="CJ13" s="16" t="e">
        <f aca="false">SUMIF(MatchData[team],MatchData[[#this row],[team]],MatchData[cheval teleop crossings])+SUMIF(MatchData[team],MatchData[[#this row],[team]],MatchData[cheval scored crossings])</f>
        <v>#VALUE!</v>
      </c>
      <c r="CK13" s="16" t="e">
        <f aca="false">SUMIF(MatchData[team],MatchData[[#this row],[team]],MatchData[moat teleop crossings])+SUMIF(MatchData[team],MatchData[[#this row],[team]],MatchData[moat scored crosings])</f>
        <v>#VALUE!</v>
      </c>
      <c r="CL13" s="16" t="e">
        <f aca="false">SUMIF(MatchData[team],MatchData[[#this row],[team]],MatchData[ramparts teleop crossings])+SUMIF(MatchData[team],MatchData[[#this row],[team]],MatchData[ramparts scored crossings])</f>
        <v>#VALUE!</v>
      </c>
      <c r="CM13" s="16" t="e">
        <f aca="false">SUMIF(MatchData[team],MatchData[[#this row],[team]],MatchData[drawbridge teleop crossings])+SUMIF(MatchData[team],MatchData[[#this row],[team]],MatchData[drawbridge scored crossings])</f>
        <v>#VALUE!</v>
      </c>
      <c r="CN13" s="16" t="e">
        <f aca="false">SUMIF(MatchData[team],MatchData[[#this row],[team]],MatchData[sally port teleop crossings])+SUMIF(MatchData[team],MatchData[[#this row],[team]],MatchData[sally port scored crossings])</f>
        <v>#VALUE!</v>
      </c>
      <c r="CO13" s="16" t="e">
        <f aca="false">SUMIF(MatchData[team],MatchData[[#this row],[team]],MatchData[rock wall teleop crossings])+SUMIF(MatchData[team],MatchData[[#this row],[team]],MatchData[rock wall scored crossings])</f>
        <v>#VALUE!</v>
      </c>
      <c r="CP13" s="16" t="e">
        <f aca="false">SUMIF(MatchData[team],MatchData[[#this row],[team]],MatchData[rough terrain teleop crossings])+SUMIF(MatchData[team],MatchData[[#this row],[team]],MatchData[rough terrain scored crossings])</f>
        <v>#VALUE!</v>
      </c>
      <c r="CQ13" s="16" t="e">
        <f aca="false">SUMIF(MatchData[team],MatchData[[#this row],[team]],MatchData[low bar teleop crossings])+SUMIF(MatchData[team],MatchData[[#this row],[team]],MatchData[low bar scored crossings])</f>
        <v>#VALUE!</v>
      </c>
      <c r="CR13" s="16" t="e">
        <f aca="false">IFERROR(ROUND(MatchData[[#this row],[portcullis sum]]/MatchData[[#this row],[portcullis avail count]],2),0)</f>
        <v>#VALUE!</v>
      </c>
      <c r="CS13" s="5" t="e">
        <f aca="false">IFERROR(ROUND(MatchData[[#this row],[cheval sum]]/MatchData[[#this row],[cheval avail count]],2),0)</f>
        <v>#VALUE!</v>
      </c>
      <c r="CT13" s="5" t="e">
        <f aca="false">IFERROR(ROUND(MatchData[[#this row],[moat sum]]/MatchData[[#this row],[moat avail count]],2),0)</f>
        <v>#VALUE!</v>
      </c>
      <c r="CU13" s="5" t="e">
        <f aca="false">IFERROR(ROUND(MatchData[[#this row],[ramparts sum]]/MatchData[[#this row],[ramparts avail count]],2),0)</f>
        <v>#VALUE!</v>
      </c>
      <c r="CV13" s="5" t="e">
        <f aca="false">IFERROR(ROUND(MatchData[[#this row],[drawbridge sum]]/MatchData[[#this row],[drawbridge avail countigh6]],2),0)</f>
        <v>#VALUE!</v>
      </c>
      <c r="CW13" s="5" t="e">
        <f aca="false">IFERROR(ROUND(MatchData[[#this row],[sally port sum]]/MatchData[[#this row],[sally port avail count]],2),0)</f>
        <v>#VALUE!</v>
      </c>
      <c r="CX13" s="5" t="e">
        <f aca="false">IFERROR(ROUND(MatchData[[#this row],[rock wall sum]]/MatchData[[#this row],[rock wall avail count]],2),0)</f>
        <v>#VALUE!</v>
      </c>
      <c r="CY13" s="5" t="e">
        <f aca="false">IFERROR(ROUND(MatchData[[#this row],[rough terrain sum]]/MatchData[[#this row],[rough terrain avail count]],2),0)</f>
        <v>#VALUE!</v>
      </c>
      <c r="CZ13" s="5" t="e">
        <f aca="false">IFERROR(ROUND(MatchData[[#this row],[low bar sum]]/MatchData[[#this row],[low bar avail count]],2),0)</f>
        <v>#VALUE!</v>
      </c>
      <c r="DA13" s="5" t="e">
        <f aca="false">SUM(MatchData[[#this row],[cheval sum]:[low bar sum]])/MatchData[match count]</f>
        <v>#VALUE!</v>
      </c>
      <c r="DB13" s="16" t="n">
        <f aca="false">MAX(IF(C$2:C$74=C13,BP$2:BP$74))</f>
        <v>-1.79769313486232E+308</v>
      </c>
      <c r="DC13" s="16" t="e">
        <f aca="false">AVERAGEIF(MatchData[team],MatchData[[#this row],[team]],MatchData[total score])</f>
        <v>#VALUE!</v>
      </c>
      <c r="DD13" s="16" t="e">
        <f aca="false">ROUND(AVERAGEIF(MatchData[team],MatchData[team],MatchData[climb or challenge flag]),2)</f>
        <v>#VALUE!</v>
      </c>
    </row>
    <row r="14" customFormat="false" ht="14.5" hidden="false" customHeight="false" outlineLevel="0" collapsed="false">
      <c r="A14" s="13" t="s">
        <v>108</v>
      </c>
      <c r="B14" s="14" t="n">
        <v>3</v>
      </c>
      <c r="C14" s="15" t="n">
        <v>2521</v>
      </c>
      <c r="D14" s="5" t="s">
        <v>109</v>
      </c>
      <c r="E14" s="5" t="s">
        <v>118</v>
      </c>
      <c r="F14" s="5"/>
      <c r="H14" s="5"/>
      <c r="J14" s="5" t="n">
        <v>1</v>
      </c>
      <c r="K14" s="5"/>
      <c r="L14" s="5" t="n">
        <v>1</v>
      </c>
      <c r="M14" s="5"/>
      <c r="N14" s="5" t="n">
        <v>1</v>
      </c>
      <c r="O14" s="5"/>
      <c r="P14" s="5" t="n">
        <v>1</v>
      </c>
      <c r="Q14" s="5" t="n">
        <v>1</v>
      </c>
      <c r="R14" s="0"/>
      <c r="S14" s="5" t="n">
        <v>1</v>
      </c>
      <c r="T14" s="0"/>
      <c r="V14" s="0"/>
      <c r="W14" s="0"/>
      <c r="X14" s="0"/>
      <c r="AL14" s="5" t="n">
        <v>1</v>
      </c>
      <c r="BC14" s="5" t="e">
        <f aca="false">MatchData[cheval scored crossings]*5</f>
        <v>#VALUE!</v>
      </c>
      <c r="BD14" s="5" t="e">
        <f aca="false">MatchData[moat scored crosings]*5</f>
        <v>#VALUE!</v>
      </c>
      <c r="BE14" s="5" t="e">
        <f aca="false">MatchData[ramparts scored crossings]*5</f>
        <v>#VALUE!</v>
      </c>
      <c r="BF14" s="5" t="e">
        <f aca="false">MatchData[drawbridge scored crossings]*5</f>
        <v>#VALUE!</v>
      </c>
      <c r="BG14" s="5" t="e">
        <f aca="false">MatchData[sally port scored crossings]*5</f>
        <v>#VALUE!</v>
      </c>
      <c r="BH14" s="5" t="e">
        <f aca="false">MatchData[rock wall scored crossings]*5</f>
        <v>#VALUE!</v>
      </c>
      <c r="BI14" s="5" t="e">
        <f aca="false">MatchData[rough terrain scored crossings]*5</f>
        <v>#VALUE!</v>
      </c>
      <c r="BJ14" s="5" t="e">
        <f aca="false">MatchData[low bar scored crossings]*5</f>
        <v>#VALUE!</v>
      </c>
      <c r="BK14" s="5" t="e">
        <f aca="false">SUM(MatchData[[#this row],[low bar teleop crossings]:[rough terrain scored crossings]])</f>
        <v>#VALUE!</v>
      </c>
      <c r="BL14" s="5" t="e">
        <f aca="false">IFERROR(IF(OR(MatchData[[#this row],[challenge flag]],MatchData[[#this row],[climb flag]]),1,0),0)</f>
        <v>#VALUE!</v>
      </c>
      <c r="BM14" s="5" t="e">
        <f aca="false">MatchData[auto high goals]*10+MatchData[teleop high goals]*5</f>
        <v>#VALUE!</v>
      </c>
      <c r="BN14" s="5" t="e">
        <f aca="false">MatchData[auto low goals]*5+MatchData[teleop low goals]*2</f>
        <v>#VALUE!</v>
      </c>
      <c r="BO14" s="5" t="e">
        <f aca="false">MatchData[high goal score]+MatchData[low goal score]</f>
        <v>#VALUE!</v>
      </c>
      <c r="BP14" s="5" t="e">
        <f aca="false">MatchData[teleop high goals]+MatchData[teleop low goals]</f>
        <v>#VALUE!</v>
      </c>
      <c r="BQ14" s="5" t="e">
        <f aca="false">MatchData[[#this row],[auto reach flag]]*2+SUM(MatchData[[#this row],[portcullis auto crossings]:[low bar auto crossings]])*10+MatchData[[#this row],[auto low goals]]*5+MatchData[auto high goals]*10</f>
        <v>#VALUE!</v>
      </c>
      <c r="BR14" s="5" t="e">
        <f aca="false">SUM(MatchData[[#this row],[cheval teleop crossing score]:[low bar teleop crossing score]])</f>
        <v>#VALUE!</v>
      </c>
      <c r="BS14" s="5" t="e">
        <f aca="false">SUMIF(MatchData[team],MatchData[[#this row],[team]],MatchData[total auto score])/MatchData[match count]</f>
        <v>#VALUE!</v>
      </c>
      <c r="BT14" s="5" t="e">
        <f aca="false">MatchData[challenge flag]*5</f>
        <v>#VALUE!</v>
      </c>
      <c r="BU14" s="5" t="e">
        <f aca="false">MatchData[climb flag]*15</f>
        <v>#VALUE!</v>
      </c>
      <c r="BV14" s="5" t="e">
        <f aca="false">SUM(MatchData[[#this row],[total goal score]],MatchData[[#this row],[crossing score]],MatchData[[#this row],[challenge score]],MatchData[[#this row],[climb score]],MatchData[[#this row],[total auto score]])</f>
        <v>#VALUE!</v>
      </c>
      <c r="BW14" s="16" t="e">
        <f aca="false">ROUND(SUMIF(MatchData[team],MatchData[[#this row],[team]],MatchData[teleop low goals])/COUNTIF(MatchData[team],MatchData[[#this row],[team]]),2)</f>
        <v>#VALUE!</v>
      </c>
      <c r="BX14" s="16" t="e">
        <f aca="false">ROUND(SUMIF(MatchData[team],MatchData[[#this row],[team]],MatchData[teleop high goals])/COUNTIF(MatchData[team],MatchData[[#this row],[team]]),2)</f>
        <v>#VALUE!</v>
      </c>
      <c r="BY14" s="16" t="e">
        <f aca="false">COUNTIF(MatchData[team],MatchData[[#this row],[team]])</f>
        <v>#VALUE!</v>
      </c>
      <c r="BZ14" s="16" t="e">
        <f aca="false">SUMIF(MatchData[team],MatchData[[#this row],[team]],MatchData[portcullis available])</f>
        <v>#VALUE!</v>
      </c>
      <c r="CA14" s="16" t="e">
        <f aca="false">SUMIF(MatchData[team],MatchData[[#this row],[team]],MatchData[cheval available])</f>
        <v>#VALUE!</v>
      </c>
      <c r="CB14" s="16" t="e">
        <f aca="false">SUMIF(MatchData[team],MatchData[[#this row],[team]],MatchData[moat available])</f>
        <v>#VALUE!</v>
      </c>
      <c r="CC14" s="16" t="e">
        <f aca="false">SUMIF(MatchData[team],MatchData[[#this row],[team]],MatchData[ramparts available])</f>
        <v>#VALUE!</v>
      </c>
      <c r="CD14" s="16" t="e">
        <f aca="false">SUMIF(MatchData[team],MatchData[[#this row],[team]],MatchData[drawbridge available])</f>
        <v>#VALUE!</v>
      </c>
      <c r="CE14" s="16" t="e">
        <f aca="false">SUMIF(MatchData[team],MatchData[[#this row],[team]],MatchData[sally port available])</f>
        <v>#VALUE!</v>
      </c>
      <c r="CF14" s="16" t="e">
        <f aca="false">SUMIF(MatchData[team],MatchData[[#this row],[team]],MatchData[rock wall available])</f>
        <v>#VALUE!</v>
      </c>
      <c r="CG14" s="16" t="e">
        <f aca="false">SUMIF(MatchData[team],MatchData[[#this row],[team]],MatchData[rough terrain available])</f>
        <v>#VALUE!</v>
      </c>
      <c r="CH14" s="16" t="e">
        <f aca="false">SUMIF(MatchData[team],MatchData[[#this row],[team]],MatchData[low bar available])</f>
        <v>#VALUE!</v>
      </c>
      <c r="CI14" s="16" t="e">
        <f aca="false">SUMIF(MatchData[team],MatchData[[#this row],[team]],MatchData[portcullis teleop crossings]:MatchData[portcullis scored crossings])</f>
        <v>#VALUE!</v>
      </c>
      <c r="CJ14" s="16" t="e">
        <f aca="false">SUMIF(MatchData[team],MatchData[[#this row],[team]],MatchData[cheval teleop crossings])+SUMIF(MatchData[team],MatchData[[#this row],[team]],MatchData[cheval scored crossings])</f>
        <v>#VALUE!</v>
      </c>
      <c r="CK14" s="16" t="e">
        <f aca="false">SUMIF(MatchData[team],MatchData[[#this row],[team]],MatchData[moat teleop crossings])+SUMIF(MatchData[team],MatchData[[#this row],[team]],MatchData[moat scored crosings])</f>
        <v>#VALUE!</v>
      </c>
      <c r="CL14" s="16" t="e">
        <f aca="false">SUMIF(MatchData[team],MatchData[[#this row],[team]],MatchData[ramparts teleop crossings])+SUMIF(MatchData[team],MatchData[[#this row],[team]],MatchData[ramparts scored crossings])</f>
        <v>#VALUE!</v>
      </c>
      <c r="CM14" s="16" t="e">
        <f aca="false">SUMIF(MatchData[team],MatchData[[#this row],[team]],MatchData[drawbridge teleop crossings])+SUMIF(MatchData[team],MatchData[[#this row],[team]],MatchData[drawbridge scored crossings])</f>
        <v>#VALUE!</v>
      </c>
      <c r="CN14" s="16" t="e">
        <f aca="false">SUMIF(MatchData[team],MatchData[[#this row],[team]],MatchData[sally port teleop crossings])+SUMIF(MatchData[team],MatchData[[#this row],[team]],MatchData[sally port scored crossings])</f>
        <v>#VALUE!</v>
      </c>
      <c r="CO14" s="16" t="e">
        <f aca="false">SUMIF(MatchData[team],MatchData[[#this row],[team]],MatchData[rock wall teleop crossings])+SUMIF(MatchData[team],MatchData[[#this row],[team]],MatchData[rock wall scored crossings])</f>
        <v>#VALUE!</v>
      </c>
      <c r="CP14" s="16" t="e">
        <f aca="false">SUMIF(MatchData[team],MatchData[[#this row],[team]],MatchData[rough terrain teleop crossings])+SUMIF(MatchData[team],MatchData[[#this row],[team]],MatchData[rough terrain scored crossings])</f>
        <v>#VALUE!</v>
      </c>
      <c r="CQ14" s="16" t="e">
        <f aca="false">SUMIF(MatchData[team],MatchData[[#this row],[team]],MatchData[low bar teleop crossings])+SUMIF(MatchData[team],MatchData[[#this row],[team]],MatchData[low bar scored crossings])</f>
        <v>#VALUE!</v>
      </c>
      <c r="CR14" s="16" t="e">
        <f aca="false">IFERROR(ROUND(MatchData[[#this row],[portcullis sum]]/MatchData[[#this row],[portcullis avail count]],2),0)</f>
        <v>#VALUE!</v>
      </c>
      <c r="CS14" s="5" t="e">
        <f aca="false">IFERROR(ROUND(MatchData[[#this row],[cheval sum]]/MatchData[[#this row],[cheval avail count]],2),0)</f>
        <v>#VALUE!</v>
      </c>
      <c r="CT14" s="5" t="e">
        <f aca="false">IFERROR(ROUND(MatchData[[#this row],[moat sum]]/MatchData[[#this row],[moat avail count]],2),0)</f>
        <v>#VALUE!</v>
      </c>
      <c r="CU14" s="5" t="e">
        <f aca="false">IFERROR(ROUND(MatchData[[#this row],[ramparts sum]]/MatchData[[#this row],[ramparts avail count]],2),0)</f>
        <v>#VALUE!</v>
      </c>
      <c r="CV14" s="5" t="e">
        <f aca="false">IFERROR(ROUND(MatchData[[#this row],[drawbridge sum]]/MatchData[[#this row],[drawbridge avail countigh6]],2),0)</f>
        <v>#VALUE!</v>
      </c>
      <c r="CW14" s="5" t="e">
        <f aca="false">IFERROR(ROUND(MatchData[[#this row],[sally port sum]]/MatchData[[#this row],[sally port avail count]],2),0)</f>
        <v>#VALUE!</v>
      </c>
      <c r="CX14" s="5" t="e">
        <f aca="false">IFERROR(ROUND(MatchData[[#this row],[rock wall sum]]/MatchData[[#this row],[rock wall avail count]],2),0)</f>
        <v>#VALUE!</v>
      </c>
      <c r="CY14" s="5" t="e">
        <f aca="false">IFERROR(ROUND(MatchData[[#this row],[rough terrain sum]]/MatchData[[#this row],[rough terrain avail count]],2),0)</f>
        <v>#VALUE!</v>
      </c>
      <c r="CZ14" s="5" t="e">
        <f aca="false">IFERROR(ROUND(MatchData[[#this row],[low bar sum]]/MatchData[[#this row],[low bar avail count]],2),0)</f>
        <v>#VALUE!</v>
      </c>
      <c r="DA14" s="5" t="e">
        <f aca="false">SUM(MatchData[[#this row],[cheval sum]:[low bar sum]])/MatchData[match count]</f>
        <v>#VALUE!</v>
      </c>
      <c r="DB14" s="16" t="n">
        <f aca="false">MAX(IF(C$2:C$74=C14,BP$2:BP$74))</f>
        <v>-1.79769313486232E+308</v>
      </c>
      <c r="DC14" s="16" t="e">
        <f aca="false">AVERAGEIF(MatchData[team],MatchData[[#this row],[team]],MatchData[total score])</f>
        <v>#VALUE!</v>
      </c>
      <c r="DD14" s="16" t="e">
        <f aca="false">ROUND(AVERAGEIF(MatchData[team],MatchData[team],MatchData[climb or challenge flag]),2)</f>
        <v>#VALUE!</v>
      </c>
    </row>
    <row r="15" customFormat="false" ht="14.5" hidden="false" customHeight="false" outlineLevel="0" collapsed="false">
      <c r="A15" s="17" t="s">
        <v>108</v>
      </c>
      <c r="B15" s="18" t="n">
        <v>3</v>
      </c>
      <c r="C15" s="15" t="n">
        <v>4051</v>
      </c>
      <c r="D15" s="5" t="s">
        <v>109</v>
      </c>
      <c r="E15" s="5" t="s">
        <v>117</v>
      </c>
      <c r="F15" s="5"/>
      <c r="H15" s="5"/>
      <c r="J15" s="5" t="n">
        <v>1</v>
      </c>
      <c r="K15" s="5"/>
      <c r="L15" s="5" t="n">
        <v>1</v>
      </c>
      <c r="M15" s="5"/>
      <c r="N15" s="5" t="n">
        <v>1</v>
      </c>
      <c r="O15" s="5"/>
      <c r="P15" s="5" t="n">
        <v>1</v>
      </c>
      <c r="Q15" s="5" t="n">
        <v>1</v>
      </c>
      <c r="R15" s="0"/>
      <c r="T15" s="0"/>
      <c r="V15" s="0"/>
      <c r="W15" s="0"/>
      <c r="X15" s="0"/>
      <c r="BC15" s="5" t="e">
        <f aca="false">MatchData[cheval scored crossings]*5</f>
        <v>#VALUE!</v>
      </c>
      <c r="BD15" s="5" t="e">
        <f aca="false">MatchData[moat scored crosings]*5</f>
        <v>#VALUE!</v>
      </c>
      <c r="BE15" s="5" t="e">
        <f aca="false">MatchData[ramparts scored crossings]*5</f>
        <v>#VALUE!</v>
      </c>
      <c r="BF15" s="5" t="e">
        <f aca="false">MatchData[drawbridge scored crossings]*5</f>
        <v>#VALUE!</v>
      </c>
      <c r="BG15" s="5" t="e">
        <f aca="false">MatchData[sally port scored crossings]*5</f>
        <v>#VALUE!</v>
      </c>
      <c r="BH15" s="5" t="e">
        <f aca="false">MatchData[rock wall scored crossings]*5</f>
        <v>#VALUE!</v>
      </c>
      <c r="BI15" s="5" t="e">
        <f aca="false">MatchData[rough terrain scored crossings]*5</f>
        <v>#VALUE!</v>
      </c>
      <c r="BJ15" s="5" t="e">
        <f aca="false">MatchData[low bar scored crossings]*5</f>
        <v>#VALUE!</v>
      </c>
      <c r="BK15" s="5" t="e">
        <f aca="false">SUM(MatchData[[#this row],[low bar teleop crossings]:[rough terrain scored crossings]])</f>
        <v>#VALUE!</v>
      </c>
      <c r="BL15" s="5" t="e">
        <f aca="false">IFERROR(IF(OR(MatchData[[#this row],[challenge flag]],MatchData[[#this row],[climb flag]]),1,0),0)</f>
        <v>#VALUE!</v>
      </c>
      <c r="BM15" s="5" t="e">
        <f aca="false">MatchData[auto high goals]*10+MatchData[teleop high goals]*5</f>
        <v>#VALUE!</v>
      </c>
      <c r="BN15" s="5" t="e">
        <f aca="false">MatchData[auto low goals]*5+MatchData[teleop low goals]*2</f>
        <v>#VALUE!</v>
      </c>
      <c r="BO15" s="5" t="e">
        <f aca="false">MatchData[high goal score]+MatchData[low goal score]</f>
        <v>#VALUE!</v>
      </c>
      <c r="BP15" s="5" t="e">
        <f aca="false">MatchData[teleop high goals]+MatchData[teleop low goals]</f>
        <v>#VALUE!</v>
      </c>
      <c r="BQ15" s="5" t="e">
        <f aca="false">MatchData[[#this row],[auto reach flag]]*2+SUM(MatchData[[#this row],[portcullis auto crossings]:[low bar auto crossings]])*10+MatchData[[#this row],[auto low goals]]*5+MatchData[auto high goals]*10</f>
        <v>#VALUE!</v>
      </c>
      <c r="BR15" s="5" t="e">
        <f aca="false">SUM(MatchData[[#this row],[cheval teleop crossing score]:[low bar teleop crossing score]])</f>
        <v>#VALUE!</v>
      </c>
      <c r="BS15" s="5" t="e">
        <f aca="false">SUMIF(MatchData[team],MatchData[[#this row],[team]],MatchData[total auto score])/MatchData[match count]</f>
        <v>#VALUE!</v>
      </c>
      <c r="BT15" s="5" t="e">
        <f aca="false">MatchData[challenge flag]*5</f>
        <v>#VALUE!</v>
      </c>
      <c r="BU15" s="5" t="e">
        <f aca="false">MatchData[climb flag]*15</f>
        <v>#VALUE!</v>
      </c>
      <c r="BV15" s="5" t="e">
        <f aca="false">SUM(MatchData[[#this row],[total goal score]],MatchData[[#this row],[crossing score]],MatchData[[#this row],[challenge score]],MatchData[[#this row],[climb score]],MatchData[[#this row],[total auto score]])</f>
        <v>#VALUE!</v>
      </c>
      <c r="BW15" s="16" t="e">
        <f aca="false">ROUND(SUMIF(MatchData[team],MatchData[[#this row],[team]],MatchData[teleop low goals])/COUNTIF(MatchData[team],MatchData[[#this row],[team]]),2)</f>
        <v>#VALUE!</v>
      </c>
      <c r="BX15" s="16" t="e">
        <f aca="false">ROUND(SUMIF(MatchData[team],MatchData[[#this row],[team]],MatchData[teleop high goals])/COUNTIF(MatchData[team],MatchData[[#this row],[team]]),2)</f>
        <v>#VALUE!</v>
      </c>
      <c r="BY15" s="16" t="e">
        <f aca="false">COUNTIF(MatchData[team],MatchData[[#this row],[team]])</f>
        <v>#VALUE!</v>
      </c>
      <c r="BZ15" s="16" t="e">
        <f aca="false">SUMIF(MatchData[team],MatchData[[#this row],[team]],MatchData[portcullis available])</f>
        <v>#VALUE!</v>
      </c>
      <c r="CA15" s="16" t="e">
        <f aca="false">SUMIF(MatchData[team],MatchData[[#this row],[team]],MatchData[cheval available])</f>
        <v>#VALUE!</v>
      </c>
      <c r="CB15" s="16" t="e">
        <f aca="false">SUMIF(MatchData[team],MatchData[[#this row],[team]],MatchData[moat available])</f>
        <v>#VALUE!</v>
      </c>
      <c r="CC15" s="16" t="e">
        <f aca="false">SUMIF(MatchData[team],MatchData[[#this row],[team]],MatchData[ramparts available])</f>
        <v>#VALUE!</v>
      </c>
      <c r="CD15" s="16" t="e">
        <f aca="false">SUMIF(MatchData[team],MatchData[[#this row],[team]],MatchData[drawbridge available])</f>
        <v>#VALUE!</v>
      </c>
      <c r="CE15" s="16" t="e">
        <f aca="false">SUMIF(MatchData[team],MatchData[[#this row],[team]],MatchData[sally port available])</f>
        <v>#VALUE!</v>
      </c>
      <c r="CF15" s="16" t="e">
        <f aca="false">SUMIF(MatchData[team],MatchData[[#this row],[team]],MatchData[rock wall available])</f>
        <v>#VALUE!</v>
      </c>
      <c r="CG15" s="16" t="e">
        <f aca="false">SUMIF(MatchData[team],MatchData[[#this row],[team]],MatchData[rough terrain available])</f>
        <v>#VALUE!</v>
      </c>
      <c r="CH15" s="16" t="e">
        <f aca="false">SUMIF(MatchData[team],MatchData[[#this row],[team]],MatchData[low bar available])</f>
        <v>#VALUE!</v>
      </c>
      <c r="CI15" s="16" t="e">
        <f aca="false">SUMIF(MatchData[team],MatchData[[#this row],[team]],MatchData[portcullis teleop crossings]:MatchData[portcullis scored crossings])</f>
        <v>#VALUE!</v>
      </c>
      <c r="CJ15" s="16" t="e">
        <f aca="false">SUMIF(MatchData[team],MatchData[[#this row],[team]],MatchData[cheval teleop crossings])+SUMIF(MatchData[team],MatchData[[#this row],[team]],MatchData[cheval scored crossings])</f>
        <v>#VALUE!</v>
      </c>
      <c r="CK15" s="16" t="e">
        <f aca="false">SUMIF(MatchData[team],MatchData[[#this row],[team]],MatchData[moat teleop crossings])+SUMIF(MatchData[team],MatchData[[#this row],[team]],MatchData[moat scored crosings])</f>
        <v>#VALUE!</v>
      </c>
      <c r="CL15" s="16" t="e">
        <f aca="false">SUMIF(MatchData[team],MatchData[[#this row],[team]],MatchData[ramparts teleop crossings])+SUMIF(MatchData[team],MatchData[[#this row],[team]],MatchData[ramparts scored crossings])</f>
        <v>#VALUE!</v>
      </c>
      <c r="CM15" s="16" t="e">
        <f aca="false">SUMIF(MatchData[team],MatchData[[#this row],[team]],MatchData[drawbridge teleop crossings])+SUMIF(MatchData[team],MatchData[[#this row],[team]],MatchData[drawbridge scored crossings])</f>
        <v>#VALUE!</v>
      </c>
      <c r="CN15" s="16" t="e">
        <f aca="false">SUMIF(MatchData[team],MatchData[[#this row],[team]],MatchData[sally port teleop crossings])+SUMIF(MatchData[team],MatchData[[#this row],[team]],MatchData[sally port scored crossings])</f>
        <v>#VALUE!</v>
      </c>
      <c r="CO15" s="16" t="e">
        <f aca="false">SUMIF(MatchData[team],MatchData[[#this row],[team]],MatchData[rock wall teleop crossings])+SUMIF(MatchData[team],MatchData[[#this row],[team]],MatchData[rock wall scored crossings])</f>
        <v>#VALUE!</v>
      </c>
      <c r="CP15" s="16" t="e">
        <f aca="false">SUMIF(MatchData[team],MatchData[[#this row],[team]],MatchData[rough terrain teleop crossings])+SUMIF(MatchData[team],MatchData[[#this row],[team]],MatchData[rough terrain scored crossings])</f>
        <v>#VALUE!</v>
      </c>
      <c r="CQ15" s="16" t="e">
        <f aca="false">SUMIF(MatchData[team],MatchData[[#this row],[team]],MatchData[low bar teleop crossings])+SUMIF(MatchData[team],MatchData[[#this row],[team]],MatchData[low bar scored crossings])</f>
        <v>#VALUE!</v>
      </c>
      <c r="CR15" s="16" t="e">
        <f aca="false">IFERROR(ROUND(MatchData[[#this row],[portcullis sum]]/MatchData[[#this row],[portcullis avail count]],2),0)</f>
        <v>#VALUE!</v>
      </c>
      <c r="CS15" s="5" t="e">
        <f aca="false">IFERROR(ROUND(MatchData[[#this row],[cheval sum]]/MatchData[[#this row],[cheval avail count]],2),0)</f>
        <v>#VALUE!</v>
      </c>
      <c r="CT15" s="5" t="e">
        <f aca="false">IFERROR(ROUND(MatchData[[#this row],[moat sum]]/MatchData[[#this row],[moat avail count]],2),0)</f>
        <v>#VALUE!</v>
      </c>
      <c r="CU15" s="5" t="e">
        <f aca="false">IFERROR(ROUND(MatchData[[#this row],[ramparts sum]]/MatchData[[#this row],[ramparts avail count]],2),0)</f>
        <v>#VALUE!</v>
      </c>
      <c r="CV15" s="5" t="e">
        <f aca="false">IFERROR(ROUND(MatchData[[#this row],[drawbridge sum]]/MatchData[[#this row],[drawbridge avail countigh6]],2),0)</f>
        <v>#VALUE!</v>
      </c>
      <c r="CW15" s="5" t="e">
        <f aca="false">IFERROR(ROUND(MatchData[[#this row],[sally port sum]]/MatchData[[#this row],[sally port avail count]],2),0)</f>
        <v>#VALUE!</v>
      </c>
      <c r="CX15" s="5" t="e">
        <f aca="false">IFERROR(ROUND(MatchData[[#this row],[rock wall sum]]/MatchData[[#this row],[rock wall avail count]],2),0)</f>
        <v>#VALUE!</v>
      </c>
      <c r="CY15" s="5" t="e">
        <f aca="false">IFERROR(ROUND(MatchData[[#this row],[rough terrain sum]]/MatchData[[#this row],[rough terrain avail count]],2),0)</f>
        <v>#VALUE!</v>
      </c>
      <c r="CZ15" s="5" t="e">
        <f aca="false">IFERROR(ROUND(MatchData[[#this row],[low bar sum]]/MatchData[[#this row],[low bar avail count]],2),0)</f>
        <v>#VALUE!</v>
      </c>
      <c r="DA15" s="5" t="e">
        <f aca="false">SUM(MatchData[[#this row],[cheval sum]:[low bar sum]])/MatchData[match count]</f>
        <v>#VALUE!</v>
      </c>
      <c r="DB15" s="16" t="n">
        <f aca="false">MAX(IF(C$2:C$74=C15,BP$2:BP$74))</f>
        <v>-1.79769313486232E+308</v>
      </c>
      <c r="DC15" s="16" t="e">
        <f aca="false">AVERAGEIF(MatchData[team],MatchData[[#this row],[team]],MatchData[total score])</f>
        <v>#VALUE!</v>
      </c>
      <c r="DD15" s="16" t="e">
        <f aca="false">ROUND(AVERAGEIF(MatchData[team],MatchData[team],MatchData[climb or challenge flag]),2)</f>
        <v>#VALUE!</v>
      </c>
    </row>
    <row r="16" customFormat="false" ht="14.5" hidden="false" customHeight="false" outlineLevel="0" collapsed="false">
      <c r="A16" s="17" t="s">
        <v>108</v>
      </c>
      <c r="B16" s="18" t="n">
        <v>3</v>
      </c>
      <c r="C16" s="15" t="n">
        <v>4110</v>
      </c>
      <c r="D16" s="5" t="s">
        <v>109</v>
      </c>
      <c r="F16" s="5"/>
      <c r="H16" s="5"/>
      <c r="J16" s="5" t="n">
        <v>1</v>
      </c>
      <c r="K16" s="5"/>
      <c r="L16" s="5" t="n">
        <v>1</v>
      </c>
      <c r="M16" s="5" t="n">
        <v>1</v>
      </c>
      <c r="N16" s="5" t="n">
        <v>1</v>
      </c>
      <c r="O16" s="5"/>
      <c r="P16" s="5" t="n">
        <v>1</v>
      </c>
      <c r="Q16" s="5" t="n">
        <v>1</v>
      </c>
      <c r="R16" s="0"/>
      <c r="T16" s="0"/>
      <c r="V16" s="0"/>
      <c r="W16" s="0"/>
      <c r="X16" s="0"/>
      <c r="AD16" s="5" t="n">
        <v>2</v>
      </c>
      <c r="BC16" s="5" t="e">
        <f aca="false">MatchData[cheval scored crossings]*5</f>
        <v>#VALUE!</v>
      </c>
      <c r="BD16" s="5" t="e">
        <f aca="false">MatchData[moat scored crosings]*5</f>
        <v>#VALUE!</v>
      </c>
      <c r="BE16" s="5" t="e">
        <f aca="false">MatchData[ramparts scored crossings]*5</f>
        <v>#VALUE!</v>
      </c>
      <c r="BF16" s="5" t="e">
        <f aca="false">MatchData[drawbridge scored crossings]*5</f>
        <v>#VALUE!</v>
      </c>
      <c r="BG16" s="5" t="e">
        <f aca="false">MatchData[sally port scored crossings]*5</f>
        <v>#VALUE!</v>
      </c>
      <c r="BH16" s="5" t="e">
        <f aca="false">MatchData[rock wall scored crossings]*5</f>
        <v>#VALUE!</v>
      </c>
      <c r="BI16" s="5" t="e">
        <f aca="false">MatchData[rough terrain scored crossings]*5</f>
        <v>#VALUE!</v>
      </c>
      <c r="BJ16" s="5" t="e">
        <f aca="false">MatchData[low bar scored crossings]*5</f>
        <v>#VALUE!</v>
      </c>
      <c r="BK16" s="5" t="e">
        <f aca="false">SUM(MatchData[[#this row],[low bar teleop crossings]:[rough terrain scored crossings]])</f>
        <v>#VALUE!</v>
      </c>
      <c r="BL16" s="5" t="e">
        <f aca="false">IFERROR(IF(OR(MatchData[[#this row],[challenge flag]],MatchData[[#this row],[climb flag]]),1,0),0)</f>
        <v>#VALUE!</v>
      </c>
      <c r="BM16" s="5" t="e">
        <f aca="false">MatchData[auto high goals]*10+MatchData[teleop high goals]*5</f>
        <v>#VALUE!</v>
      </c>
      <c r="BN16" s="5" t="e">
        <f aca="false">MatchData[auto low goals]*5+MatchData[teleop low goals]*2</f>
        <v>#VALUE!</v>
      </c>
      <c r="BO16" s="5" t="e">
        <f aca="false">MatchData[high goal score]+MatchData[low goal score]</f>
        <v>#VALUE!</v>
      </c>
      <c r="BP16" s="5" t="e">
        <f aca="false">MatchData[teleop high goals]+MatchData[teleop low goals]</f>
        <v>#VALUE!</v>
      </c>
      <c r="BQ16" s="5" t="e">
        <f aca="false">MatchData[[#this row],[auto reach flag]]*2+SUM(MatchData[[#this row],[portcullis auto crossings]:[low bar auto crossings]])*10+MatchData[[#this row],[auto low goals]]*5+MatchData[auto high goals]*10</f>
        <v>#VALUE!</v>
      </c>
      <c r="BR16" s="5" t="e">
        <f aca="false">SUM(MatchData[[#this row],[cheval teleop crossing score]:[low bar teleop crossing score]])</f>
        <v>#VALUE!</v>
      </c>
      <c r="BS16" s="5" t="e">
        <f aca="false">SUMIF(MatchData[team],MatchData[[#this row],[team]],MatchData[total auto score])/MatchData[match count]</f>
        <v>#VALUE!</v>
      </c>
      <c r="BT16" s="5" t="e">
        <f aca="false">MatchData[challenge flag]*5</f>
        <v>#VALUE!</v>
      </c>
      <c r="BU16" s="5" t="e">
        <f aca="false">MatchData[climb flag]*15</f>
        <v>#VALUE!</v>
      </c>
      <c r="BV16" s="5" t="e">
        <f aca="false">SUM(MatchData[[#this row],[total goal score]],MatchData[[#this row],[crossing score]],MatchData[[#this row],[challenge score]],MatchData[[#this row],[climb score]],MatchData[[#this row],[total auto score]])</f>
        <v>#VALUE!</v>
      </c>
      <c r="BW16" s="16" t="e">
        <f aca="false">ROUND(SUMIF(MatchData[team],MatchData[[#this row],[team]],MatchData[teleop low goals])/COUNTIF(MatchData[team],MatchData[[#this row],[team]]),2)</f>
        <v>#VALUE!</v>
      </c>
      <c r="BX16" s="16" t="e">
        <f aca="false">ROUND(SUMIF(MatchData[team],MatchData[[#this row],[team]],MatchData[teleop high goals])/COUNTIF(MatchData[team],MatchData[[#this row],[team]]),2)</f>
        <v>#VALUE!</v>
      </c>
      <c r="BY16" s="16" t="e">
        <f aca="false">COUNTIF(MatchData[team],MatchData[[#this row],[team]])</f>
        <v>#VALUE!</v>
      </c>
      <c r="BZ16" s="16" t="e">
        <f aca="false">SUMIF(MatchData[team],MatchData[[#this row],[team]],MatchData[portcullis available])</f>
        <v>#VALUE!</v>
      </c>
      <c r="CA16" s="16" t="e">
        <f aca="false">SUMIF(MatchData[team],MatchData[[#this row],[team]],MatchData[cheval available])</f>
        <v>#VALUE!</v>
      </c>
      <c r="CB16" s="16" t="e">
        <f aca="false">SUMIF(MatchData[team],MatchData[[#this row],[team]],MatchData[moat available])</f>
        <v>#VALUE!</v>
      </c>
      <c r="CC16" s="16" t="e">
        <f aca="false">SUMIF(MatchData[team],MatchData[[#this row],[team]],MatchData[ramparts available])</f>
        <v>#VALUE!</v>
      </c>
      <c r="CD16" s="16" t="e">
        <f aca="false">SUMIF(MatchData[team],MatchData[[#this row],[team]],MatchData[drawbridge available])</f>
        <v>#VALUE!</v>
      </c>
      <c r="CE16" s="16" t="e">
        <f aca="false">SUMIF(MatchData[team],MatchData[[#this row],[team]],MatchData[sally port available])</f>
        <v>#VALUE!</v>
      </c>
      <c r="CF16" s="16" t="e">
        <f aca="false">SUMIF(MatchData[team],MatchData[[#this row],[team]],MatchData[rock wall available])</f>
        <v>#VALUE!</v>
      </c>
      <c r="CG16" s="16" t="e">
        <f aca="false">SUMIF(MatchData[team],MatchData[[#this row],[team]],MatchData[rough terrain available])</f>
        <v>#VALUE!</v>
      </c>
      <c r="CH16" s="16" t="e">
        <f aca="false">SUMIF(MatchData[team],MatchData[[#this row],[team]],MatchData[low bar available])</f>
        <v>#VALUE!</v>
      </c>
      <c r="CI16" s="16" t="e">
        <f aca="false">SUMIF(MatchData[team],MatchData[[#this row],[team]],MatchData[portcullis teleop crossings]:MatchData[portcullis scored crossings])</f>
        <v>#VALUE!</v>
      </c>
      <c r="CJ16" s="16" t="e">
        <f aca="false">SUMIF(MatchData[team],MatchData[[#this row],[team]],MatchData[cheval teleop crossings])+SUMIF(MatchData[team],MatchData[[#this row],[team]],MatchData[cheval scored crossings])</f>
        <v>#VALUE!</v>
      </c>
      <c r="CK16" s="16" t="e">
        <f aca="false">SUMIF(MatchData[team],MatchData[[#this row],[team]],MatchData[moat teleop crossings])+SUMIF(MatchData[team],MatchData[[#this row],[team]],MatchData[moat scored crosings])</f>
        <v>#VALUE!</v>
      </c>
      <c r="CL16" s="16" t="e">
        <f aca="false">SUMIF(MatchData[team],MatchData[[#this row],[team]],MatchData[ramparts teleop crossings])+SUMIF(MatchData[team],MatchData[[#this row],[team]],MatchData[ramparts scored crossings])</f>
        <v>#VALUE!</v>
      </c>
      <c r="CM16" s="16" t="e">
        <f aca="false">SUMIF(MatchData[team],MatchData[[#this row],[team]],MatchData[drawbridge teleop crossings])+SUMIF(MatchData[team],MatchData[[#this row],[team]],MatchData[drawbridge scored crossings])</f>
        <v>#VALUE!</v>
      </c>
      <c r="CN16" s="16" t="e">
        <f aca="false">SUMIF(MatchData[team],MatchData[[#this row],[team]],MatchData[sally port teleop crossings])+SUMIF(MatchData[team],MatchData[[#this row],[team]],MatchData[sally port scored crossings])</f>
        <v>#VALUE!</v>
      </c>
      <c r="CO16" s="16" t="e">
        <f aca="false">SUMIF(MatchData[team],MatchData[[#this row],[team]],MatchData[rock wall teleop crossings])+SUMIF(MatchData[team],MatchData[[#this row],[team]],MatchData[rock wall scored crossings])</f>
        <v>#VALUE!</v>
      </c>
      <c r="CP16" s="16" t="e">
        <f aca="false">SUMIF(MatchData[team],MatchData[[#this row],[team]],MatchData[rough terrain teleop crossings])+SUMIF(MatchData[team],MatchData[[#this row],[team]],MatchData[rough terrain scored crossings])</f>
        <v>#VALUE!</v>
      </c>
      <c r="CQ16" s="16" t="e">
        <f aca="false">SUMIF(MatchData[team],MatchData[[#this row],[team]],MatchData[low bar teleop crossings])+SUMIF(MatchData[team],MatchData[[#this row],[team]],MatchData[low bar scored crossings])</f>
        <v>#VALUE!</v>
      </c>
      <c r="CR16" s="16" t="e">
        <f aca="false">IFERROR(ROUND(MatchData[[#this row],[portcullis sum]]/MatchData[[#this row],[portcullis avail count]],2),0)</f>
        <v>#VALUE!</v>
      </c>
      <c r="CS16" s="5" t="e">
        <f aca="false">IFERROR(ROUND(MatchData[[#this row],[cheval sum]]/MatchData[[#this row],[cheval avail count]],2),0)</f>
        <v>#VALUE!</v>
      </c>
      <c r="CT16" s="5" t="e">
        <f aca="false">IFERROR(ROUND(MatchData[[#this row],[moat sum]]/MatchData[[#this row],[moat avail count]],2),0)</f>
        <v>#VALUE!</v>
      </c>
      <c r="CU16" s="5" t="e">
        <f aca="false">IFERROR(ROUND(MatchData[[#this row],[ramparts sum]]/MatchData[[#this row],[ramparts avail count]],2),0)</f>
        <v>#VALUE!</v>
      </c>
      <c r="CV16" s="5" t="e">
        <f aca="false">IFERROR(ROUND(MatchData[[#this row],[drawbridge sum]]/MatchData[[#this row],[drawbridge avail countigh6]],2),0)</f>
        <v>#VALUE!</v>
      </c>
      <c r="CW16" s="5" t="e">
        <f aca="false">IFERROR(ROUND(MatchData[[#this row],[sally port sum]]/MatchData[[#this row],[sally port avail count]],2),0)</f>
        <v>#VALUE!</v>
      </c>
      <c r="CX16" s="5" t="e">
        <f aca="false">IFERROR(ROUND(MatchData[[#this row],[rock wall sum]]/MatchData[[#this row],[rock wall avail count]],2),0)</f>
        <v>#VALUE!</v>
      </c>
      <c r="CY16" s="5" t="e">
        <f aca="false">IFERROR(ROUND(MatchData[[#this row],[rough terrain sum]]/MatchData[[#this row],[rough terrain avail count]],2),0)</f>
        <v>#VALUE!</v>
      </c>
      <c r="CZ16" s="5" t="e">
        <f aca="false">IFERROR(ROUND(MatchData[[#this row],[low bar sum]]/MatchData[[#this row],[low bar avail count]],2),0)</f>
        <v>#VALUE!</v>
      </c>
      <c r="DA16" s="5" t="e">
        <f aca="false">SUM(MatchData[[#this row],[cheval sum]:[low bar sum]])/MatchData[match count]</f>
        <v>#VALUE!</v>
      </c>
      <c r="DB16" s="16" t="n">
        <f aca="false">MAX(IF(C$2:C$74=C16,BP$2:BP$74))</f>
        <v>-1.79769313486232E+308</v>
      </c>
      <c r="DC16" s="16" t="e">
        <f aca="false">AVERAGEIF(MatchData[team],MatchData[[#this row],[team]],MatchData[total score])</f>
        <v>#VALUE!</v>
      </c>
      <c r="DD16" s="16" t="e">
        <f aca="false">ROUND(AVERAGEIF(MatchData[team],MatchData[team],MatchData[climb or challenge flag]),2)</f>
        <v>#VALUE!</v>
      </c>
    </row>
    <row r="17" customFormat="false" ht="14.5" hidden="false" customHeight="false" outlineLevel="0" collapsed="false">
      <c r="A17" s="13" t="s">
        <v>108</v>
      </c>
      <c r="B17" s="14" t="n">
        <v>3</v>
      </c>
      <c r="C17" s="15" t="n">
        <v>997</v>
      </c>
      <c r="D17" s="5" t="s">
        <v>113</v>
      </c>
      <c r="E17" s="5" t="s">
        <v>111</v>
      </c>
      <c r="F17" s="5"/>
      <c r="H17" s="5"/>
      <c r="J17" s="5" t="n">
        <v>1</v>
      </c>
      <c r="K17" s="5"/>
      <c r="L17" s="5" t="n">
        <v>1</v>
      </c>
      <c r="M17" s="5" t="n">
        <v>1</v>
      </c>
      <c r="N17" s="5"/>
      <c r="O17" s="5" t="n">
        <v>1</v>
      </c>
      <c r="P17" s="5"/>
      <c r="Q17" s="5" t="n">
        <v>1</v>
      </c>
      <c r="R17" s="0"/>
      <c r="T17" s="0"/>
      <c r="V17" s="0"/>
      <c r="W17" s="0"/>
      <c r="X17" s="0"/>
      <c r="AD17" s="5" t="n">
        <v>1</v>
      </c>
      <c r="AH17" s="5" t="n">
        <v>2</v>
      </c>
      <c r="AJ17" s="5" t="n">
        <v>1</v>
      </c>
      <c r="AW17" s="5" t="n">
        <v>1</v>
      </c>
      <c r="BC17" s="5" t="e">
        <f aca="false">MatchData[cheval scored crossings]*5</f>
        <v>#VALUE!</v>
      </c>
      <c r="BD17" s="5" t="e">
        <f aca="false">MatchData[moat scored crosings]*5</f>
        <v>#VALUE!</v>
      </c>
      <c r="BE17" s="5" t="e">
        <f aca="false">MatchData[ramparts scored crossings]*5</f>
        <v>#VALUE!</v>
      </c>
      <c r="BF17" s="5" t="e">
        <f aca="false">MatchData[drawbridge scored crossings]*5</f>
        <v>#VALUE!</v>
      </c>
      <c r="BG17" s="5" t="e">
        <f aca="false">MatchData[sally port scored crossings]*5</f>
        <v>#VALUE!</v>
      </c>
      <c r="BH17" s="5" t="e">
        <f aca="false">MatchData[rock wall scored crossings]*5</f>
        <v>#VALUE!</v>
      </c>
      <c r="BI17" s="5" t="e">
        <f aca="false">MatchData[rough terrain scored crossings]*5</f>
        <v>#VALUE!</v>
      </c>
      <c r="BJ17" s="5" t="e">
        <f aca="false">MatchData[low bar scored crossings]*5</f>
        <v>#VALUE!</v>
      </c>
      <c r="BK17" s="5" t="e">
        <f aca="false">SUM(MatchData[[#this row],[low bar teleop crossings]:[rough terrain scored crossings]])</f>
        <v>#VALUE!</v>
      </c>
      <c r="BL17" s="5" t="e">
        <f aca="false">IFERROR(IF(OR(MatchData[[#this row],[challenge flag]],MatchData[[#this row],[climb flag]]),1,0),0)</f>
        <v>#VALUE!</v>
      </c>
      <c r="BM17" s="5" t="e">
        <f aca="false">MatchData[auto high goals]*10+MatchData[teleop high goals]*5</f>
        <v>#VALUE!</v>
      </c>
      <c r="BN17" s="5" t="e">
        <f aca="false">MatchData[auto low goals]*5+MatchData[teleop low goals]*2</f>
        <v>#VALUE!</v>
      </c>
      <c r="BO17" s="5" t="e">
        <f aca="false">MatchData[high goal score]+MatchData[low goal score]</f>
        <v>#VALUE!</v>
      </c>
      <c r="BP17" s="5" t="e">
        <f aca="false">MatchData[teleop high goals]+MatchData[teleop low goals]</f>
        <v>#VALUE!</v>
      </c>
      <c r="BQ17" s="5" t="e">
        <f aca="false">MatchData[[#this row],[auto reach flag]]*2+SUM(MatchData[[#this row],[portcullis auto crossings]:[low bar auto crossings]])*10+MatchData[[#this row],[auto low goals]]*5+MatchData[auto high goals]*10</f>
        <v>#VALUE!</v>
      </c>
      <c r="BR17" s="5" t="e">
        <f aca="false">SUM(MatchData[[#this row],[cheval teleop crossing score]:[low bar teleop crossing score]])</f>
        <v>#VALUE!</v>
      </c>
      <c r="BS17" s="5" t="e">
        <f aca="false">SUMIF(MatchData[team],MatchData[[#this row],[team]],MatchData[total auto score])/MatchData[match count]</f>
        <v>#VALUE!</v>
      </c>
      <c r="BT17" s="5" t="e">
        <f aca="false">MatchData[challenge flag]*5</f>
        <v>#VALUE!</v>
      </c>
      <c r="BU17" s="5" t="e">
        <f aca="false">MatchData[climb flag]*15</f>
        <v>#VALUE!</v>
      </c>
      <c r="BV17" s="5" t="e">
        <f aca="false">SUM(MatchData[[#this row],[total goal score]],MatchData[[#this row],[crossing score]],MatchData[[#this row],[challenge score]],MatchData[[#this row],[climb score]],MatchData[[#this row],[total auto score]])</f>
        <v>#VALUE!</v>
      </c>
      <c r="BW17" s="16" t="e">
        <f aca="false">ROUND(SUMIF(MatchData[team],MatchData[[#this row],[team]],MatchData[teleop low goals])/COUNTIF(MatchData[team],MatchData[[#this row],[team]]),2)</f>
        <v>#VALUE!</v>
      </c>
      <c r="BX17" s="16" t="e">
        <f aca="false">ROUND(SUMIF(MatchData[team],MatchData[[#this row],[team]],MatchData[teleop high goals])/COUNTIF(MatchData[team],MatchData[[#this row],[team]]),2)</f>
        <v>#VALUE!</v>
      </c>
      <c r="BY17" s="16" t="e">
        <f aca="false">COUNTIF(MatchData[team],MatchData[[#this row],[team]])</f>
        <v>#VALUE!</v>
      </c>
      <c r="BZ17" s="16" t="e">
        <f aca="false">SUMIF(MatchData[team],MatchData[[#this row],[team]],MatchData[portcullis available])</f>
        <v>#VALUE!</v>
      </c>
      <c r="CA17" s="16" t="e">
        <f aca="false">SUMIF(MatchData[team],MatchData[[#this row],[team]],MatchData[cheval available])</f>
        <v>#VALUE!</v>
      </c>
      <c r="CB17" s="16" t="e">
        <f aca="false">SUMIF(MatchData[team],MatchData[[#this row],[team]],MatchData[moat available])</f>
        <v>#VALUE!</v>
      </c>
      <c r="CC17" s="16" t="e">
        <f aca="false">SUMIF(MatchData[team],MatchData[[#this row],[team]],MatchData[ramparts available])</f>
        <v>#VALUE!</v>
      </c>
      <c r="CD17" s="16" t="e">
        <f aca="false">SUMIF(MatchData[team],MatchData[[#this row],[team]],MatchData[drawbridge available])</f>
        <v>#VALUE!</v>
      </c>
      <c r="CE17" s="16" t="e">
        <f aca="false">SUMIF(MatchData[team],MatchData[[#this row],[team]],MatchData[sally port available])</f>
        <v>#VALUE!</v>
      </c>
      <c r="CF17" s="16" t="e">
        <f aca="false">SUMIF(MatchData[team],MatchData[[#this row],[team]],MatchData[rock wall available])</f>
        <v>#VALUE!</v>
      </c>
      <c r="CG17" s="16" t="e">
        <f aca="false">SUMIF(MatchData[team],MatchData[[#this row],[team]],MatchData[rough terrain available])</f>
        <v>#VALUE!</v>
      </c>
      <c r="CH17" s="16" t="e">
        <f aca="false">SUMIF(MatchData[team],MatchData[[#this row],[team]],MatchData[low bar available])</f>
        <v>#VALUE!</v>
      </c>
      <c r="CI17" s="16" t="e">
        <f aca="false">SUMIF(MatchData[team],MatchData[[#this row],[team]],MatchData[portcullis teleop crossings]:MatchData[portcullis scored crossings])</f>
        <v>#VALUE!</v>
      </c>
      <c r="CJ17" s="16" t="e">
        <f aca="false">SUMIF(MatchData[team],MatchData[[#this row],[team]],MatchData[cheval teleop crossings])+SUMIF(MatchData[team],MatchData[[#this row],[team]],MatchData[cheval scored crossings])</f>
        <v>#VALUE!</v>
      </c>
      <c r="CK17" s="16" t="e">
        <f aca="false">SUMIF(MatchData[team],MatchData[[#this row],[team]],MatchData[moat teleop crossings])+SUMIF(MatchData[team],MatchData[[#this row],[team]],MatchData[moat scored crosings])</f>
        <v>#VALUE!</v>
      </c>
      <c r="CL17" s="16" t="e">
        <f aca="false">SUMIF(MatchData[team],MatchData[[#this row],[team]],MatchData[ramparts teleop crossings])+SUMIF(MatchData[team],MatchData[[#this row],[team]],MatchData[ramparts scored crossings])</f>
        <v>#VALUE!</v>
      </c>
      <c r="CM17" s="16" t="e">
        <f aca="false">SUMIF(MatchData[team],MatchData[[#this row],[team]],MatchData[drawbridge teleop crossings])+SUMIF(MatchData[team],MatchData[[#this row],[team]],MatchData[drawbridge scored crossings])</f>
        <v>#VALUE!</v>
      </c>
      <c r="CN17" s="16" t="e">
        <f aca="false">SUMIF(MatchData[team],MatchData[[#this row],[team]],MatchData[sally port teleop crossings])+SUMIF(MatchData[team],MatchData[[#this row],[team]],MatchData[sally port scored crossings])</f>
        <v>#VALUE!</v>
      </c>
      <c r="CO17" s="16" t="e">
        <f aca="false">SUMIF(MatchData[team],MatchData[[#this row],[team]],MatchData[rock wall teleop crossings])+SUMIF(MatchData[team],MatchData[[#this row],[team]],MatchData[rock wall scored crossings])</f>
        <v>#VALUE!</v>
      </c>
      <c r="CP17" s="16" t="e">
        <f aca="false">SUMIF(MatchData[team],MatchData[[#this row],[team]],MatchData[rough terrain teleop crossings])+SUMIF(MatchData[team],MatchData[[#this row],[team]],MatchData[rough terrain scored crossings])</f>
        <v>#VALUE!</v>
      </c>
      <c r="CQ17" s="16" t="e">
        <f aca="false">SUMIF(MatchData[team],MatchData[[#this row],[team]],MatchData[low bar teleop crossings])+SUMIF(MatchData[team],MatchData[[#this row],[team]],MatchData[low bar scored crossings])</f>
        <v>#VALUE!</v>
      </c>
      <c r="CR17" s="16" t="e">
        <f aca="false">IFERROR(ROUND(MatchData[[#this row],[portcullis sum]]/MatchData[[#this row],[portcullis avail count]],2),0)</f>
        <v>#VALUE!</v>
      </c>
      <c r="CS17" s="5" t="e">
        <f aca="false">IFERROR(ROUND(MatchData[[#this row],[cheval sum]]/MatchData[[#this row],[cheval avail count]],2),0)</f>
        <v>#VALUE!</v>
      </c>
      <c r="CT17" s="5" t="e">
        <f aca="false">IFERROR(ROUND(MatchData[[#this row],[moat sum]]/MatchData[[#this row],[moat avail count]],2),0)</f>
        <v>#VALUE!</v>
      </c>
      <c r="CU17" s="5" t="e">
        <f aca="false">IFERROR(ROUND(MatchData[[#this row],[ramparts sum]]/MatchData[[#this row],[ramparts avail count]],2),0)</f>
        <v>#VALUE!</v>
      </c>
      <c r="CV17" s="5" t="e">
        <f aca="false">IFERROR(ROUND(MatchData[[#this row],[drawbridge sum]]/MatchData[[#this row],[drawbridge avail countigh6]],2),0)</f>
        <v>#VALUE!</v>
      </c>
      <c r="CW17" s="5" t="e">
        <f aca="false">IFERROR(ROUND(MatchData[[#this row],[sally port sum]]/MatchData[[#this row],[sally port avail count]],2),0)</f>
        <v>#VALUE!</v>
      </c>
      <c r="CX17" s="5" t="e">
        <f aca="false">IFERROR(ROUND(MatchData[[#this row],[rock wall sum]]/MatchData[[#this row],[rock wall avail count]],2),0)</f>
        <v>#VALUE!</v>
      </c>
      <c r="CY17" s="5" t="e">
        <f aca="false">IFERROR(ROUND(MatchData[[#this row],[rough terrain sum]]/MatchData[[#this row],[rough terrain avail count]],2),0)</f>
        <v>#VALUE!</v>
      </c>
      <c r="CZ17" s="5" t="e">
        <f aca="false">IFERROR(ROUND(MatchData[[#this row],[low bar sum]]/MatchData[[#this row],[low bar avail count]],2),0)</f>
        <v>#VALUE!</v>
      </c>
      <c r="DA17" s="5" t="e">
        <f aca="false">SUM(MatchData[[#this row],[cheval sum]:[low bar sum]])/MatchData[match count]</f>
        <v>#VALUE!</v>
      </c>
      <c r="DB17" s="16" t="n">
        <f aca="false">MAX(IF(C$2:C$74=C17,BP$2:BP$74))</f>
        <v>-1.79769313486232E+308</v>
      </c>
      <c r="DC17" s="16" t="e">
        <f aca="false">AVERAGEIF(MatchData[team],MatchData[[#this row],[team]],MatchData[total score])</f>
        <v>#VALUE!</v>
      </c>
      <c r="DD17" s="16" t="e">
        <f aca="false">ROUND(AVERAGEIF(MatchData[team],MatchData[team],MatchData[climb or challenge flag]),2)</f>
        <v>#VALUE!</v>
      </c>
    </row>
    <row r="18" customFormat="false" ht="14.5" hidden="false" customHeight="false" outlineLevel="0" collapsed="false">
      <c r="A18" s="17" t="s">
        <v>108</v>
      </c>
      <c r="B18" s="18" t="n">
        <v>3</v>
      </c>
      <c r="C18" s="15" t="n">
        <v>4127</v>
      </c>
      <c r="D18" s="5" t="s">
        <v>113</v>
      </c>
      <c r="E18" s="5" t="s">
        <v>119</v>
      </c>
      <c r="F18" s="5"/>
      <c r="H18" s="5"/>
      <c r="J18" s="5" t="n">
        <v>1</v>
      </c>
      <c r="K18" s="5"/>
      <c r="L18" s="5" t="n">
        <v>1</v>
      </c>
      <c r="M18" s="5" t="n">
        <v>1</v>
      </c>
      <c r="N18" s="5"/>
      <c r="O18" s="5" t="n">
        <v>1</v>
      </c>
      <c r="P18" s="5"/>
      <c r="Q18" s="5" t="n">
        <v>1</v>
      </c>
      <c r="R18" s="0"/>
      <c r="T18" s="0"/>
      <c r="V18" s="0"/>
      <c r="W18" s="0"/>
      <c r="X18" s="0"/>
      <c r="AQ18" s="5" t="n">
        <v>1</v>
      </c>
      <c r="AR18" s="5" t="n">
        <v>1</v>
      </c>
      <c r="AW18" s="5" t="n">
        <v>1</v>
      </c>
      <c r="BC18" s="5" t="e">
        <f aca="false">MatchData[cheval scored crossings]*5</f>
        <v>#VALUE!</v>
      </c>
      <c r="BD18" s="5" t="e">
        <f aca="false">MatchData[moat scored crosings]*5</f>
        <v>#VALUE!</v>
      </c>
      <c r="BE18" s="5" t="e">
        <f aca="false">MatchData[ramparts scored crossings]*5</f>
        <v>#VALUE!</v>
      </c>
      <c r="BF18" s="5" t="e">
        <f aca="false">MatchData[drawbridge scored crossings]*5</f>
        <v>#VALUE!</v>
      </c>
      <c r="BG18" s="5" t="e">
        <f aca="false">MatchData[sally port scored crossings]*5</f>
        <v>#VALUE!</v>
      </c>
      <c r="BH18" s="5" t="e">
        <f aca="false">MatchData[rock wall scored crossings]*5</f>
        <v>#VALUE!</v>
      </c>
      <c r="BI18" s="5" t="e">
        <f aca="false">MatchData[rough terrain scored crossings]*5</f>
        <v>#VALUE!</v>
      </c>
      <c r="BJ18" s="5" t="e">
        <f aca="false">MatchData[low bar scored crossings]*5</f>
        <v>#VALUE!</v>
      </c>
      <c r="BK18" s="5" t="e">
        <f aca="false">SUM(MatchData[[#this row],[low bar teleop crossings]:[rough terrain scored crossings]])</f>
        <v>#VALUE!</v>
      </c>
      <c r="BL18" s="5" t="e">
        <f aca="false">IFERROR(IF(OR(MatchData[[#this row],[challenge flag]],MatchData[[#this row],[climb flag]]),1,0),0)</f>
        <v>#VALUE!</v>
      </c>
      <c r="BM18" s="5" t="e">
        <f aca="false">MatchData[auto high goals]*10+MatchData[teleop high goals]*5</f>
        <v>#VALUE!</v>
      </c>
      <c r="BN18" s="5" t="e">
        <f aca="false">MatchData[auto low goals]*5+MatchData[teleop low goals]*2</f>
        <v>#VALUE!</v>
      </c>
      <c r="BO18" s="5" t="e">
        <f aca="false">MatchData[high goal score]+MatchData[low goal score]</f>
        <v>#VALUE!</v>
      </c>
      <c r="BP18" s="5" t="e">
        <f aca="false">MatchData[teleop high goals]+MatchData[teleop low goals]</f>
        <v>#VALUE!</v>
      </c>
      <c r="BQ18" s="5" t="e">
        <f aca="false">MatchData[[#this row],[auto reach flag]]*2+SUM(MatchData[[#this row],[portcullis auto crossings]:[low bar auto crossings]])*10+MatchData[[#this row],[auto low goals]]*5+MatchData[auto high goals]*10</f>
        <v>#VALUE!</v>
      </c>
      <c r="BR18" s="5" t="e">
        <f aca="false">SUM(MatchData[[#this row],[cheval teleop crossing score]:[low bar teleop crossing score]])</f>
        <v>#VALUE!</v>
      </c>
      <c r="BS18" s="5" t="e">
        <f aca="false">SUMIF(MatchData[team],MatchData[[#this row],[team]],MatchData[total auto score])/MatchData[match count]</f>
        <v>#VALUE!</v>
      </c>
      <c r="BT18" s="5" t="e">
        <f aca="false">MatchData[challenge flag]*5</f>
        <v>#VALUE!</v>
      </c>
      <c r="BU18" s="5" t="e">
        <f aca="false">MatchData[climb flag]*15</f>
        <v>#VALUE!</v>
      </c>
      <c r="BV18" s="5" t="e">
        <f aca="false">SUM(MatchData[[#this row],[total goal score]],MatchData[[#this row],[crossing score]],MatchData[[#this row],[challenge score]],MatchData[[#this row],[climb score]],MatchData[[#this row],[total auto score]])</f>
        <v>#VALUE!</v>
      </c>
      <c r="BW18" s="16" t="e">
        <f aca="false">ROUND(SUMIF(MatchData[team],MatchData[[#this row],[team]],MatchData[teleop low goals])/COUNTIF(MatchData[team],MatchData[[#this row],[team]]),2)</f>
        <v>#VALUE!</v>
      </c>
      <c r="BX18" s="16" t="e">
        <f aca="false">ROUND(SUMIF(MatchData[team],MatchData[[#this row],[team]],MatchData[teleop high goals])/COUNTIF(MatchData[team],MatchData[[#this row],[team]]),2)</f>
        <v>#VALUE!</v>
      </c>
      <c r="BY18" s="16" t="e">
        <f aca="false">COUNTIF(MatchData[team],MatchData[[#this row],[team]])</f>
        <v>#VALUE!</v>
      </c>
      <c r="BZ18" s="16" t="e">
        <f aca="false">SUMIF(MatchData[team],MatchData[[#this row],[team]],MatchData[portcullis available])</f>
        <v>#VALUE!</v>
      </c>
      <c r="CA18" s="16" t="e">
        <f aca="false">SUMIF(MatchData[team],MatchData[[#this row],[team]],MatchData[cheval available])</f>
        <v>#VALUE!</v>
      </c>
      <c r="CB18" s="16" t="e">
        <f aca="false">SUMIF(MatchData[team],MatchData[[#this row],[team]],MatchData[moat available])</f>
        <v>#VALUE!</v>
      </c>
      <c r="CC18" s="16" t="e">
        <f aca="false">SUMIF(MatchData[team],MatchData[[#this row],[team]],MatchData[ramparts available])</f>
        <v>#VALUE!</v>
      </c>
      <c r="CD18" s="16" t="e">
        <f aca="false">SUMIF(MatchData[team],MatchData[[#this row],[team]],MatchData[drawbridge available])</f>
        <v>#VALUE!</v>
      </c>
      <c r="CE18" s="16" t="e">
        <f aca="false">SUMIF(MatchData[team],MatchData[[#this row],[team]],MatchData[sally port available])</f>
        <v>#VALUE!</v>
      </c>
      <c r="CF18" s="16" t="e">
        <f aca="false">SUMIF(MatchData[team],MatchData[[#this row],[team]],MatchData[rock wall available])</f>
        <v>#VALUE!</v>
      </c>
      <c r="CG18" s="16" t="e">
        <f aca="false">SUMIF(MatchData[team],MatchData[[#this row],[team]],MatchData[rough terrain available])</f>
        <v>#VALUE!</v>
      </c>
      <c r="CH18" s="16" t="e">
        <f aca="false">SUMIF(MatchData[team],MatchData[[#this row],[team]],MatchData[low bar available])</f>
        <v>#VALUE!</v>
      </c>
      <c r="CI18" s="16" t="e">
        <f aca="false">SUMIF(MatchData[team],MatchData[[#this row],[team]],MatchData[portcullis teleop crossings]:MatchData[portcullis scored crossings])</f>
        <v>#VALUE!</v>
      </c>
      <c r="CJ18" s="16" t="e">
        <f aca="false">SUMIF(MatchData[team],MatchData[[#this row],[team]],MatchData[cheval teleop crossings])+SUMIF(MatchData[team],MatchData[[#this row],[team]],MatchData[cheval scored crossings])</f>
        <v>#VALUE!</v>
      </c>
      <c r="CK18" s="16" t="e">
        <f aca="false">SUMIF(MatchData[team],MatchData[[#this row],[team]],MatchData[moat teleop crossings])+SUMIF(MatchData[team],MatchData[[#this row],[team]],MatchData[moat scored crosings])</f>
        <v>#VALUE!</v>
      </c>
      <c r="CL18" s="16" t="e">
        <f aca="false">SUMIF(MatchData[team],MatchData[[#this row],[team]],MatchData[ramparts teleop crossings])+SUMIF(MatchData[team],MatchData[[#this row],[team]],MatchData[ramparts scored crossings])</f>
        <v>#VALUE!</v>
      </c>
      <c r="CM18" s="16" t="e">
        <f aca="false">SUMIF(MatchData[team],MatchData[[#this row],[team]],MatchData[drawbridge teleop crossings])+SUMIF(MatchData[team],MatchData[[#this row],[team]],MatchData[drawbridge scored crossings])</f>
        <v>#VALUE!</v>
      </c>
      <c r="CN18" s="16" t="e">
        <f aca="false">SUMIF(MatchData[team],MatchData[[#this row],[team]],MatchData[sally port teleop crossings])+SUMIF(MatchData[team],MatchData[[#this row],[team]],MatchData[sally port scored crossings])</f>
        <v>#VALUE!</v>
      </c>
      <c r="CO18" s="16" t="e">
        <f aca="false">SUMIF(MatchData[team],MatchData[[#this row],[team]],MatchData[rock wall teleop crossings])+SUMIF(MatchData[team],MatchData[[#this row],[team]],MatchData[rock wall scored crossings])</f>
        <v>#VALUE!</v>
      </c>
      <c r="CP18" s="16" t="e">
        <f aca="false">SUMIF(MatchData[team],MatchData[[#this row],[team]],MatchData[rough terrain teleop crossings])+SUMIF(MatchData[team],MatchData[[#this row],[team]],MatchData[rough terrain scored crossings])</f>
        <v>#VALUE!</v>
      </c>
      <c r="CQ18" s="16" t="e">
        <f aca="false">SUMIF(MatchData[team],MatchData[[#this row],[team]],MatchData[low bar teleop crossings])+SUMIF(MatchData[team],MatchData[[#this row],[team]],MatchData[low bar scored crossings])</f>
        <v>#VALUE!</v>
      </c>
      <c r="CR18" s="16" t="e">
        <f aca="false">IFERROR(ROUND(MatchData[[#this row],[portcullis sum]]/MatchData[[#this row],[portcullis avail count]],2),0)</f>
        <v>#VALUE!</v>
      </c>
      <c r="CS18" s="5" t="e">
        <f aca="false">IFERROR(ROUND(MatchData[[#this row],[cheval sum]]/MatchData[[#this row],[cheval avail count]],2),0)</f>
        <v>#VALUE!</v>
      </c>
      <c r="CT18" s="5" t="e">
        <f aca="false">IFERROR(ROUND(MatchData[[#this row],[moat sum]]/MatchData[[#this row],[moat avail count]],2),0)</f>
        <v>#VALUE!</v>
      </c>
      <c r="CU18" s="5" t="e">
        <f aca="false">IFERROR(ROUND(MatchData[[#this row],[ramparts sum]]/MatchData[[#this row],[ramparts avail count]],2),0)</f>
        <v>#VALUE!</v>
      </c>
      <c r="CV18" s="5" t="e">
        <f aca="false">IFERROR(ROUND(MatchData[[#this row],[drawbridge sum]]/MatchData[[#this row],[drawbridge avail countigh6]],2),0)</f>
        <v>#VALUE!</v>
      </c>
      <c r="CW18" s="5" t="e">
        <f aca="false">IFERROR(ROUND(MatchData[[#this row],[sally port sum]]/MatchData[[#this row],[sally port avail count]],2),0)</f>
        <v>#VALUE!</v>
      </c>
      <c r="CX18" s="5" t="e">
        <f aca="false">IFERROR(ROUND(MatchData[[#this row],[rock wall sum]]/MatchData[[#this row],[rock wall avail count]],2),0)</f>
        <v>#VALUE!</v>
      </c>
      <c r="CY18" s="5" t="e">
        <f aca="false">IFERROR(ROUND(MatchData[[#this row],[rough terrain sum]]/MatchData[[#this row],[rough terrain avail count]],2),0)</f>
        <v>#VALUE!</v>
      </c>
      <c r="CZ18" s="5" t="e">
        <f aca="false">IFERROR(ROUND(MatchData[[#this row],[low bar sum]]/MatchData[[#this row],[low bar avail count]],2),0)</f>
        <v>#VALUE!</v>
      </c>
      <c r="DA18" s="5" t="e">
        <f aca="false">SUM(MatchData[[#this row],[cheval sum]:[low bar sum]])/MatchData[match count]</f>
        <v>#VALUE!</v>
      </c>
      <c r="DB18" s="16" t="n">
        <f aca="false">MAX(IF(C$2:C$74=C18,BP$2:BP$74))</f>
        <v>-1.79769313486232E+308</v>
      </c>
      <c r="DC18" s="16" t="e">
        <f aca="false">AVERAGEIF(MatchData[team],MatchData[[#this row],[team]],MatchData[total score])</f>
        <v>#VALUE!</v>
      </c>
      <c r="DD18" s="16" t="e">
        <f aca="false">ROUND(AVERAGEIF(MatchData[team],MatchData[team],MatchData[climb or challenge flag]),2)</f>
        <v>#VALUE!</v>
      </c>
    </row>
    <row r="19" customFormat="false" ht="14.5" hidden="false" customHeight="false" outlineLevel="0" collapsed="false">
      <c r="A19" s="17" t="s">
        <v>108</v>
      </c>
      <c r="B19" s="14" t="n">
        <v>3</v>
      </c>
      <c r="C19" s="15" t="n">
        <v>5468</v>
      </c>
      <c r="D19" s="5" t="s">
        <v>113</v>
      </c>
      <c r="E19" s="5" t="s">
        <v>110</v>
      </c>
      <c r="F19" s="5"/>
      <c r="G19" s="5" t="n">
        <v>3</v>
      </c>
      <c r="H19" s="5"/>
      <c r="J19" s="5" t="n">
        <v>1</v>
      </c>
      <c r="K19" s="5"/>
      <c r="L19" s="5" t="n">
        <v>1</v>
      </c>
      <c r="M19" s="5" t="n">
        <v>1</v>
      </c>
      <c r="N19" s="5"/>
      <c r="O19" s="5" t="n">
        <v>1</v>
      </c>
      <c r="P19" s="5"/>
      <c r="Q19" s="5" t="n">
        <v>1</v>
      </c>
      <c r="R19" s="0"/>
      <c r="T19" s="0"/>
      <c r="V19" s="0"/>
      <c r="W19" s="0"/>
      <c r="X19" s="0"/>
      <c r="AB19" s="5" t="n">
        <v>1</v>
      </c>
      <c r="AD19" s="5" t="n">
        <v>1</v>
      </c>
      <c r="AW19" s="5" t="n">
        <v>1</v>
      </c>
      <c r="BC19" s="5" t="e">
        <f aca="false">MatchData[cheval scored crossings]*5</f>
        <v>#VALUE!</v>
      </c>
      <c r="BD19" s="5" t="e">
        <f aca="false">MatchData[moat scored crosings]*5</f>
        <v>#VALUE!</v>
      </c>
      <c r="BE19" s="5" t="e">
        <f aca="false">MatchData[ramparts scored crossings]*5</f>
        <v>#VALUE!</v>
      </c>
      <c r="BF19" s="5" t="e">
        <f aca="false">MatchData[drawbridge scored crossings]*5</f>
        <v>#VALUE!</v>
      </c>
      <c r="BG19" s="5" t="e">
        <f aca="false">MatchData[sally port scored crossings]*5</f>
        <v>#VALUE!</v>
      </c>
      <c r="BH19" s="5" t="e">
        <f aca="false">MatchData[rock wall scored crossings]*5</f>
        <v>#VALUE!</v>
      </c>
      <c r="BI19" s="5" t="e">
        <f aca="false">MatchData[rough terrain scored crossings]*5</f>
        <v>#VALUE!</v>
      </c>
      <c r="BJ19" s="5" t="e">
        <f aca="false">MatchData[low bar scored crossings]*5</f>
        <v>#VALUE!</v>
      </c>
      <c r="BK19" s="5" t="e">
        <f aca="false">SUM(MatchData[[#this row],[low bar teleop crossings]:[rough terrain scored crossings]])</f>
        <v>#VALUE!</v>
      </c>
      <c r="BL19" s="5" t="e">
        <f aca="false">IFERROR(IF(OR(MatchData[[#this row],[challenge flag]],MatchData[[#this row],[climb flag]]),1,0),0)</f>
        <v>#VALUE!</v>
      </c>
      <c r="BM19" s="5" t="e">
        <f aca="false">MatchData[auto high goals]*10+MatchData[teleop high goals]*5</f>
        <v>#VALUE!</v>
      </c>
      <c r="BN19" s="5" t="e">
        <f aca="false">MatchData[auto low goals]*5+MatchData[teleop low goals]*2</f>
        <v>#VALUE!</v>
      </c>
      <c r="BO19" s="5" t="e">
        <f aca="false">MatchData[high goal score]+MatchData[low goal score]</f>
        <v>#VALUE!</v>
      </c>
      <c r="BP19" s="5" t="e">
        <f aca="false">MatchData[teleop high goals]+MatchData[teleop low goals]</f>
        <v>#VALUE!</v>
      </c>
      <c r="BQ19" s="5" t="e">
        <f aca="false">MatchData[[#this row],[auto reach flag]]*2+SUM(MatchData[[#this row],[portcullis auto crossings]:[low bar auto crossings]])*10+MatchData[[#this row],[auto low goals]]*5+MatchData[auto high goals]*10</f>
        <v>#VALUE!</v>
      </c>
      <c r="BR19" s="5" t="e">
        <f aca="false">SUM(MatchData[[#this row],[cheval teleop crossing score]:[low bar teleop crossing score]])</f>
        <v>#VALUE!</v>
      </c>
      <c r="BS19" s="5" t="e">
        <f aca="false">SUMIF(MatchData[team],MatchData[[#this row],[team]],MatchData[total auto score])/MatchData[match count]</f>
        <v>#VALUE!</v>
      </c>
      <c r="BT19" s="5" t="e">
        <f aca="false">MatchData[challenge flag]*5</f>
        <v>#VALUE!</v>
      </c>
      <c r="BU19" s="5" t="e">
        <f aca="false">MatchData[climb flag]*15</f>
        <v>#VALUE!</v>
      </c>
      <c r="BV19" s="5" t="e">
        <f aca="false">SUM(MatchData[[#this row],[total goal score]],MatchData[[#this row],[crossing score]],MatchData[[#this row],[challenge score]],MatchData[[#this row],[climb score]],MatchData[[#this row],[total auto score]])</f>
        <v>#VALUE!</v>
      </c>
      <c r="BW19" s="16" t="e">
        <f aca="false">ROUND(SUMIF(MatchData[team],MatchData[[#this row],[team]],MatchData[teleop low goals])/COUNTIF(MatchData[team],MatchData[[#this row],[team]]),2)</f>
        <v>#VALUE!</v>
      </c>
      <c r="BX19" s="16" t="e">
        <f aca="false">ROUND(SUMIF(MatchData[team],MatchData[[#this row],[team]],MatchData[teleop high goals])/COUNTIF(MatchData[team],MatchData[[#this row],[team]]),2)</f>
        <v>#VALUE!</v>
      </c>
      <c r="BY19" s="16" t="e">
        <f aca="false">COUNTIF(MatchData[team],MatchData[[#this row],[team]])</f>
        <v>#VALUE!</v>
      </c>
      <c r="BZ19" s="16" t="e">
        <f aca="false">SUMIF(MatchData[team],MatchData[[#this row],[team]],MatchData[portcullis available])</f>
        <v>#VALUE!</v>
      </c>
      <c r="CA19" s="16" t="e">
        <f aca="false">SUMIF(MatchData[team],MatchData[[#this row],[team]],MatchData[cheval available])</f>
        <v>#VALUE!</v>
      </c>
      <c r="CB19" s="16" t="e">
        <f aca="false">SUMIF(MatchData[team],MatchData[[#this row],[team]],MatchData[moat available])</f>
        <v>#VALUE!</v>
      </c>
      <c r="CC19" s="16" t="e">
        <f aca="false">SUMIF(MatchData[team],MatchData[[#this row],[team]],MatchData[ramparts available])</f>
        <v>#VALUE!</v>
      </c>
      <c r="CD19" s="16" t="e">
        <f aca="false">SUMIF(MatchData[team],MatchData[[#this row],[team]],MatchData[drawbridge available])</f>
        <v>#VALUE!</v>
      </c>
      <c r="CE19" s="16" t="e">
        <f aca="false">SUMIF(MatchData[team],MatchData[[#this row],[team]],MatchData[sally port available])</f>
        <v>#VALUE!</v>
      </c>
      <c r="CF19" s="16" t="e">
        <f aca="false">SUMIF(MatchData[team],MatchData[[#this row],[team]],MatchData[rock wall available])</f>
        <v>#VALUE!</v>
      </c>
      <c r="CG19" s="16" t="e">
        <f aca="false">SUMIF(MatchData[team],MatchData[[#this row],[team]],MatchData[rough terrain available])</f>
        <v>#VALUE!</v>
      </c>
      <c r="CH19" s="16" t="e">
        <f aca="false">SUMIF(MatchData[team],MatchData[[#this row],[team]],MatchData[low bar available])</f>
        <v>#VALUE!</v>
      </c>
      <c r="CI19" s="16" t="e">
        <f aca="false">SUMIF(MatchData[team],MatchData[[#this row],[team]],MatchData[portcullis teleop crossings]:MatchData[portcullis scored crossings])</f>
        <v>#VALUE!</v>
      </c>
      <c r="CJ19" s="16" t="e">
        <f aca="false">SUMIF(MatchData[team],MatchData[[#this row],[team]],MatchData[cheval teleop crossings])+SUMIF(MatchData[team],MatchData[[#this row],[team]],MatchData[cheval scored crossings])</f>
        <v>#VALUE!</v>
      </c>
      <c r="CK19" s="16" t="e">
        <f aca="false">SUMIF(MatchData[team],MatchData[[#this row],[team]],MatchData[moat teleop crossings])+SUMIF(MatchData[team],MatchData[[#this row],[team]],MatchData[moat scored crosings])</f>
        <v>#VALUE!</v>
      </c>
      <c r="CL19" s="16" t="e">
        <f aca="false">SUMIF(MatchData[team],MatchData[[#this row],[team]],MatchData[ramparts teleop crossings])+SUMIF(MatchData[team],MatchData[[#this row],[team]],MatchData[ramparts scored crossings])</f>
        <v>#VALUE!</v>
      </c>
      <c r="CM19" s="16" t="e">
        <f aca="false">SUMIF(MatchData[team],MatchData[[#this row],[team]],MatchData[drawbridge teleop crossings])+SUMIF(MatchData[team],MatchData[[#this row],[team]],MatchData[drawbridge scored crossings])</f>
        <v>#VALUE!</v>
      </c>
      <c r="CN19" s="16" t="e">
        <f aca="false">SUMIF(MatchData[team],MatchData[[#this row],[team]],MatchData[sally port teleop crossings])+SUMIF(MatchData[team],MatchData[[#this row],[team]],MatchData[sally port scored crossings])</f>
        <v>#VALUE!</v>
      </c>
      <c r="CO19" s="16" t="e">
        <f aca="false">SUMIF(MatchData[team],MatchData[[#this row],[team]],MatchData[rock wall teleop crossings])+SUMIF(MatchData[team],MatchData[[#this row],[team]],MatchData[rock wall scored crossings])</f>
        <v>#VALUE!</v>
      </c>
      <c r="CP19" s="16" t="e">
        <f aca="false">SUMIF(MatchData[team],MatchData[[#this row],[team]],MatchData[rough terrain teleop crossings])+SUMIF(MatchData[team],MatchData[[#this row],[team]],MatchData[rough terrain scored crossings])</f>
        <v>#VALUE!</v>
      </c>
      <c r="CQ19" s="16" t="e">
        <f aca="false">SUMIF(MatchData[team],MatchData[[#this row],[team]],MatchData[low bar teleop crossings])+SUMIF(MatchData[team],MatchData[[#this row],[team]],MatchData[low bar scored crossings])</f>
        <v>#VALUE!</v>
      </c>
      <c r="CR19" s="16" t="e">
        <f aca="false">IFERROR(ROUND(MatchData[[#this row],[portcullis sum]]/MatchData[[#this row],[portcullis avail count]],2),0)</f>
        <v>#VALUE!</v>
      </c>
      <c r="CS19" s="5" t="e">
        <f aca="false">IFERROR(ROUND(MatchData[[#this row],[cheval sum]]/MatchData[[#this row],[cheval avail count]],2),0)</f>
        <v>#VALUE!</v>
      </c>
      <c r="CT19" s="5" t="e">
        <f aca="false">IFERROR(ROUND(MatchData[[#this row],[moat sum]]/MatchData[[#this row],[moat avail count]],2),0)</f>
        <v>#VALUE!</v>
      </c>
      <c r="CU19" s="5" t="e">
        <f aca="false">IFERROR(ROUND(MatchData[[#this row],[ramparts sum]]/MatchData[[#this row],[ramparts avail count]],2),0)</f>
        <v>#VALUE!</v>
      </c>
      <c r="CV19" s="5" t="e">
        <f aca="false">IFERROR(ROUND(MatchData[[#this row],[drawbridge sum]]/MatchData[[#this row],[drawbridge avail countigh6]],2),0)</f>
        <v>#VALUE!</v>
      </c>
      <c r="CW19" s="5" t="e">
        <f aca="false">IFERROR(ROUND(MatchData[[#this row],[sally port sum]]/MatchData[[#this row],[sally port avail count]],2),0)</f>
        <v>#VALUE!</v>
      </c>
      <c r="CX19" s="5" t="e">
        <f aca="false">IFERROR(ROUND(MatchData[[#this row],[rock wall sum]]/MatchData[[#this row],[rock wall avail count]],2),0)</f>
        <v>#VALUE!</v>
      </c>
      <c r="CY19" s="5" t="e">
        <f aca="false">IFERROR(ROUND(MatchData[[#this row],[rough terrain sum]]/MatchData[[#this row],[rough terrain avail count]],2),0)</f>
        <v>#VALUE!</v>
      </c>
      <c r="CZ19" s="5" t="e">
        <f aca="false">IFERROR(ROUND(MatchData[[#this row],[low bar sum]]/MatchData[[#this row],[low bar avail count]],2),0)</f>
        <v>#VALUE!</v>
      </c>
      <c r="DA19" s="5" t="e">
        <f aca="false">SUM(MatchData[[#this row],[cheval sum]:[low bar sum]])/MatchData[match count]</f>
        <v>#VALUE!</v>
      </c>
      <c r="DB19" s="16" t="n">
        <f aca="false">MAX(IF(C$2:C$74=C19,BP$2:BP$74))</f>
        <v>-1.79769313486232E+308</v>
      </c>
      <c r="DC19" s="16" t="e">
        <f aca="false">AVERAGEIF(MatchData[team],MatchData[[#this row],[team]],MatchData[total score])</f>
        <v>#VALUE!</v>
      </c>
      <c r="DD19" s="16" t="e">
        <f aca="false">ROUND(AVERAGEIF(MatchData[team],MatchData[team],MatchData[climb or challenge flag]),2)</f>
        <v>#VALUE!</v>
      </c>
    </row>
    <row r="20" customFormat="false" ht="14.5" hidden="false" customHeight="false" outlineLevel="0" collapsed="false">
      <c r="A20" s="13" t="s">
        <v>108</v>
      </c>
      <c r="B20" s="14" t="n">
        <v>4</v>
      </c>
      <c r="C20" s="15" t="n">
        <v>1425</v>
      </c>
      <c r="D20" s="5" t="s">
        <v>109</v>
      </c>
      <c r="E20" s="5" t="s">
        <v>112</v>
      </c>
      <c r="F20" s="5"/>
      <c r="H20" s="5"/>
      <c r="J20" s="5" t="n">
        <v>1</v>
      </c>
      <c r="K20" s="5"/>
      <c r="L20" s="5" t="n">
        <v>1</v>
      </c>
      <c r="M20" s="5"/>
      <c r="N20" s="5" t="n">
        <v>1</v>
      </c>
      <c r="O20" s="5"/>
      <c r="P20" s="5" t="n">
        <v>1</v>
      </c>
      <c r="Q20" s="5" t="n">
        <v>1</v>
      </c>
      <c r="R20" s="0"/>
      <c r="T20" s="0"/>
      <c r="V20" s="0"/>
      <c r="W20" s="5" t="n">
        <v>1</v>
      </c>
      <c r="X20" s="0"/>
      <c r="AD20" s="5" t="n">
        <v>2</v>
      </c>
      <c r="AH20" s="5" t="n">
        <v>2</v>
      </c>
      <c r="AR20" s="5" t="n">
        <v>1</v>
      </c>
      <c r="BC20" s="5" t="e">
        <f aca="false">MatchData[cheval scored crossings]*5</f>
        <v>#VALUE!</v>
      </c>
      <c r="BD20" s="5" t="e">
        <f aca="false">MatchData[moat scored crosings]*5</f>
        <v>#VALUE!</v>
      </c>
      <c r="BE20" s="5" t="e">
        <f aca="false">MatchData[ramparts scored crossings]*5</f>
        <v>#VALUE!</v>
      </c>
      <c r="BF20" s="5" t="e">
        <f aca="false">MatchData[drawbridge scored crossings]*5</f>
        <v>#VALUE!</v>
      </c>
      <c r="BG20" s="5" t="e">
        <f aca="false">MatchData[sally port scored crossings]*5</f>
        <v>#VALUE!</v>
      </c>
      <c r="BH20" s="5" t="e">
        <f aca="false">MatchData[rock wall scored crossings]*5</f>
        <v>#VALUE!</v>
      </c>
      <c r="BI20" s="5" t="e">
        <f aca="false">MatchData[rough terrain scored crossings]*5</f>
        <v>#VALUE!</v>
      </c>
      <c r="BJ20" s="5" t="e">
        <f aca="false">MatchData[low bar scored crossings]*5</f>
        <v>#VALUE!</v>
      </c>
      <c r="BK20" s="5" t="e">
        <f aca="false">SUM(MatchData[[#this row],[low bar teleop crossings]:[rough terrain scored crossings]])</f>
        <v>#VALUE!</v>
      </c>
      <c r="BL20" s="5" t="e">
        <f aca="false">IFERROR(IF(OR(MatchData[[#this row],[challenge flag]],MatchData[[#this row],[climb flag]]),1,0),0)</f>
        <v>#VALUE!</v>
      </c>
      <c r="BM20" s="5" t="e">
        <f aca="false">MatchData[auto high goals]*10+MatchData[teleop high goals]*5</f>
        <v>#VALUE!</v>
      </c>
      <c r="BN20" s="5" t="e">
        <f aca="false">MatchData[auto low goals]*5+MatchData[teleop low goals]*2</f>
        <v>#VALUE!</v>
      </c>
      <c r="BO20" s="5" t="e">
        <f aca="false">MatchData[high goal score]+MatchData[low goal score]</f>
        <v>#VALUE!</v>
      </c>
      <c r="BP20" s="5" t="e">
        <f aca="false">MatchData[teleop high goals]+MatchData[teleop low goals]</f>
        <v>#VALUE!</v>
      </c>
      <c r="BQ20" s="5" t="e">
        <f aca="false">MatchData[[#this row],[auto reach flag]]*2+SUM(MatchData[[#this row],[portcullis auto crossings]:[low bar auto crossings]])*10+MatchData[[#this row],[auto low goals]]*5+MatchData[auto high goals]*10</f>
        <v>#VALUE!</v>
      </c>
      <c r="BR20" s="5" t="e">
        <f aca="false">SUM(MatchData[[#this row],[cheval teleop crossing score]:[low bar teleop crossing score]])</f>
        <v>#VALUE!</v>
      </c>
      <c r="BS20" s="5" t="e">
        <f aca="false">SUMIF(MatchData[team],MatchData[[#this row],[team]],MatchData[total auto score])/MatchData[match count]</f>
        <v>#VALUE!</v>
      </c>
      <c r="BT20" s="5" t="e">
        <f aca="false">MatchData[challenge flag]*5</f>
        <v>#VALUE!</v>
      </c>
      <c r="BU20" s="5" t="e">
        <f aca="false">MatchData[climb flag]*15</f>
        <v>#VALUE!</v>
      </c>
      <c r="BV20" s="5" t="e">
        <f aca="false">SUM(MatchData[[#this row],[total goal score]],MatchData[[#this row],[crossing score]],MatchData[[#this row],[challenge score]],MatchData[[#this row],[climb score]],MatchData[[#this row],[total auto score]])</f>
        <v>#VALUE!</v>
      </c>
      <c r="BW20" s="16" t="e">
        <f aca="false">ROUND(SUMIF(MatchData[team],MatchData[[#this row],[team]],MatchData[teleop low goals])/COUNTIF(MatchData[team],MatchData[[#this row],[team]]),2)</f>
        <v>#VALUE!</v>
      </c>
      <c r="BX20" s="16" t="e">
        <f aca="false">ROUND(SUMIF(MatchData[team],MatchData[[#this row],[team]],MatchData[teleop high goals])/COUNTIF(MatchData[team],MatchData[[#this row],[team]]),2)</f>
        <v>#VALUE!</v>
      </c>
      <c r="BY20" s="16" t="e">
        <f aca="false">COUNTIF(MatchData[team],MatchData[[#this row],[team]])</f>
        <v>#VALUE!</v>
      </c>
      <c r="BZ20" s="16" t="e">
        <f aca="false">SUMIF(MatchData[team],MatchData[[#this row],[team]],MatchData[portcullis available])</f>
        <v>#VALUE!</v>
      </c>
      <c r="CA20" s="16" t="e">
        <f aca="false">SUMIF(MatchData[team],MatchData[[#this row],[team]],MatchData[cheval available])</f>
        <v>#VALUE!</v>
      </c>
      <c r="CB20" s="16" t="e">
        <f aca="false">SUMIF(MatchData[team],MatchData[[#this row],[team]],MatchData[moat available])</f>
        <v>#VALUE!</v>
      </c>
      <c r="CC20" s="16" t="e">
        <f aca="false">SUMIF(MatchData[team],MatchData[[#this row],[team]],MatchData[ramparts available])</f>
        <v>#VALUE!</v>
      </c>
      <c r="CD20" s="16" t="e">
        <f aca="false">SUMIF(MatchData[team],MatchData[[#this row],[team]],MatchData[drawbridge available])</f>
        <v>#VALUE!</v>
      </c>
      <c r="CE20" s="16" t="e">
        <f aca="false">SUMIF(MatchData[team],MatchData[[#this row],[team]],MatchData[sally port available])</f>
        <v>#VALUE!</v>
      </c>
      <c r="CF20" s="16" t="e">
        <f aca="false">SUMIF(MatchData[team],MatchData[[#this row],[team]],MatchData[rock wall available])</f>
        <v>#VALUE!</v>
      </c>
      <c r="CG20" s="16" t="e">
        <f aca="false">SUMIF(MatchData[team],MatchData[[#this row],[team]],MatchData[rough terrain available])</f>
        <v>#VALUE!</v>
      </c>
      <c r="CH20" s="16" t="e">
        <f aca="false">SUMIF(MatchData[team],MatchData[[#this row],[team]],MatchData[low bar available])</f>
        <v>#VALUE!</v>
      </c>
      <c r="CI20" s="16" t="e">
        <f aca="false">SUMIF(MatchData[team],MatchData[[#this row],[team]],MatchData[portcullis teleop crossings]) + SUMIF(MatchData[team],MatchData[[#this row],[team]],MatchData[portcullis scored crossings])</f>
        <v>#VALUE!</v>
      </c>
      <c r="CJ20" s="16" t="e">
        <f aca="false">SUMIF(MatchData[team],MatchData[[#this row],[team]],MatchData[cheval teleop crossings])+SUMIF(MatchData[team],MatchData[[#this row],[team]],MatchData[cheval scored crossings])</f>
        <v>#VALUE!</v>
      </c>
      <c r="CK20" s="16" t="e">
        <f aca="false">SUMIF(MatchData[team],MatchData[[#this row],[team]],MatchData[moat teleop crossings])+SUMIF(MatchData[team],MatchData[[#this row],[team]],MatchData[moat scored crosings])</f>
        <v>#VALUE!</v>
      </c>
      <c r="CL20" s="16" t="e">
        <f aca="false">SUMIF(MatchData[team],MatchData[[#this row],[team]],MatchData[ramparts teleop crossings])+SUMIF(MatchData[team],MatchData[[#this row],[team]],MatchData[ramparts scored crossings])</f>
        <v>#VALUE!</v>
      </c>
      <c r="CM20" s="16" t="e">
        <f aca="false">SUMIF(MatchData[team],MatchData[[#this row],[team]],MatchData[drawbridge teleop crossings])+SUMIF(MatchData[team],MatchData[[#this row],[team]],MatchData[drawbridge scored crossings])</f>
        <v>#VALUE!</v>
      </c>
      <c r="CN20" s="16" t="e">
        <f aca="false">SUMIF(MatchData[team],MatchData[[#this row],[team]],MatchData[sally port teleop crossings])+SUMIF(MatchData[team],MatchData[[#this row],[team]],MatchData[sally port scored crossings])</f>
        <v>#VALUE!</v>
      </c>
      <c r="CO20" s="16" t="e">
        <f aca="false">SUMIF(MatchData[team],MatchData[[#this row],[team]],MatchData[rock wall teleop crossings])+SUMIF(MatchData[team],MatchData[[#this row],[team]],MatchData[rock wall scored crossings])</f>
        <v>#VALUE!</v>
      </c>
      <c r="CP20" s="16" t="e">
        <f aca="false">SUMIF(MatchData[team],MatchData[[#this row],[team]],MatchData[rough terrain teleop crossings])+SUMIF(MatchData[team],MatchData[[#this row],[team]],MatchData[rough terrain scored crossings])</f>
        <v>#VALUE!</v>
      </c>
      <c r="CQ20" s="16" t="e">
        <f aca="false">SUMIF(MatchData[team],MatchData[[#this row],[team]],MatchData[low bar teleop crossings])+SUMIF(MatchData[team],MatchData[[#this row],[team]],MatchData[low bar scored crossings])</f>
        <v>#VALUE!</v>
      </c>
      <c r="CR20" s="16" t="e">
        <f aca="false">IFERROR(ROUND(MatchData[[#this row],[portcullis sum]]/MatchData[[#this row],[portcullis avail count]],2),0)</f>
        <v>#VALUE!</v>
      </c>
      <c r="CS20" s="5" t="e">
        <f aca="false">IFERROR(ROUND(MatchData[[#this row],[cheval sum]]/MatchData[[#this row],[cheval avail count]],2),0)</f>
        <v>#VALUE!</v>
      </c>
      <c r="CT20" s="5" t="e">
        <f aca="false">IFERROR(ROUND(MatchData[[#this row],[moat sum]]/MatchData[[#this row],[moat avail count]],2),0)</f>
        <v>#VALUE!</v>
      </c>
      <c r="CU20" s="5" t="e">
        <f aca="false">IFERROR(ROUND(MatchData[[#this row],[ramparts sum]]/MatchData[[#this row],[ramparts avail count]],2),0)</f>
        <v>#VALUE!</v>
      </c>
      <c r="CV20" s="5" t="e">
        <f aca="false">IFERROR(ROUND(MatchData[[#this row],[drawbridge sum]]/MatchData[[#this row],[drawbridge avail countigh6]],2),0)</f>
        <v>#VALUE!</v>
      </c>
      <c r="CW20" s="5" t="e">
        <f aca="false">IFERROR(ROUND(MatchData[[#this row],[sally port sum]]/MatchData[[#this row],[sally port avail count]],2),0)</f>
        <v>#VALUE!</v>
      </c>
      <c r="CX20" s="5" t="e">
        <f aca="false">IFERROR(ROUND(MatchData[[#this row],[rock wall sum]]/MatchData[[#this row],[rock wall avail count]],2),0)</f>
        <v>#VALUE!</v>
      </c>
      <c r="CY20" s="5" t="e">
        <f aca="false">IFERROR(ROUND(MatchData[[#this row],[rough terrain sum]]/MatchData[[#this row],[rough terrain avail count]],2),0)</f>
        <v>#VALUE!</v>
      </c>
      <c r="CZ20" s="5" t="e">
        <f aca="false">IFERROR(ROUND(MatchData[[#this row],[low bar sum]]/MatchData[[#this row],[low bar avail count]],2),0)</f>
        <v>#VALUE!</v>
      </c>
      <c r="DA20" s="5" t="e">
        <f aca="false">SUM(MatchData[[#this row],[cheval sum]:[low bar sum]])/MatchData[match count]</f>
        <v>#VALUE!</v>
      </c>
      <c r="DB20" s="16" t="n">
        <f aca="false">MAX(IF(C$2:C$74=C20,BP$2:BP$74))</f>
        <v>-1.79769313486232E+308</v>
      </c>
      <c r="DC20" s="16" t="e">
        <f aca="false">AVERAGEIF(MatchData[team],MatchData[[#this row],[team]],MatchData[total score])</f>
        <v>#VALUE!</v>
      </c>
      <c r="DD20" s="16" t="e">
        <f aca="false">ROUND(AVERAGEIF(MatchData[team],MatchData[team],MatchData[climb or challenge flag]),2)</f>
        <v>#VALUE!</v>
      </c>
    </row>
    <row r="21" customFormat="false" ht="14.5" hidden="false" customHeight="false" outlineLevel="0" collapsed="false">
      <c r="A21" s="13" t="s">
        <v>108</v>
      </c>
      <c r="B21" s="14" t="n">
        <v>4</v>
      </c>
      <c r="C21" s="15" t="n">
        <v>2811</v>
      </c>
      <c r="D21" s="5" t="s">
        <v>109</v>
      </c>
      <c r="E21" s="5" t="s">
        <v>110</v>
      </c>
      <c r="F21" s="5"/>
      <c r="H21" s="5"/>
      <c r="J21" s="5" t="n">
        <v>1</v>
      </c>
      <c r="K21" s="5"/>
      <c r="L21" s="5" t="n">
        <v>1</v>
      </c>
      <c r="M21" s="5"/>
      <c r="N21" s="5" t="n">
        <v>1</v>
      </c>
      <c r="O21" s="5"/>
      <c r="P21" s="5" t="n">
        <v>1</v>
      </c>
      <c r="Q21" s="5" t="n">
        <v>1</v>
      </c>
      <c r="R21" s="0"/>
      <c r="T21" s="0"/>
      <c r="V21" s="0"/>
      <c r="W21" s="0"/>
      <c r="X21" s="0"/>
      <c r="AR21" s="5" t="n">
        <v>2</v>
      </c>
      <c r="AZ21" s="5" t="n">
        <v>1</v>
      </c>
      <c r="BC21" s="5" t="e">
        <f aca="false">MatchData[cheval scored crossings]*5</f>
        <v>#VALUE!</v>
      </c>
      <c r="BD21" s="5" t="e">
        <f aca="false">MatchData[moat scored crosings]*5</f>
        <v>#VALUE!</v>
      </c>
      <c r="BE21" s="5" t="e">
        <f aca="false">MatchData[ramparts scored crossings]*5</f>
        <v>#VALUE!</v>
      </c>
      <c r="BF21" s="5" t="e">
        <f aca="false">MatchData[drawbridge scored crossings]*5</f>
        <v>#VALUE!</v>
      </c>
      <c r="BG21" s="5" t="e">
        <f aca="false">MatchData[sally port scored crossings]*5</f>
        <v>#VALUE!</v>
      </c>
      <c r="BH21" s="5" t="e">
        <f aca="false">MatchData[rock wall scored crossings]*5</f>
        <v>#VALUE!</v>
      </c>
      <c r="BI21" s="5" t="e">
        <f aca="false">MatchData[rough terrain scored crossings]*5</f>
        <v>#VALUE!</v>
      </c>
      <c r="BJ21" s="5" t="e">
        <f aca="false">MatchData[low bar scored crossings]*5</f>
        <v>#VALUE!</v>
      </c>
      <c r="BK21" s="5" t="e">
        <f aca="false">SUM(MatchData[[#this row],[low bar teleop crossings]:[rough terrain scored crossings]])</f>
        <v>#VALUE!</v>
      </c>
      <c r="BL21" s="5" t="e">
        <f aca="false">IFERROR(IF(OR(MatchData[[#this row],[challenge flag]],MatchData[[#this row],[climb flag]]),1,0),0)</f>
        <v>#VALUE!</v>
      </c>
      <c r="BM21" s="5" t="e">
        <f aca="false">MatchData[auto high goals]*10+MatchData[teleop high goals]*5</f>
        <v>#VALUE!</v>
      </c>
      <c r="BN21" s="5" t="e">
        <f aca="false">MatchData[auto low goals]*5+MatchData[teleop low goals]*2</f>
        <v>#VALUE!</v>
      </c>
      <c r="BO21" s="5" t="e">
        <f aca="false">MatchData[high goal score]+MatchData[low goal score]</f>
        <v>#VALUE!</v>
      </c>
      <c r="BP21" s="5" t="e">
        <f aca="false">MatchData[teleop high goals]+MatchData[teleop low goals]</f>
        <v>#VALUE!</v>
      </c>
      <c r="BQ21" s="5" t="e">
        <f aca="false">MatchData[[#this row],[auto reach flag]]*2+SUM(MatchData[[#this row],[portcullis auto crossings]:[low bar auto crossings]])*10+MatchData[[#this row],[auto low goals]]*5+MatchData[auto high goals]*10</f>
        <v>#VALUE!</v>
      </c>
      <c r="BR21" s="5" t="e">
        <f aca="false">SUM(MatchData[[#this row],[cheval teleop crossing score]:[low bar teleop crossing score]])</f>
        <v>#VALUE!</v>
      </c>
      <c r="BS21" s="5" t="e">
        <f aca="false">SUMIF(MatchData[team],MatchData[[#this row],[team]],MatchData[total auto score])/MatchData[match count]</f>
        <v>#VALUE!</v>
      </c>
      <c r="BT21" s="5" t="e">
        <f aca="false">MatchData[challenge flag]*5</f>
        <v>#VALUE!</v>
      </c>
      <c r="BU21" s="5" t="e">
        <f aca="false">MatchData[climb flag]*15</f>
        <v>#VALUE!</v>
      </c>
      <c r="BV21" s="5" t="e">
        <f aca="false">SUM(MatchData[[#this row],[total goal score]],MatchData[[#this row],[crossing score]],MatchData[[#this row],[challenge score]],MatchData[[#this row],[climb score]],MatchData[[#this row],[total auto score]])</f>
        <v>#VALUE!</v>
      </c>
      <c r="BW21" s="16" t="e">
        <f aca="false">ROUND(SUMIF(MatchData[team],MatchData[[#this row],[team]],MatchData[teleop low goals])/COUNTIF(MatchData[team],MatchData[[#this row],[team]]),2)</f>
        <v>#VALUE!</v>
      </c>
      <c r="BX21" s="16" t="e">
        <f aca="false">ROUND(SUMIF(MatchData[team],MatchData[[#this row],[team]],MatchData[teleop high goals])/COUNTIF(MatchData[team],MatchData[[#this row],[team]]),2)</f>
        <v>#VALUE!</v>
      </c>
      <c r="BY21" s="16" t="e">
        <f aca="false">COUNTIF(MatchData[team],MatchData[[#this row],[team]])</f>
        <v>#VALUE!</v>
      </c>
      <c r="BZ21" s="16" t="e">
        <f aca="false">SUMIF(MatchData[team],MatchData[[#this row],[team]],MatchData[portcullis available])</f>
        <v>#VALUE!</v>
      </c>
      <c r="CA21" s="16" t="e">
        <f aca="false">SUMIF(MatchData[team],MatchData[[#this row],[team]],MatchData[cheval available])</f>
        <v>#VALUE!</v>
      </c>
      <c r="CB21" s="16" t="e">
        <f aca="false">SUMIF(MatchData[team],MatchData[[#this row],[team]],MatchData[moat available])</f>
        <v>#VALUE!</v>
      </c>
      <c r="CC21" s="16" t="e">
        <f aca="false">SUMIF(MatchData[team],MatchData[[#this row],[team]],MatchData[ramparts available])</f>
        <v>#VALUE!</v>
      </c>
      <c r="CD21" s="16" t="e">
        <f aca="false">SUMIF(MatchData[team],MatchData[[#this row],[team]],MatchData[drawbridge available])</f>
        <v>#VALUE!</v>
      </c>
      <c r="CE21" s="16" t="e">
        <f aca="false">SUMIF(MatchData[team],MatchData[[#this row],[team]],MatchData[sally port available])</f>
        <v>#VALUE!</v>
      </c>
      <c r="CF21" s="16" t="e">
        <f aca="false">SUMIF(MatchData[team],MatchData[[#this row],[team]],MatchData[rock wall available])</f>
        <v>#VALUE!</v>
      </c>
      <c r="CG21" s="16" t="e">
        <f aca="false">SUMIF(MatchData[team],MatchData[[#this row],[team]],MatchData[rough terrain available])</f>
        <v>#VALUE!</v>
      </c>
      <c r="CH21" s="16" t="e">
        <f aca="false">SUMIF(MatchData[team],MatchData[[#this row],[team]],MatchData[low bar available])</f>
        <v>#VALUE!</v>
      </c>
      <c r="CI21" s="16" t="e">
        <f aca="false">SUMIF(MatchData[team],MatchData[[#this row],[team]],MatchData[portcullis teleop crossings]:MatchData[portcullis scored crossings])</f>
        <v>#VALUE!</v>
      </c>
      <c r="CJ21" s="16" t="e">
        <f aca="false">SUMIF(MatchData[team],MatchData[[#this row],[team]],MatchData[cheval teleop crossings])+SUMIF(MatchData[team],MatchData[[#this row],[team]],MatchData[cheval scored crossings])</f>
        <v>#VALUE!</v>
      </c>
      <c r="CK21" s="16" t="e">
        <f aca="false">SUMIF(MatchData[team],MatchData[[#this row],[team]],MatchData[moat teleop crossings])+SUMIF(MatchData[team],MatchData[[#this row],[team]],MatchData[moat scored crosings])</f>
        <v>#VALUE!</v>
      </c>
      <c r="CL21" s="16" t="e">
        <f aca="false">SUMIF(MatchData[team],MatchData[[#this row],[team]],MatchData[ramparts teleop crossings])+SUMIF(MatchData[team],MatchData[[#this row],[team]],MatchData[ramparts scored crossings])</f>
        <v>#VALUE!</v>
      </c>
      <c r="CM21" s="16" t="e">
        <f aca="false">SUMIF(MatchData[team],MatchData[[#this row],[team]],MatchData[drawbridge teleop crossings])+SUMIF(MatchData[team],MatchData[[#this row],[team]],MatchData[drawbridge scored crossings])</f>
        <v>#VALUE!</v>
      </c>
      <c r="CN21" s="16" t="e">
        <f aca="false">SUMIF(MatchData[team],MatchData[[#this row],[team]],MatchData[sally port teleop crossings])+SUMIF(MatchData[team],MatchData[[#this row],[team]],MatchData[sally port scored crossings])</f>
        <v>#VALUE!</v>
      </c>
      <c r="CO21" s="16" t="e">
        <f aca="false">SUMIF(MatchData[team],MatchData[[#this row],[team]],MatchData[rock wall teleop crossings])+SUMIF(MatchData[team],MatchData[[#this row],[team]],MatchData[rock wall scored crossings])</f>
        <v>#VALUE!</v>
      </c>
      <c r="CP21" s="16" t="e">
        <f aca="false">SUMIF(MatchData[team],MatchData[[#this row],[team]],MatchData[rough terrain teleop crossings])+SUMIF(MatchData[team],MatchData[[#this row],[team]],MatchData[rough terrain scored crossings])</f>
        <v>#VALUE!</v>
      </c>
      <c r="CQ21" s="16" t="e">
        <f aca="false">SUMIF(MatchData[team],MatchData[[#this row],[team]],MatchData[low bar teleop crossings])+SUMIF(MatchData[team],MatchData[[#this row],[team]],MatchData[low bar scored crossings])</f>
        <v>#VALUE!</v>
      </c>
      <c r="CR21" s="16" t="e">
        <f aca="false">IFERROR(ROUND(MatchData[[#this row],[portcullis sum]]/MatchData[[#this row],[portcullis avail count]],2),0)</f>
        <v>#VALUE!</v>
      </c>
      <c r="CS21" s="5" t="e">
        <f aca="false">IFERROR(ROUND(MatchData[[#this row],[cheval sum]]/MatchData[[#this row],[cheval avail count]],2),0)</f>
        <v>#VALUE!</v>
      </c>
      <c r="CT21" s="5" t="e">
        <f aca="false">IFERROR(ROUND(MatchData[[#this row],[moat sum]]/MatchData[[#this row],[moat avail count]],2),0)</f>
        <v>#VALUE!</v>
      </c>
      <c r="CU21" s="5" t="e">
        <f aca="false">IFERROR(ROUND(MatchData[[#this row],[ramparts sum]]/MatchData[[#this row],[ramparts avail count]],2),0)</f>
        <v>#VALUE!</v>
      </c>
      <c r="CV21" s="5" t="e">
        <f aca="false">IFERROR(ROUND(MatchData[[#this row],[drawbridge sum]]/MatchData[[#this row],[drawbridge avail countigh6]],2),0)</f>
        <v>#VALUE!</v>
      </c>
      <c r="CW21" s="5" t="e">
        <f aca="false">IFERROR(ROUND(MatchData[[#this row],[sally port sum]]/MatchData[[#this row],[sally port avail count]],2),0)</f>
        <v>#VALUE!</v>
      </c>
      <c r="CX21" s="5" t="e">
        <f aca="false">IFERROR(ROUND(MatchData[[#this row],[rock wall sum]]/MatchData[[#this row],[rock wall avail count]],2),0)</f>
        <v>#VALUE!</v>
      </c>
      <c r="CY21" s="5" t="e">
        <f aca="false">IFERROR(ROUND(MatchData[[#this row],[rough terrain sum]]/MatchData[[#this row],[rough terrain avail count]],2),0)</f>
        <v>#VALUE!</v>
      </c>
      <c r="CZ21" s="5" t="e">
        <f aca="false">IFERROR(ROUND(MatchData[[#this row],[low bar sum]]/MatchData[[#this row],[low bar avail count]],2),0)</f>
        <v>#VALUE!</v>
      </c>
      <c r="DA21" s="5" t="e">
        <f aca="false">SUM(MatchData[[#this row],[cheval sum]:[low bar sum]])/MatchData[match count]</f>
        <v>#VALUE!</v>
      </c>
      <c r="DB21" s="16" t="n">
        <f aca="false">MAX(IF(C$2:C$74=C21,BP$2:BP$74))</f>
        <v>-1.79769313486232E+308</v>
      </c>
      <c r="DC21" s="16" t="e">
        <f aca="false">AVERAGEIF(MatchData[team],MatchData[[#this row],[team]],MatchData[total score])</f>
        <v>#VALUE!</v>
      </c>
      <c r="DD21" s="16" t="e">
        <f aca="false">ROUND(AVERAGEIF(MatchData[team],MatchData[team],MatchData[climb or challenge flag]),2)</f>
        <v>#VALUE!</v>
      </c>
    </row>
    <row r="22" customFormat="false" ht="14.5" hidden="false" customHeight="false" outlineLevel="0" collapsed="false">
      <c r="A22" s="17" t="s">
        <v>108</v>
      </c>
      <c r="B22" s="14" t="n">
        <v>4</v>
      </c>
      <c r="C22" s="15" t="n">
        <v>5977</v>
      </c>
      <c r="D22" s="5" t="s">
        <v>109</v>
      </c>
      <c r="E22" s="5" t="s">
        <v>117</v>
      </c>
      <c r="F22" s="5"/>
      <c r="H22" s="5"/>
      <c r="J22" s="5" t="n">
        <v>1</v>
      </c>
      <c r="K22" s="5"/>
      <c r="L22" s="5" t="n">
        <v>1</v>
      </c>
      <c r="M22" s="5"/>
      <c r="N22" s="5" t="n">
        <v>1</v>
      </c>
      <c r="O22" s="5"/>
      <c r="P22" s="5" t="n">
        <v>1</v>
      </c>
      <c r="Q22" s="5" t="n">
        <v>1</v>
      </c>
      <c r="R22" s="0"/>
      <c r="T22" s="0"/>
      <c r="V22" s="0"/>
      <c r="W22" s="0"/>
      <c r="X22" s="0"/>
      <c r="AZ22" s="5" t="n">
        <v>1</v>
      </c>
      <c r="BC22" s="5" t="e">
        <f aca="false">MatchData[cheval scored crossings]*5</f>
        <v>#VALUE!</v>
      </c>
      <c r="BD22" s="5" t="e">
        <f aca="false">MatchData[moat scored crosings]*5</f>
        <v>#VALUE!</v>
      </c>
      <c r="BE22" s="5" t="e">
        <f aca="false">MatchData[ramparts scored crossings]*5</f>
        <v>#VALUE!</v>
      </c>
      <c r="BF22" s="5" t="e">
        <f aca="false">MatchData[drawbridge scored crossings]*5</f>
        <v>#VALUE!</v>
      </c>
      <c r="BG22" s="5" t="e">
        <f aca="false">MatchData[sally port scored crossings]*5</f>
        <v>#VALUE!</v>
      </c>
      <c r="BH22" s="5" t="e">
        <f aca="false">MatchData[rock wall scored crossings]*5</f>
        <v>#VALUE!</v>
      </c>
      <c r="BI22" s="5" t="e">
        <f aca="false">MatchData[rough terrain scored crossings]*5</f>
        <v>#VALUE!</v>
      </c>
      <c r="BJ22" s="5" t="e">
        <f aca="false">MatchData[low bar scored crossings]*5</f>
        <v>#VALUE!</v>
      </c>
      <c r="BK22" s="5" t="e">
        <f aca="false">SUM(MatchData[[#this row],[low bar teleop crossings]:[rough terrain scored crossings]])</f>
        <v>#VALUE!</v>
      </c>
      <c r="BL22" s="5" t="e">
        <f aca="false">IFERROR(IF(OR(MatchData[[#this row],[challenge flag]],MatchData[[#this row],[climb flag]]),1,0),0)</f>
        <v>#VALUE!</v>
      </c>
      <c r="BM22" s="5" t="e">
        <f aca="false">MatchData[auto high goals]*10+MatchData[teleop high goals]*5</f>
        <v>#VALUE!</v>
      </c>
      <c r="BN22" s="5" t="e">
        <f aca="false">MatchData[auto low goals]*5+MatchData[teleop low goals]*2</f>
        <v>#VALUE!</v>
      </c>
      <c r="BO22" s="5" t="e">
        <f aca="false">MatchData[high goal score]+MatchData[low goal score]</f>
        <v>#VALUE!</v>
      </c>
      <c r="BP22" s="5" t="e">
        <f aca="false">MatchData[teleop high goals]+MatchData[teleop low goals]</f>
        <v>#VALUE!</v>
      </c>
      <c r="BQ22" s="5" t="e">
        <f aca="false">MatchData[[#this row],[auto reach flag]]*2+SUM(MatchData[[#this row],[portcullis auto crossings]:[low bar auto crossings]])*10+MatchData[[#this row],[auto low goals]]*5+MatchData[auto high goals]*10</f>
        <v>#VALUE!</v>
      </c>
      <c r="BR22" s="5" t="e">
        <f aca="false">SUM(MatchData[[#this row],[cheval teleop crossing score]:[low bar teleop crossing score]])</f>
        <v>#VALUE!</v>
      </c>
      <c r="BS22" s="5" t="e">
        <f aca="false">SUMIF(MatchData[team],MatchData[[#this row],[team]],MatchData[total auto score])/MatchData[match count]</f>
        <v>#VALUE!</v>
      </c>
      <c r="BT22" s="5" t="e">
        <f aca="false">MatchData[challenge flag]*5</f>
        <v>#VALUE!</v>
      </c>
      <c r="BU22" s="5" t="e">
        <f aca="false">MatchData[climb flag]*15</f>
        <v>#VALUE!</v>
      </c>
      <c r="BV22" s="5" t="e">
        <f aca="false">SUM(MatchData[[#this row],[total goal score]],MatchData[[#this row],[crossing score]],MatchData[[#this row],[challenge score]],MatchData[[#this row],[climb score]],MatchData[[#this row],[total auto score]])</f>
        <v>#VALUE!</v>
      </c>
      <c r="BW22" s="16" t="e">
        <f aca="false">ROUND(SUMIF(MatchData[team],MatchData[[#this row],[team]],MatchData[teleop low goals])/COUNTIF(MatchData[team],MatchData[[#this row],[team]]),2)</f>
        <v>#VALUE!</v>
      </c>
      <c r="BX22" s="16" t="e">
        <f aca="false">ROUND(SUMIF(MatchData[team],MatchData[[#this row],[team]],MatchData[teleop high goals])/COUNTIF(MatchData[team],MatchData[[#this row],[team]]),2)</f>
        <v>#VALUE!</v>
      </c>
      <c r="BY22" s="16" t="e">
        <f aca="false">COUNTIF(MatchData[team],MatchData[[#this row],[team]])</f>
        <v>#VALUE!</v>
      </c>
      <c r="BZ22" s="16" t="e">
        <f aca="false">SUMIF(MatchData[team],MatchData[[#this row],[team]],MatchData[portcullis available])</f>
        <v>#VALUE!</v>
      </c>
      <c r="CA22" s="16" t="e">
        <f aca="false">SUMIF(MatchData[team],MatchData[[#this row],[team]],MatchData[cheval available])</f>
        <v>#VALUE!</v>
      </c>
      <c r="CB22" s="16" t="e">
        <f aca="false">SUMIF(MatchData[team],MatchData[[#this row],[team]],MatchData[moat available])</f>
        <v>#VALUE!</v>
      </c>
      <c r="CC22" s="16" t="e">
        <f aca="false">SUMIF(MatchData[team],MatchData[[#this row],[team]],MatchData[ramparts available])</f>
        <v>#VALUE!</v>
      </c>
      <c r="CD22" s="16" t="e">
        <f aca="false">SUMIF(MatchData[team],MatchData[[#this row],[team]],MatchData[drawbridge available])</f>
        <v>#VALUE!</v>
      </c>
      <c r="CE22" s="16" t="e">
        <f aca="false">SUMIF(MatchData[team],MatchData[[#this row],[team]],MatchData[sally port available])</f>
        <v>#VALUE!</v>
      </c>
      <c r="CF22" s="16" t="e">
        <f aca="false">SUMIF(MatchData[team],MatchData[[#this row],[team]],MatchData[rock wall available])</f>
        <v>#VALUE!</v>
      </c>
      <c r="CG22" s="16" t="e">
        <f aca="false">SUMIF(MatchData[team],MatchData[[#this row],[team]],MatchData[rough terrain available])</f>
        <v>#VALUE!</v>
      </c>
      <c r="CH22" s="16" t="e">
        <f aca="false">SUMIF(MatchData[team],MatchData[[#this row],[team]],MatchData[low bar available])</f>
        <v>#VALUE!</v>
      </c>
      <c r="CI22" s="16" t="e">
        <f aca="false">SUMIF(MatchData[team],MatchData[[#this row],[team]],MatchData[portcullis teleop crossings]:MatchData[portcullis scored crossings])</f>
        <v>#VALUE!</v>
      </c>
      <c r="CJ22" s="16" t="e">
        <f aca="false">SUMIF(MatchData[team],MatchData[[#this row],[team]],MatchData[cheval teleop crossings])+SUMIF(MatchData[team],MatchData[[#this row],[team]],MatchData[cheval scored crossings])</f>
        <v>#VALUE!</v>
      </c>
      <c r="CK22" s="16" t="e">
        <f aca="false">SUMIF(MatchData[team],MatchData[[#this row],[team]],MatchData[moat teleop crossings])+SUMIF(MatchData[team],MatchData[[#this row],[team]],MatchData[moat scored crosings])</f>
        <v>#VALUE!</v>
      </c>
      <c r="CL22" s="16" t="e">
        <f aca="false">SUMIF(MatchData[team],MatchData[[#this row],[team]],MatchData[ramparts teleop crossings])+SUMIF(MatchData[team],MatchData[[#this row],[team]],MatchData[ramparts scored crossings])</f>
        <v>#VALUE!</v>
      </c>
      <c r="CM22" s="16" t="e">
        <f aca="false">SUMIF(MatchData[team],MatchData[[#this row],[team]],MatchData[drawbridge teleop crossings])+SUMIF(MatchData[team],MatchData[[#this row],[team]],MatchData[drawbridge scored crossings])</f>
        <v>#VALUE!</v>
      </c>
      <c r="CN22" s="16" t="e">
        <f aca="false">SUMIF(MatchData[team],MatchData[[#this row],[team]],MatchData[sally port teleop crossings])+SUMIF(MatchData[team],MatchData[[#this row],[team]],MatchData[sally port scored crossings])</f>
        <v>#VALUE!</v>
      </c>
      <c r="CO22" s="16" t="e">
        <f aca="false">SUMIF(MatchData[team],MatchData[[#this row],[team]],MatchData[rock wall teleop crossings])+SUMIF(MatchData[team],MatchData[[#this row],[team]],MatchData[rock wall scored crossings])</f>
        <v>#VALUE!</v>
      </c>
      <c r="CP22" s="16" t="e">
        <f aca="false">SUMIF(MatchData[team],MatchData[[#this row],[team]],MatchData[rough terrain teleop crossings])+SUMIF(MatchData[team],MatchData[[#this row],[team]],MatchData[rough terrain scored crossings])</f>
        <v>#VALUE!</v>
      </c>
      <c r="CQ22" s="16" t="e">
        <f aca="false">SUMIF(MatchData[team],MatchData[[#this row],[team]],MatchData[low bar teleop crossings])+SUMIF(MatchData[team],MatchData[[#this row],[team]],MatchData[low bar scored crossings])</f>
        <v>#VALUE!</v>
      </c>
      <c r="CR22" s="16" t="e">
        <f aca="false">IFERROR(ROUND(MatchData[[#this row],[portcullis sum]]/MatchData[[#this row],[portcullis avail count]],2),0)</f>
        <v>#VALUE!</v>
      </c>
      <c r="CS22" s="5" t="e">
        <f aca="false">IFERROR(ROUND(MatchData[[#this row],[cheval sum]]/MatchData[[#this row],[cheval avail count]],2),0)</f>
        <v>#VALUE!</v>
      </c>
      <c r="CT22" s="5" t="e">
        <f aca="false">IFERROR(ROUND(MatchData[[#this row],[moat sum]]/MatchData[[#this row],[moat avail count]],2),0)</f>
        <v>#VALUE!</v>
      </c>
      <c r="CU22" s="5" t="e">
        <f aca="false">IFERROR(ROUND(MatchData[[#this row],[ramparts sum]]/MatchData[[#this row],[ramparts avail count]],2),0)</f>
        <v>#VALUE!</v>
      </c>
      <c r="CV22" s="5" t="e">
        <f aca="false">IFERROR(ROUND(MatchData[[#this row],[drawbridge sum]]/MatchData[[#this row],[drawbridge avail countigh6]],2),0)</f>
        <v>#VALUE!</v>
      </c>
      <c r="CW22" s="5" t="e">
        <f aca="false">IFERROR(ROUND(MatchData[[#this row],[sally port sum]]/MatchData[[#this row],[sally port avail count]],2),0)</f>
        <v>#VALUE!</v>
      </c>
      <c r="CX22" s="5" t="e">
        <f aca="false">IFERROR(ROUND(MatchData[[#this row],[rock wall sum]]/MatchData[[#this row],[rock wall avail count]],2),0)</f>
        <v>#VALUE!</v>
      </c>
      <c r="CY22" s="5" t="e">
        <f aca="false">IFERROR(ROUND(MatchData[[#this row],[rough terrain sum]]/MatchData[[#this row],[rough terrain avail count]],2),0)</f>
        <v>#VALUE!</v>
      </c>
      <c r="CZ22" s="5" t="e">
        <f aca="false">IFERROR(ROUND(MatchData[[#this row],[low bar sum]]/MatchData[[#this row],[low bar avail count]],2),0)</f>
        <v>#VALUE!</v>
      </c>
      <c r="DA22" s="5" t="e">
        <f aca="false">SUM(MatchData[[#this row],[cheval sum]:[low bar sum]])/MatchData[match count]</f>
        <v>#VALUE!</v>
      </c>
      <c r="DB22" s="16" t="n">
        <f aca="false">MAX(IF(C$2:C$74=C22,BP$2:BP$74))</f>
        <v>-1.79769313486232E+308</v>
      </c>
      <c r="DC22" s="16" t="e">
        <f aca="false">AVERAGEIF(MatchData[team],MatchData[[#this row],[team]],MatchData[total score])</f>
        <v>#VALUE!</v>
      </c>
      <c r="DD22" s="16" t="e">
        <f aca="false">ROUND(AVERAGEIF(MatchData[team],MatchData[team],MatchData[climb or challenge flag]),2)</f>
        <v>#VALUE!</v>
      </c>
    </row>
    <row r="23" customFormat="false" ht="14.5" hidden="false" customHeight="false" outlineLevel="0" collapsed="false">
      <c r="A23" s="13" t="s">
        <v>108</v>
      </c>
      <c r="B23" s="14" t="n">
        <v>4</v>
      </c>
      <c r="C23" s="15" t="n">
        <v>3674</v>
      </c>
      <c r="D23" s="5" t="s">
        <v>113</v>
      </c>
      <c r="E23" s="5" t="s">
        <v>111</v>
      </c>
      <c r="F23" s="5"/>
      <c r="H23" s="5"/>
      <c r="J23" s="5" t="n">
        <v>1</v>
      </c>
      <c r="K23" s="5"/>
      <c r="L23" s="5" t="n">
        <v>1</v>
      </c>
      <c r="M23" s="5" t="n">
        <v>1</v>
      </c>
      <c r="N23" s="5" t="n">
        <v>1</v>
      </c>
      <c r="O23" s="5" t="n">
        <v>1</v>
      </c>
      <c r="P23" s="5"/>
      <c r="Q23" s="5"/>
      <c r="R23" s="0"/>
      <c r="T23" s="0"/>
      <c r="V23" s="0"/>
      <c r="W23" s="0"/>
      <c r="X23" s="0"/>
      <c r="AD23" s="5" t="n">
        <v>1</v>
      </c>
      <c r="AJ23" s="5" t="n">
        <v>1</v>
      </c>
      <c r="AZ23" s="5" t="n">
        <v>1</v>
      </c>
      <c r="BC23" s="5" t="e">
        <f aca="false">MatchData[cheval scored crossings]*5</f>
        <v>#VALUE!</v>
      </c>
      <c r="BD23" s="5" t="e">
        <f aca="false">MatchData[moat scored crosings]*5</f>
        <v>#VALUE!</v>
      </c>
      <c r="BE23" s="5" t="e">
        <f aca="false">MatchData[ramparts scored crossings]*5</f>
        <v>#VALUE!</v>
      </c>
      <c r="BF23" s="5" t="e">
        <f aca="false">MatchData[drawbridge scored crossings]*5</f>
        <v>#VALUE!</v>
      </c>
      <c r="BG23" s="5" t="e">
        <f aca="false">MatchData[sally port scored crossings]*5</f>
        <v>#VALUE!</v>
      </c>
      <c r="BH23" s="5" t="e">
        <f aca="false">MatchData[rock wall scored crossings]*5</f>
        <v>#VALUE!</v>
      </c>
      <c r="BI23" s="5" t="e">
        <f aca="false">MatchData[rough terrain scored crossings]*5</f>
        <v>#VALUE!</v>
      </c>
      <c r="BJ23" s="5" t="e">
        <f aca="false">MatchData[low bar scored crossings]*5</f>
        <v>#VALUE!</v>
      </c>
      <c r="BK23" s="5" t="e">
        <f aca="false">SUM(MatchData[[#this row],[low bar teleop crossings]:[rough terrain scored crossings]])</f>
        <v>#VALUE!</v>
      </c>
      <c r="BL23" s="5" t="e">
        <f aca="false">IFERROR(IF(OR(MatchData[[#this row],[challenge flag]],MatchData[[#this row],[climb flag]]),1,0),0)</f>
        <v>#VALUE!</v>
      </c>
      <c r="BM23" s="5" t="e">
        <f aca="false">MatchData[auto high goals]*10+MatchData[teleop high goals]*5</f>
        <v>#VALUE!</v>
      </c>
      <c r="BN23" s="5" t="e">
        <f aca="false">MatchData[auto low goals]*5+MatchData[teleop low goals]*2</f>
        <v>#VALUE!</v>
      </c>
      <c r="BO23" s="5" t="e">
        <f aca="false">MatchData[high goal score]+MatchData[low goal score]</f>
        <v>#VALUE!</v>
      </c>
      <c r="BP23" s="5" t="e">
        <f aca="false">MatchData[teleop high goals]+MatchData[teleop low goals]</f>
        <v>#VALUE!</v>
      </c>
      <c r="BQ23" s="5" t="e">
        <f aca="false">MatchData[[#this row],[auto reach flag]]*2+SUM(MatchData[[#this row],[portcullis auto crossings]:[low bar auto crossings]])*10+MatchData[[#this row],[auto low goals]]*5+MatchData[auto high goals]*10</f>
        <v>#VALUE!</v>
      </c>
      <c r="BR23" s="5" t="e">
        <f aca="false">SUM(MatchData[[#this row],[cheval teleop crossing score]:[low bar teleop crossing score]])</f>
        <v>#VALUE!</v>
      </c>
      <c r="BS23" s="5" t="e">
        <f aca="false">SUMIF(MatchData[team],MatchData[[#this row],[team]],MatchData[total auto score])/MatchData[match count]</f>
        <v>#VALUE!</v>
      </c>
      <c r="BT23" s="5" t="e">
        <f aca="false">MatchData[challenge flag]*5</f>
        <v>#VALUE!</v>
      </c>
      <c r="BU23" s="5" t="e">
        <f aca="false">MatchData[climb flag]*15</f>
        <v>#VALUE!</v>
      </c>
      <c r="BV23" s="5" t="e">
        <f aca="false">SUM(MatchData[[#this row],[total goal score]],MatchData[[#this row],[crossing score]],MatchData[[#this row],[challenge score]],MatchData[[#this row],[climb score]],MatchData[[#this row],[total auto score]])</f>
        <v>#VALUE!</v>
      </c>
      <c r="BW23" s="16" t="e">
        <f aca="false">ROUND(SUMIF(MatchData[team],MatchData[[#this row],[team]],MatchData[teleop low goals])/COUNTIF(MatchData[team],MatchData[[#this row],[team]]),2)</f>
        <v>#VALUE!</v>
      </c>
      <c r="BX23" s="16" t="e">
        <f aca="false">ROUND(SUMIF(MatchData[team],MatchData[[#this row],[team]],MatchData[teleop high goals])/COUNTIF(MatchData[team],MatchData[[#this row],[team]]),2)</f>
        <v>#VALUE!</v>
      </c>
      <c r="BY23" s="16" t="e">
        <f aca="false">COUNTIF(MatchData[team],MatchData[[#this row],[team]])</f>
        <v>#VALUE!</v>
      </c>
      <c r="BZ23" s="16" t="e">
        <f aca="false">SUMIF(MatchData[team],MatchData[[#this row],[team]],MatchData[portcullis available])</f>
        <v>#VALUE!</v>
      </c>
      <c r="CA23" s="16" t="e">
        <f aca="false">SUMIF(MatchData[team],MatchData[[#this row],[team]],MatchData[cheval available])</f>
        <v>#VALUE!</v>
      </c>
      <c r="CB23" s="16" t="e">
        <f aca="false">SUMIF(MatchData[team],MatchData[[#this row],[team]],MatchData[moat available])</f>
        <v>#VALUE!</v>
      </c>
      <c r="CC23" s="16" t="e">
        <f aca="false">SUMIF(MatchData[team],MatchData[[#this row],[team]],MatchData[ramparts available])</f>
        <v>#VALUE!</v>
      </c>
      <c r="CD23" s="16" t="e">
        <f aca="false">SUMIF(MatchData[team],MatchData[[#this row],[team]],MatchData[drawbridge available])</f>
        <v>#VALUE!</v>
      </c>
      <c r="CE23" s="16" t="e">
        <f aca="false">SUMIF(MatchData[team],MatchData[[#this row],[team]],MatchData[sally port available])</f>
        <v>#VALUE!</v>
      </c>
      <c r="CF23" s="16" t="e">
        <f aca="false">SUMIF(MatchData[team],MatchData[[#this row],[team]],MatchData[rock wall available])</f>
        <v>#VALUE!</v>
      </c>
      <c r="CG23" s="16" t="e">
        <f aca="false">SUMIF(MatchData[team],MatchData[[#this row],[team]],MatchData[rough terrain available])</f>
        <v>#VALUE!</v>
      </c>
      <c r="CH23" s="16" t="e">
        <f aca="false">SUMIF(MatchData[team],MatchData[[#this row],[team]],MatchData[low bar available])</f>
        <v>#VALUE!</v>
      </c>
      <c r="CI23" s="16" t="e">
        <f aca="false">SUMIF(MatchData[team],MatchData[[#this row],[team]],MatchData[portcullis teleop crossings]:MatchData[portcullis scored crossings])</f>
        <v>#VALUE!</v>
      </c>
      <c r="CJ23" s="16" t="e">
        <f aca="false">SUMIF(MatchData[team],MatchData[[#this row],[team]],MatchData[cheval teleop crossings])+SUMIF(MatchData[team],MatchData[[#this row],[team]],MatchData[cheval scored crossings])</f>
        <v>#VALUE!</v>
      </c>
      <c r="CK23" s="16" t="e">
        <f aca="false">SUMIF(MatchData[team],MatchData[[#this row],[team]],MatchData[moat teleop crossings])+SUMIF(MatchData[team],MatchData[[#this row],[team]],MatchData[moat scored crosings])</f>
        <v>#VALUE!</v>
      </c>
      <c r="CL23" s="16" t="e">
        <f aca="false">SUMIF(MatchData[team],MatchData[[#this row],[team]],MatchData[ramparts teleop crossings])+SUMIF(MatchData[team],MatchData[[#this row],[team]],MatchData[ramparts scored crossings])</f>
        <v>#VALUE!</v>
      </c>
      <c r="CM23" s="16" t="e">
        <f aca="false">SUMIF(MatchData[team],MatchData[[#this row],[team]],MatchData[drawbridge teleop crossings])+SUMIF(MatchData[team],MatchData[[#this row],[team]],MatchData[drawbridge scored crossings])</f>
        <v>#VALUE!</v>
      </c>
      <c r="CN23" s="16" t="e">
        <f aca="false">SUMIF(MatchData[team],MatchData[[#this row],[team]],MatchData[sally port teleop crossings])+SUMIF(MatchData[team],MatchData[[#this row],[team]],MatchData[sally port scored crossings])</f>
        <v>#VALUE!</v>
      </c>
      <c r="CO23" s="16" t="e">
        <f aca="false">SUMIF(MatchData[team],MatchData[[#this row],[team]],MatchData[rock wall teleop crossings])+SUMIF(MatchData[team],MatchData[[#this row],[team]],MatchData[rock wall scored crossings])</f>
        <v>#VALUE!</v>
      </c>
      <c r="CP23" s="16" t="e">
        <f aca="false">SUMIF(MatchData[team],MatchData[[#this row],[team]],MatchData[rough terrain teleop crossings])+SUMIF(MatchData[team],MatchData[[#this row],[team]],MatchData[rough terrain scored crossings])</f>
        <v>#VALUE!</v>
      </c>
      <c r="CQ23" s="16" t="e">
        <f aca="false">SUMIF(MatchData[team],MatchData[[#this row],[team]],MatchData[low bar teleop crossings])+SUMIF(MatchData[team],MatchData[[#this row],[team]],MatchData[low bar scored crossings])</f>
        <v>#VALUE!</v>
      </c>
      <c r="CR23" s="16" t="e">
        <f aca="false">IFERROR(ROUND(MatchData[[#this row],[portcullis sum]]/MatchData[[#this row],[portcullis avail count]],2),0)</f>
        <v>#VALUE!</v>
      </c>
      <c r="CS23" s="5" t="e">
        <f aca="false">IFERROR(ROUND(MatchData[[#this row],[cheval sum]]/MatchData[[#this row],[cheval avail count]],2),0)</f>
        <v>#VALUE!</v>
      </c>
      <c r="CT23" s="5" t="e">
        <f aca="false">IFERROR(ROUND(MatchData[[#this row],[moat sum]]/MatchData[[#this row],[moat avail count]],2),0)</f>
        <v>#VALUE!</v>
      </c>
      <c r="CU23" s="5" t="e">
        <f aca="false">IFERROR(ROUND(MatchData[[#this row],[ramparts sum]]/MatchData[[#this row],[ramparts avail count]],2),0)</f>
        <v>#VALUE!</v>
      </c>
      <c r="CV23" s="5" t="e">
        <f aca="false">IFERROR(ROUND(MatchData[[#this row],[drawbridge sum]]/MatchData[[#this row],[drawbridge avail countigh6]],2),0)</f>
        <v>#VALUE!</v>
      </c>
      <c r="CW23" s="5" t="e">
        <f aca="false">IFERROR(ROUND(MatchData[[#this row],[sally port sum]]/MatchData[[#this row],[sally port avail count]],2),0)</f>
        <v>#VALUE!</v>
      </c>
      <c r="CX23" s="5" t="e">
        <f aca="false">IFERROR(ROUND(MatchData[[#this row],[rock wall sum]]/MatchData[[#this row],[rock wall avail count]],2),0)</f>
        <v>#VALUE!</v>
      </c>
      <c r="CY23" s="5" t="e">
        <f aca="false">IFERROR(ROUND(MatchData[[#this row],[rough terrain sum]]/MatchData[[#this row],[rough terrain avail count]],2),0)</f>
        <v>#VALUE!</v>
      </c>
      <c r="CZ23" s="5" t="e">
        <f aca="false">IFERROR(ROUND(MatchData[[#this row],[low bar sum]]/MatchData[[#this row],[low bar avail count]],2),0)</f>
        <v>#VALUE!</v>
      </c>
      <c r="DA23" s="5" t="e">
        <f aca="false">SUM(MatchData[[#this row],[cheval sum]:[low bar sum]])/MatchData[match count]</f>
        <v>#VALUE!</v>
      </c>
      <c r="DB23" s="16" t="n">
        <f aca="false">MAX(IF(C$2:C$74=C23,BP$2:BP$74))</f>
        <v>-1.79769313486232E+308</v>
      </c>
      <c r="DC23" s="16" t="e">
        <f aca="false">AVERAGEIF(MatchData[team],MatchData[[#this row],[team]],MatchData[total score])</f>
        <v>#VALUE!</v>
      </c>
      <c r="DD23" s="16" t="e">
        <f aca="false">ROUND(AVERAGEIF(MatchData[team],MatchData[team],MatchData[climb or challenge flag]),2)</f>
        <v>#VALUE!</v>
      </c>
    </row>
    <row r="24" customFormat="false" ht="14.5" hidden="false" customHeight="false" outlineLevel="0" collapsed="false">
      <c r="A24" s="17" t="s">
        <v>108</v>
      </c>
      <c r="B24" s="18" t="n">
        <v>4</v>
      </c>
      <c r="C24" s="15" t="n">
        <v>4488</v>
      </c>
      <c r="D24" s="5" t="s">
        <v>113</v>
      </c>
      <c r="E24" s="5" t="s">
        <v>119</v>
      </c>
      <c r="F24" s="5" t="n">
        <v>2</v>
      </c>
      <c r="H24" s="5"/>
      <c r="J24" s="5" t="n">
        <v>1</v>
      </c>
      <c r="K24" s="5"/>
      <c r="L24" s="5" t="n">
        <v>1</v>
      </c>
      <c r="M24" s="5" t="n">
        <v>1</v>
      </c>
      <c r="N24" s="5"/>
      <c r="O24" s="5" t="n">
        <v>1</v>
      </c>
      <c r="P24" s="5"/>
      <c r="Q24" s="5" t="n">
        <v>1</v>
      </c>
      <c r="R24" s="0"/>
      <c r="T24" s="0"/>
      <c r="V24" s="5" t="n">
        <v>1</v>
      </c>
      <c r="W24" s="0"/>
      <c r="X24" s="0"/>
      <c r="AD24" s="5" t="n">
        <v>1</v>
      </c>
      <c r="AH24" s="5" t="n">
        <v>1</v>
      </c>
      <c r="AJ24" s="5" t="n">
        <v>2</v>
      </c>
      <c r="AR24" s="5" t="n">
        <v>2</v>
      </c>
      <c r="AW24" s="5" t="n">
        <v>1</v>
      </c>
      <c r="BC24" s="5" t="e">
        <f aca="false">MatchData[cheval scored crossings]*5</f>
        <v>#VALUE!</v>
      </c>
      <c r="BD24" s="5" t="e">
        <f aca="false">MatchData[moat scored crosings]*5</f>
        <v>#VALUE!</v>
      </c>
      <c r="BE24" s="5" t="e">
        <f aca="false">MatchData[ramparts scored crossings]*5</f>
        <v>#VALUE!</v>
      </c>
      <c r="BF24" s="5" t="e">
        <f aca="false">MatchData[drawbridge scored crossings]*5</f>
        <v>#VALUE!</v>
      </c>
      <c r="BG24" s="5" t="e">
        <f aca="false">MatchData[sally port scored crossings]*5</f>
        <v>#VALUE!</v>
      </c>
      <c r="BH24" s="5" t="e">
        <f aca="false">MatchData[rock wall scored crossings]*5</f>
        <v>#VALUE!</v>
      </c>
      <c r="BI24" s="5" t="e">
        <f aca="false">MatchData[rough terrain scored crossings]*5</f>
        <v>#VALUE!</v>
      </c>
      <c r="BJ24" s="5" t="e">
        <f aca="false">MatchData[low bar scored crossings]*5</f>
        <v>#VALUE!</v>
      </c>
      <c r="BK24" s="5" t="e">
        <f aca="false">SUM(MatchData[[#this row],[low bar teleop crossings]:[rough terrain scored crossings]])</f>
        <v>#VALUE!</v>
      </c>
      <c r="BL24" s="5" t="e">
        <f aca="false">IFERROR(IF(OR(MatchData[[#this row],[challenge flag]],MatchData[[#this row],[climb flag]]),1,0),0)</f>
        <v>#VALUE!</v>
      </c>
      <c r="BM24" s="5" t="e">
        <f aca="false">MatchData[auto high goals]*10+MatchData[teleop high goals]*5</f>
        <v>#VALUE!</v>
      </c>
      <c r="BN24" s="5" t="e">
        <f aca="false">MatchData[auto low goals]*5+MatchData[teleop low goals]*2</f>
        <v>#VALUE!</v>
      </c>
      <c r="BO24" s="5" t="e">
        <f aca="false">MatchData[high goal score]+MatchData[low goal score]</f>
        <v>#VALUE!</v>
      </c>
      <c r="BP24" s="5" t="e">
        <f aca="false">MatchData[teleop high goals]+MatchData[teleop low goals]</f>
        <v>#VALUE!</v>
      </c>
      <c r="BQ24" s="5" t="e">
        <f aca="false">MatchData[[#this row],[auto reach flag]]*2+SUM(MatchData[[#this row],[portcullis auto crossings]:[low bar auto crossings]])*10+MatchData[[#this row],[auto low goals]]*5+MatchData[auto high goals]*10</f>
        <v>#VALUE!</v>
      </c>
      <c r="BR24" s="5" t="e">
        <f aca="false">SUM(MatchData[[#this row],[cheval teleop crossing score]:[low bar teleop crossing score]])</f>
        <v>#VALUE!</v>
      </c>
      <c r="BS24" s="5" t="e">
        <f aca="false">SUMIF(MatchData[team],MatchData[[#this row],[team]],MatchData[total auto score])/MatchData[match count]</f>
        <v>#VALUE!</v>
      </c>
      <c r="BT24" s="5" t="e">
        <f aca="false">MatchData[challenge flag]*5</f>
        <v>#VALUE!</v>
      </c>
      <c r="BU24" s="5" t="e">
        <f aca="false">MatchData[climb flag]*15</f>
        <v>#VALUE!</v>
      </c>
      <c r="BV24" s="5" t="e">
        <f aca="false">SUM(MatchData[[#this row],[total goal score]],MatchData[[#this row],[crossing score]],MatchData[[#this row],[challenge score]],MatchData[[#this row],[climb score]],MatchData[[#this row],[total auto score]])</f>
        <v>#VALUE!</v>
      </c>
      <c r="BW24" s="16" t="e">
        <f aca="false">ROUND(SUMIF(MatchData[team],MatchData[[#this row],[team]],MatchData[teleop low goals])/COUNTIF(MatchData[team],MatchData[[#this row],[team]]),2)</f>
        <v>#VALUE!</v>
      </c>
      <c r="BX24" s="16" t="e">
        <f aca="false">ROUND(SUMIF(MatchData[team],MatchData[[#this row],[team]],MatchData[teleop high goals])/COUNTIF(MatchData[team],MatchData[[#this row],[team]]),2)</f>
        <v>#VALUE!</v>
      </c>
      <c r="BY24" s="16" t="e">
        <f aca="false">COUNTIF(MatchData[team],MatchData[[#this row],[team]])</f>
        <v>#VALUE!</v>
      </c>
      <c r="BZ24" s="16" t="e">
        <f aca="false">SUMIF(MatchData[team],MatchData[[#this row],[team]],MatchData[portcullis available])</f>
        <v>#VALUE!</v>
      </c>
      <c r="CA24" s="16" t="e">
        <f aca="false">SUMIF(MatchData[team],MatchData[[#this row],[team]],MatchData[cheval available])</f>
        <v>#VALUE!</v>
      </c>
      <c r="CB24" s="16" t="e">
        <f aca="false">SUMIF(MatchData[team],MatchData[[#this row],[team]],MatchData[moat available])</f>
        <v>#VALUE!</v>
      </c>
      <c r="CC24" s="16" t="e">
        <f aca="false">SUMIF(MatchData[team],MatchData[[#this row],[team]],MatchData[ramparts available])</f>
        <v>#VALUE!</v>
      </c>
      <c r="CD24" s="16" t="e">
        <f aca="false">SUMIF(MatchData[team],MatchData[[#this row],[team]],MatchData[drawbridge available])</f>
        <v>#VALUE!</v>
      </c>
      <c r="CE24" s="16" t="e">
        <f aca="false">SUMIF(MatchData[team],MatchData[[#this row],[team]],MatchData[sally port available])</f>
        <v>#VALUE!</v>
      </c>
      <c r="CF24" s="16" t="e">
        <f aca="false">SUMIF(MatchData[team],MatchData[[#this row],[team]],MatchData[rock wall available])</f>
        <v>#VALUE!</v>
      </c>
      <c r="CG24" s="16" t="e">
        <f aca="false">SUMIF(MatchData[team],MatchData[[#this row],[team]],MatchData[rough terrain available])</f>
        <v>#VALUE!</v>
      </c>
      <c r="CH24" s="16" t="e">
        <f aca="false">SUMIF(MatchData[team],MatchData[[#this row],[team]],MatchData[low bar available])</f>
        <v>#VALUE!</v>
      </c>
      <c r="CI24" s="16" t="e">
        <f aca="false">SUMIF(MatchData[team],MatchData[[#this row],[team]],MatchData[portcullis teleop crossings]:MatchData[portcullis scored crossings])</f>
        <v>#VALUE!</v>
      </c>
      <c r="CJ24" s="16" t="e">
        <f aca="false">SUMIF(MatchData[team],MatchData[[#this row],[team]],MatchData[cheval teleop crossings])+SUMIF(MatchData[team],MatchData[[#this row],[team]],MatchData[cheval scored crossings])</f>
        <v>#VALUE!</v>
      </c>
      <c r="CK24" s="16" t="e">
        <f aca="false">SUMIF(MatchData[team],MatchData[[#this row],[team]],MatchData[moat teleop crossings])+SUMIF(MatchData[team],MatchData[[#this row],[team]],MatchData[moat scored crosings])</f>
        <v>#VALUE!</v>
      </c>
      <c r="CL24" s="16" t="e">
        <f aca="false">SUMIF(MatchData[team],MatchData[[#this row],[team]],MatchData[ramparts teleop crossings])+SUMIF(MatchData[team],MatchData[[#this row],[team]],MatchData[ramparts scored crossings])</f>
        <v>#VALUE!</v>
      </c>
      <c r="CM24" s="16" t="e">
        <f aca="false">SUMIF(MatchData[team],MatchData[[#this row],[team]],MatchData[drawbridge teleop crossings])+SUMIF(MatchData[team],MatchData[[#this row],[team]],MatchData[drawbridge scored crossings])</f>
        <v>#VALUE!</v>
      </c>
      <c r="CN24" s="16" t="e">
        <f aca="false">SUMIF(MatchData[team],MatchData[[#this row],[team]],MatchData[sally port teleop crossings])+SUMIF(MatchData[team],MatchData[[#this row],[team]],MatchData[sally port scored crossings])</f>
        <v>#VALUE!</v>
      </c>
      <c r="CO24" s="16" t="e">
        <f aca="false">SUMIF(MatchData[team],MatchData[[#this row],[team]],MatchData[rock wall teleop crossings])+SUMIF(MatchData[team],MatchData[[#this row],[team]],MatchData[rock wall scored crossings])</f>
        <v>#VALUE!</v>
      </c>
      <c r="CP24" s="16" t="e">
        <f aca="false">SUMIF(MatchData[team],MatchData[[#this row],[team]],MatchData[rough terrain teleop crossings])+SUMIF(MatchData[team],MatchData[[#this row],[team]],MatchData[rough terrain scored crossings])</f>
        <v>#VALUE!</v>
      </c>
      <c r="CQ24" s="16" t="e">
        <f aca="false">SUMIF(MatchData[team],MatchData[[#this row],[team]],MatchData[low bar teleop crossings])+SUMIF(MatchData[team],MatchData[[#this row],[team]],MatchData[low bar scored crossings])</f>
        <v>#VALUE!</v>
      </c>
      <c r="CR24" s="16" t="e">
        <f aca="false">IFERROR(ROUND(MatchData[[#this row],[portcullis sum]]/MatchData[[#this row],[portcullis avail count]],2),0)</f>
        <v>#VALUE!</v>
      </c>
      <c r="CS24" s="5" t="e">
        <f aca="false">IFERROR(ROUND(MatchData[[#this row],[cheval sum]]/MatchData[[#this row],[cheval avail count]],2),0)</f>
        <v>#VALUE!</v>
      </c>
      <c r="CT24" s="5" t="e">
        <f aca="false">IFERROR(ROUND(MatchData[[#this row],[moat sum]]/MatchData[[#this row],[moat avail count]],2),0)</f>
        <v>#VALUE!</v>
      </c>
      <c r="CU24" s="5" t="e">
        <f aca="false">IFERROR(ROUND(MatchData[[#this row],[ramparts sum]]/MatchData[[#this row],[ramparts avail count]],2),0)</f>
        <v>#VALUE!</v>
      </c>
      <c r="CV24" s="5" t="e">
        <f aca="false">IFERROR(ROUND(MatchData[[#this row],[drawbridge sum]]/MatchData[[#this row],[drawbridge avail countigh6]],2),0)</f>
        <v>#VALUE!</v>
      </c>
      <c r="CW24" s="5" t="e">
        <f aca="false">IFERROR(ROUND(MatchData[[#this row],[sally port sum]]/MatchData[[#this row],[sally port avail count]],2),0)</f>
        <v>#VALUE!</v>
      </c>
      <c r="CX24" s="5" t="e">
        <f aca="false">IFERROR(ROUND(MatchData[[#this row],[rock wall sum]]/MatchData[[#this row],[rock wall avail count]],2),0)</f>
        <v>#VALUE!</v>
      </c>
      <c r="CY24" s="5" t="e">
        <f aca="false">IFERROR(ROUND(MatchData[[#this row],[rough terrain sum]]/MatchData[[#this row],[rough terrain avail count]],2),0)</f>
        <v>#VALUE!</v>
      </c>
      <c r="CZ24" s="5" t="e">
        <f aca="false">IFERROR(ROUND(MatchData[[#this row],[low bar sum]]/MatchData[[#this row],[low bar avail count]],2),0)</f>
        <v>#VALUE!</v>
      </c>
      <c r="DA24" s="5" t="e">
        <f aca="false">SUM(MatchData[[#this row],[cheval sum]:[low bar sum]])/MatchData[match count]</f>
        <v>#VALUE!</v>
      </c>
      <c r="DB24" s="16" t="n">
        <f aca="false">MAX(IF(C$2:C$74=C24,BP$2:BP$74))</f>
        <v>-1.79769313486232E+308</v>
      </c>
      <c r="DC24" s="16" t="e">
        <f aca="false">AVERAGEIF(MatchData[team],MatchData[[#this row],[team]],MatchData[total score])</f>
        <v>#VALUE!</v>
      </c>
      <c r="DD24" s="16" t="e">
        <f aca="false">ROUND(AVERAGEIF(MatchData[team],MatchData[team],MatchData[climb or challenge flag]),2)</f>
        <v>#VALUE!</v>
      </c>
    </row>
    <row r="25" customFormat="false" ht="17.25" hidden="false" customHeight="true" outlineLevel="0" collapsed="false">
      <c r="A25" s="17" t="s">
        <v>108</v>
      </c>
      <c r="B25" s="14" t="n">
        <v>4</v>
      </c>
      <c r="C25" s="15" t="n">
        <v>5970</v>
      </c>
      <c r="D25" s="5" t="s">
        <v>113</v>
      </c>
      <c r="E25" s="5" t="s">
        <v>118</v>
      </c>
      <c r="H25" s="5"/>
      <c r="J25" s="5" t="n">
        <v>1</v>
      </c>
      <c r="K25" s="5"/>
      <c r="L25" s="5" t="n">
        <v>1</v>
      </c>
      <c r="M25" s="5" t="n">
        <v>1</v>
      </c>
      <c r="N25" s="5"/>
      <c r="O25" s="5" t="n">
        <v>1</v>
      </c>
      <c r="P25" s="5"/>
      <c r="Q25" s="5" t="n">
        <v>1</v>
      </c>
      <c r="R25" s="0"/>
      <c r="T25" s="0"/>
      <c r="V25" s="0"/>
      <c r="W25" s="0"/>
      <c r="X25" s="0"/>
      <c r="AB25" s="5" t="n">
        <v>1</v>
      </c>
      <c r="AC25" s="5" t="n">
        <v>2</v>
      </c>
      <c r="AD25" s="5" t="n">
        <v>2</v>
      </c>
      <c r="AZ25" s="5" t="n">
        <v>1</v>
      </c>
      <c r="BC25" s="5" t="e">
        <f aca="false">MatchData[cheval scored crossings]*5</f>
        <v>#VALUE!</v>
      </c>
      <c r="BD25" s="5" t="e">
        <f aca="false">MatchData[moat scored crosings]*5</f>
        <v>#VALUE!</v>
      </c>
      <c r="BE25" s="5" t="e">
        <f aca="false">MatchData[ramparts scored crossings]*5</f>
        <v>#VALUE!</v>
      </c>
      <c r="BF25" s="5" t="e">
        <f aca="false">MatchData[drawbridge scored crossings]*5</f>
        <v>#VALUE!</v>
      </c>
      <c r="BG25" s="5" t="e">
        <f aca="false">MatchData[sally port scored crossings]*5</f>
        <v>#VALUE!</v>
      </c>
      <c r="BH25" s="5" t="e">
        <f aca="false">MatchData[rock wall scored crossings]*5</f>
        <v>#VALUE!</v>
      </c>
      <c r="BI25" s="5" t="e">
        <f aca="false">MatchData[rough terrain scored crossings]*5</f>
        <v>#VALUE!</v>
      </c>
      <c r="BJ25" s="5" t="e">
        <f aca="false">MatchData[low bar scored crossings]*5</f>
        <v>#VALUE!</v>
      </c>
      <c r="BK25" s="5" t="e">
        <f aca="false">SUM(MatchData[[#this row],[low bar teleop crossings]:[rough terrain scored crossings]])</f>
        <v>#VALUE!</v>
      </c>
      <c r="BL25" s="5" t="e">
        <f aca="false">IFERROR(IF(OR(MatchData[[#this row],[challenge flag]],MatchData[[#this row],[climb flag]]),1,0),0)</f>
        <v>#VALUE!</v>
      </c>
      <c r="BM25" s="5" t="e">
        <f aca="false">MatchData[auto high goals]*10+MatchData[teleop high goals]*5</f>
        <v>#VALUE!</v>
      </c>
      <c r="BN25" s="5" t="e">
        <f aca="false">MatchData[auto low goals]*5+MatchData[teleop low goals]*2</f>
        <v>#VALUE!</v>
      </c>
      <c r="BO25" s="5" t="e">
        <f aca="false">MatchData[high goal score]+MatchData[low goal score]</f>
        <v>#VALUE!</v>
      </c>
      <c r="BP25" s="5" t="e">
        <f aca="false">MatchData[teleop high goals]+MatchData[teleop low goals]</f>
        <v>#VALUE!</v>
      </c>
      <c r="BQ25" s="5" t="e">
        <f aca="false">MatchData[[#this row],[auto reach flag]]*2+SUM(MatchData[[#this row],[portcullis auto crossings]:[low bar auto crossings]])*10+MatchData[[#this row],[auto low goals]]*5+MatchData[auto high goals]*10</f>
        <v>#VALUE!</v>
      </c>
      <c r="BR25" s="5" t="e">
        <f aca="false">SUM(MatchData[[#this row],[cheval teleop crossing score]:[low bar teleop crossing score]])</f>
        <v>#VALUE!</v>
      </c>
      <c r="BS25" s="5" t="e">
        <f aca="false">SUMIF(MatchData[team],MatchData[[#this row],[team]],MatchData[total auto score])/MatchData[match count]</f>
        <v>#VALUE!</v>
      </c>
      <c r="BT25" s="5" t="e">
        <f aca="false">MatchData[challenge flag]*5</f>
        <v>#VALUE!</v>
      </c>
      <c r="BU25" s="5" t="e">
        <f aca="false">MatchData[climb flag]*15</f>
        <v>#VALUE!</v>
      </c>
      <c r="BV25" s="5" t="e">
        <f aca="false">SUM(MatchData[[#this row],[total goal score]],MatchData[[#this row],[crossing score]],MatchData[[#this row],[challenge score]],MatchData[[#this row],[climb score]],MatchData[[#this row],[total auto score]])</f>
        <v>#VALUE!</v>
      </c>
      <c r="BW25" s="16" t="e">
        <f aca="false">ROUND(SUMIF(MatchData[team],MatchData[[#this row],[team]],MatchData[teleop low goals])/COUNTIF(MatchData[team],MatchData[[#this row],[team]]),2)</f>
        <v>#VALUE!</v>
      </c>
      <c r="BX25" s="16" t="e">
        <f aca="false">ROUND(SUMIF(MatchData[team],MatchData[[#this row],[team]],MatchData[teleop high goals])/COUNTIF(MatchData[team],MatchData[[#this row],[team]]),2)</f>
        <v>#VALUE!</v>
      </c>
      <c r="BY25" s="16" t="e">
        <f aca="false">COUNTIF(MatchData[team],MatchData[[#this row],[team]])</f>
        <v>#VALUE!</v>
      </c>
      <c r="BZ25" s="16" t="e">
        <f aca="false">SUMIF(MatchData[team],MatchData[[#this row],[team]],MatchData[portcullis available])</f>
        <v>#VALUE!</v>
      </c>
      <c r="CA25" s="16" t="e">
        <f aca="false">SUMIF(MatchData[team],MatchData[[#this row],[team]],MatchData[cheval available])</f>
        <v>#VALUE!</v>
      </c>
      <c r="CB25" s="16" t="e">
        <f aca="false">SUMIF(MatchData[team],MatchData[[#this row],[team]],MatchData[moat available])</f>
        <v>#VALUE!</v>
      </c>
      <c r="CC25" s="16" t="e">
        <f aca="false">SUMIF(MatchData[team],MatchData[[#this row],[team]],MatchData[ramparts available])</f>
        <v>#VALUE!</v>
      </c>
      <c r="CD25" s="16" t="e">
        <f aca="false">SUMIF(MatchData[team],MatchData[[#this row],[team]],MatchData[drawbridge available])</f>
        <v>#VALUE!</v>
      </c>
      <c r="CE25" s="16" t="e">
        <f aca="false">SUMIF(MatchData[team],MatchData[[#this row],[team]],MatchData[sally port available])</f>
        <v>#VALUE!</v>
      </c>
      <c r="CF25" s="16" t="e">
        <f aca="false">SUMIF(MatchData[team],MatchData[[#this row],[team]],MatchData[rock wall available])</f>
        <v>#VALUE!</v>
      </c>
      <c r="CG25" s="16" t="e">
        <f aca="false">SUMIF(MatchData[team],MatchData[[#this row],[team]],MatchData[rough terrain available])</f>
        <v>#VALUE!</v>
      </c>
      <c r="CH25" s="16" t="e">
        <f aca="false">SUMIF(MatchData[team],MatchData[[#this row],[team]],MatchData[low bar available])</f>
        <v>#VALUE!</v>
      </c>
      <c r="CI25" s="16" t="e">
        <f aca="false">SUMIF(MatchData[team],MatchData[[#this row],[team]],MatchData[portcullis teleop crossings]:MatchData[portcullis scored crossings])</f>
        <v>#VALUE!</v>
      </c>
      <c r="CJ25" s="16" t="e">
        <f aca="false">SUMIF(MatchData[team],MatchData[[#this row],[team]],MatchData[cheval teleop crossings])+SUMIF(MatchData[team],MatchData[[#this row],[team]],MatchData[cheval scored crossings])</f>
        <v>#VALUE!</v>
      </c>
      <c r="CK25" s="16" t="e">
        <f aca="false">SUMIF(MatchData[team],MatchData[[#this row],[team]],MatchData[moat teleop crossings])+SUMIF(MatchData[team],MatchData[[#this row],[team]],MatchData[moat scored crosings])</f>
        <v>#VALUE!</v>
      </c>
      <c r="CL25" s="16" t="e">
        <f aca="false">SUMIF(MatchData[team],MatchData[[#this row],[team]],MatchData[ramparts teleop crossings])+SUMIF(MatchData[team],MatchData[[#this row],[team]],MatchData[ramparts scored crossings])</f>
        <v>#VALUE!</v>
      </c>
      <c r="CM25" s="16" t="e">
        <f aca="false">SUMIF(MatchData[team],MatchData[[#this row],[team]],MatchData[drawbridge teleop crossings])+SUMIF(MatchData[team],MatchData[[#this row],[team]],MatchData[drawbridge scored crossings])</f>
        <v>#VALUE!</v>
      </c>
      <c r="CN25" s="16" t="e">
        <f aca="false">SUMIF(MatchData[team],MatchData[[#this row],[team]],MatchData[sally port teleop crossings])+SUMIF(MatchData[team],MatchData[[#this row],[team]],MatchData[sally port scored crossings])</f>
        <v>#VALUE!</v>
      </c>
      <c r="CO25" s="16" t="e">
        <f aca="false">SUMIF(MatchData[team],MatchData[[#this row],[team]],MatchData[rock wall teleop crossings])+SUMIF(MatchData[team],MatchData[[#this row],[team]],MatchData[rock wall scored crossings])</f>
        <v>#VALUE!</v>
      </c>
      <c r="CP25" s="16" t="e">
        <f aca="false">SUMIF(MatchData[team],MatchData[[#this row],[team]],MatchData[rough terrain teleop crossings])+SUMIF(MatchData[team],MatchData[[#this row],[team]],MatchData[rough terrain scored crossings])</f>
        <v>#VALUE!</v>
      </c>
      <c r="CQ25" s="16" t="e">
        <f aca="false">SUMIF(MatchData[team],MatchData[[#this row],[team]],MatchData[low bar teleop crossings])+SUMIF(MatchData[team],MatchData[[#this row],[team]],MatchData[low bar scored crossings])</f>
        <v>#VALUE!</v>
      </c>
      <c r="CR25" s="16" t="e">
        <f aca="false">IFERROR(ROUND(MatchData[[#this row],[portcullis sum]]/MatchData[[#this row],[portcullis avail count]],2),0)</f>
        <v>#VALUE!</v>
      </c>
      <c r="CS25" s="5" t="e">
        <f aca="false">IFERROR(ROUND(MatchData[[#this row],[cheval sum]]/MatchData[[#this row],[cheval avail count]],2),0)</f>
        <v>#VALUE!</v>
      </c>
      <c r="CT25" s="5" t="e">
        <f aca="false">IFERROR(ROUND(MatchData[[#this row],[moat sum]]/MatchData[[#this row],[moat avail count]],2),0)</f>
        <v>#VALUE!</v>
      </c>
      <c r="CU25" s="5" t="e">
        <f aca="false">IFERROR(ROUND(MatchData[[#this row],[ramparts sum]]/MatchData[[#this row],[ramparts avail count]],2),0)</f>
        <v>#VALUE!</v>
      </c>
      <c r="CV25" s="5" t="e">
        <f aca="false">IFERROR(ROUND(MatchData[[#this row],[drawbridge sum]]/MatchData[[#this row],[drawbridge avail countigh6]],2),0)</f>
        <v>#VALUE!</v>
      </c>
      <c r="CW25" s="5" t="e">
        <f aca="false">IFERROR(ROUND(MatchData[[#this row],[sally port sum]]/MatchData[[#this row],[sally port avail count]],2),0)</f>
        <v>#VALUE!</v>
      </c>
      <c r="CX25" s="5" t="e">
        <f aca="false">IFERROR(ROUND(MatchData[[#this row],[rock wall sum]]/MatchData[[#this row],[rock wall avail count]],2),0)</f>
        <v>#VALUE!</v>
      </c>
      <c r="CY25" s="5" t="e">
        <f aca="false">IFERROR(ROUND(MatchData[[#this row],[rough terrain sum]]/MatchData[[#this row],[rough terrain avail count]],2),0)</f>
        <v>#VALUE!</v>
      </c>
      <c r="CZ25" s="5" t="e">
        <f aca="false">IFERROR(ROUND(MatchData[[#this row],[low bar sum]]/MatchData[[#this row],[low bar avail count]],2),0)</f>
        <v>#VALUE!</v>
      </c>
      <c r="DA25" s="5" t="e">
        <f aca="false">SUM(MatchData[[#this row],[cheval sum]:[low bar sum]])/MatchData[match count]</f>
        <v>#VALUE!</v>
      </c>
      <c r="DB25" s="16" t="n">
        <f aca="false">MAX(IF(C$2:C$74=C25,BP$2:BP$74))</f>
        <v>-1.79769313486232E+308</v>
      </c>
      <c r="DC25" s="16" t="e">
        <f aca="false">AVERAGEIF(MatchData[team],MatchData[[#this row],[team]],MatchData[total score])</f>
        <v>#VALUE!</v>
      </c>
      <c r="DD25" s="16" t="e">
        <f aca="false">ROUND(AVERAGEIF(MatchData[team],MatchData[team],MatchData[climb or challenge flag]),2)</f>
        <v>#VALUE!</v>
      </c>
    </row>
    <row r="26" customFormat="false" ht="14.5" hidden="false" customHeight="false" outlineLevel="0" collapsed="false">
      <c r="A26" s="13" t="s">
        <v>108</v>
      </c>
      <c r="B26" s="14" t="n">
        <v>5</v>
      </c>
      <c r="C26" s="15" t="n">
        <v>957</v>
      </c>
      <c r="D26" s="5" t="s">
        <v>109</v>
      </c>
      <c r="E26" s="5" t="s">
        <v>120</v>
      </c>
      <c r="H26" s="5"/>
      <c r="J26" s="5" t="n">
        <v>1</v>
      </c>
      <c r="K26" s="5"/>
      <c r="L26" s="5" t="n">
        <v>1</v>
      </c>
      <c r="M26" s="5" t="n">
        <v>1</v>
      </c>
      <c r="N26" s="5"/>
      <c r="O26" s="5" t="n">
        <v>1</v>
      </c>
      <c r="P26" s="5"/>
      <c r="Q26" s="5" t="n">
        <v>1</v>
      </c>
      <c r="R26" s="0"/>
      <c r="T26" s="0"/>
      <c r="V26" s="0"/>
      <c r="W26" s="0"/>
      <c r="X26" s="0"/>
      <c r="BC26" s="5" t="e">
        <f aca="false">MatchData[cheval scored crossings]*5</f>
        <v>#VALUE!</v>
      </c>
      <c r="BD26" s="5" t="e">
        <f aca="false">MatchData[moat scored crosings]*5</f>
        <v>#VALUE!</v>
      </c>
      <c r="BE26" s="5" t="e">
        <f aca="false">MatchData[ramparts scored crossings]*5</f>
        <v>#VALUE!</v>
      </c>
      <c r="BF26" s="5" t="e">
        <f aca="false">MatchData[drawbridge scored crossings]*5</f>
        <v>#VALUE!</v>
      </c>
      <c r="BG26" s="5" t="e">
        <f aca="false">MatchData[sally port scored crossings]*5</f>
        <v>#VALUE!</v>
      </c>
      <c r="BH26" s="5" t="e">
        <f aca="false">MatchData[rock wall scored crossings]*5</f>
        <v>#VALUE!</v>
      </c>
      <c r="BI26" s="5" t="e">
        <f aca="false">MatchData[rough terrain scored crossings]*5</f>
        <v>#VALUE!</v>
      </c>
      <c r="BJ26" s="5" t="e">
        <f aca="false">MatchData[low bar scored crossings]*5</f>
        <v>#VALUE!</v>
      </c>
      <c r="BK26" s="5" t="e">
        <f aca="false">SUM(MatchData[[#this row],[low bar teleop crossings]:[rough terrain scored crossings]])</f>
        <v>#VALUE!</v>
      </c>
      <c r="BL26" s="5" t="e">
        <f aca="false">IFERROR(IF(OR(MatchData[[#this row],[challenge flag]],MatchData[[#this row],[climb flag]]),1,0),0)</f>
        <v>#VALUE!</v>
      </c>
      <c r="BM26" s="5" t="e">
        <f aca="false">MatchData[auto high goals]*10+MatchData[teleop high goals]*5</f>
        <v>#VALUE!</v>
      </c>
      <c r="BN26" s="5" t="e">
        <f aca="false">MatchData[auto low goals]*5+MatchData[teleop low goals]*2</f>
        <v>#VALUE!</v>
      </c>
      <c r="BO26" s="5" t="e">
        <f aca="false">MatchData[high goal score]+MatchData[low goal score]</f>
        <v>#VALUE!</v>
      </c>
      <c r="BP26" s="5" t="e">
        <f aca="false">MatchData[teleop high goals]+MatchData[teleop low goals]</f>
        <v>#VALUE!</v>
      </c>
      <c r="BQ26" s="5" t="e">
        <f aca="false">MatchData[[#this row],[auto reach flag]]*2+SUM(MatchData[[#this row],[portcullis auto crossings]:[low bar auto crossings]])*10+MatchData[[#this row],[auto low goals]]*5+MatchData[auto high goals]*10</f>
        <v>#VALUE!</v>
      </c>
      <c r="BR26" s="5" t="e">
        <f aca="false">SUM(MatchData[[#this row],[cheval teleop crossing score]:[low bar teleop crossing score]])</f>
        <v>#VALUE!</v>
      </c>
      <c r="BS26" s="5" t="e">
        <f aca="false">SUMIF(MatchData[team],MatchData[[#this row],[team]],MatchData[total auto score])/MatchData[match count]</f>
        <v>#VALUE!</v>
      </c>
      <c r="BT26" s="5" t="e">
        <f aca="false">MatchData[challenge flag]*5</f>
        <v>#VALUE!</v>
      </c>
      <c r="BU26" s="5" t="e">
        <f aca="false">MatchData[climb flag]*15</f>
        <v>#VALUE!</v>
      </c>
      <c r="BV26" s="5" t="e">
        <f aca="false">SUM(MatchData[[#this row],[total goal score]],MatchData[[#this row],[crossing score]],MatchData[[#this row],[challenge score]],MatchData[[#this row],[climb score]],MatchData[[#this row],[total auto score]])</f>
        <v>#VALUE!</v>
      </c>
      <c r="BW26" s="16" t="e">
        <f aca="false">ROUND(SUMIF(MatchData[team],MatchData[[#this row],[team]],MatchData[teleop low goals])/COUNTIF(MatchData[team],MatchData[[#this row],[team]]),2)</f>
        <v>#VALUE!</v>
      </c>
      <c r="BX26" s="16" t="e">
        <f aca="false">ROUND(SUMIF(MatchData[team],MatchData[[#this row],[team]],MatchData[teleop high goals])/COUNTIF(MatchData[team],MatchData[[#this row],[team]]),2)</f>
        <v>#VALUE!</v>
      </c>
      <c r="BY26" s="16" t="e">
        <f aca="false">COUNTIF(MatchData[team],MatchData[[#this row],[team]])</f>
        <v>#VALUE!</v>
      </c>
      <c r="BZ26" s="16" t="e">
        <f aca="false">SUMIF(MatchData[team],MatchData[[#this row],[team]],MatchData[portcullis available])</f>
        <v>#VALUE!</v>
      </c>
      <c r="CA26" s="16" t="e">
        <f aca="false">SUMIF(MatchData[team],MatchData[[#this row],[team]],MatchData[cheval available])</f>
        <v>#VALUE!</v>
      </c>
      <c r="CB26" s="16" t="e">
        <f aca="false">SUMIF(MatchData[team],MatchData[[#this row],[team]],MatchData[moat available])</f>
        <v>#VALUE!</v>
      </c>
      <c r="CC26" s="16" t="e">
        <f aca="false">SUMIF(MatchData[team],MatchData[[#this row],[team]],MatchData[ramparts available])</f>
        <v>#VALUE!</v>
      </c>
      <c r="CD26" s="16" t="e">
        <f aca="false">SUMIF(MatchData[team],MatchData[[#this row],[team]],MatchData[drawbridge available])</f>
        <v>#VALUE!</v>
      </c>
      <c r="CE26" s="16" t="e">
        <f aca="false">SUMIF(MatchData[team],MatchData[[#this row],[team]],MatchData[sally port available])</f>
        <v>#VALUE!</v>
      </c>
      <c r="CF26" s="16" t="e">
        <f aca="false">SUMIF(MatchData[team],MatchData[[#this row],[team]],MatchData[rock wall available])</f>
        <v>#VALUE!</v>
      </c>
      <c r="CG26" s="16" t="e">
        <f aca="false">SUMIF(MatchData[team],MatchData[[#this row],[team]],MatchData[rough terrain available])</f>
        <v>#VALUE!</v>
      </c>
      <c r="CH26" s="16" t="e">
        <f aca="false">SUMIF(MatchData[team],MatchData[[#this row],[team]],MatchData[low bar available])</f>
        <v>#VALUE!</v>
      </c>
      <c r="CI26" s="16" t="e">
        <f aca="false">SUMIF(MatchData[team],MatchData[[#this row],[team]],MatchData[portcullis teleop crossings]:MatchData[portcullis scored crossings])</f>
        <v>#VALUE!</v>
      </c>
      <c r="CJ26" s="16" t="e">
        <f aca="false">SUMIF(MatchData[team],MatchData[[#this row],[team]],MatchData[cheval teleop crossings])+SUMIF(MatchData[team],MatchData[[#this row],[team]],MatchData[cheval scored crossings])</f>
        <v>#VALUE!</v>
      </c>
      <c r="CK26" s="16" t="e">
        <f aca="false">SUMIF(MatchData[team],MatchData[[#this row],[team]],MatchData[moat teleop crossings])+SUMIF(MatchData[team],MatchData[[#this row],[team]],MatchData[moat scored crosings])</f>
        <v>#VALUE!</v>
      </c>
      <c r="CL26" s="16" t="e">
        <f aca="false">SUMIF(MatchData[team],MatchData[[#this row],[team]],MatchData[ramparts teleop crossings])+SUMIF(MatchData[team],MatchData[[#this row],[team]],MatchData[ramparts scored crossings])</f>
        <v>#VALUE!</v>
      </c>
      <c r="CM26" s="16" t="e">
        <f aca="false">SUMIF(MatchData[team],MatchData[[#this row],[team]],MatchData[drawbridge teleop crossings])+SUMIF(MatchData[team],MatchData[[#this row],[team]],MatchData[drawbridge scored crossings])</f>
        <v>#VALUE!</v>
      </c>
      <c r="CN26" s="16" t="e">
        <f aca="false">SUMIF(MatchData[team],MatchData[[#this row],[team]],MatchData[sally port teleop crossings])+SUMIF(MatchData[team],MatchData[[#this row],[team]],MatchData[sally port scored crossings])</f>
        <v>#VALUE!</v>
      </c>
      <c r="CO26" s="16" t="e">
        <f aca="false">SUMIF(MatchData[team],MatchData[[#this row],[team]],MatchData[rock wall teleop crossings])+SUMIF(MatchData[team],MatchData[[#this row],[team]],MatchData[rock wall scored crossings])</f>
        <v>#VALUE!</v>
      </c>
      <c r="CP26" s="16" t="e">
        <f aca="false">SUMIF(MatchData[team],MatchData[[#this row],[team]],MatchData[rough terrain teleop crossings])+SUMIF(MatchData[team],MatchData[[#this row],[team]],MatchData[rough terrain scored crossings])</f>
        <v>#VALUE!</v>
      </c>
      <c r="CQ26" s="16" t="e">
        <f aca="false">SUMIF(MatchData[team],MatchData[[#this row],[team]],MatchData[low bar teleop crossings])+SUMIF(MatchData[team],MatchData[[#this row],[team]],MatchData[low bar scored crossings])</f>
        <v>#VALUE!</v>
      </c>
      <c r="CR26" s="16" t="e">
        <f aca="false">IFERROR(ROUND(MatchData[[#this row],[portcullis sum]]/MatchData[[#this row],[portcullis avail count]],2),0)</f>
        <v>#VALUE!</v>
      </c>
      <c r="CS26" s="5" t="e">
        <f aca="false">IFERROR(ROUND(MatchData[[#this row],[cheval sum]]/MatchData[[#this row],[cheval avail count]],2),0)</f>
        <v>#VALUE!</v>
      </c>
      <c r="CT26" s="5" t="e">
        <f aca="false">IFERROR(ROUND(MatchData[[#this row],[moat sum]]/MatchData[[#this row],[moat avail count]],2),0)</f>
        <v>#VALUE!</v>
      </c>
      <c r="CU26" s="5" t="e">
        <f aca="false">IFERROR(ROUND(MatchData[[#this row],[ramparts sum]]/MatchData[[#this row],[ramparts avail count]],2),0)</f>
        <v>#VALUE!</v>
      </c>
      <c r="CV26" s="5" t="e">
        <f aca="false">IFERROR(ROUND(MatchData[[#this row],[drawbridge sum]]/MatchData[[#this row],[drawbridge avail countigh6]],2),0)</f>
        <v>#VALUE!</v>
      </c>
      <c r="CW26" s="5" t="e">
        <f aca="false">IFERROR(ROUND(MatchData[[#this row],[sally port sum]]/MatchData[[#this row],[sally port avail count]],2),0)</f>
        <v>#VALUE!</v>
      </c>
      <c r="CX26" s="5" t="e">
        <f aca="false">IFERROR(ROUND(MatchData[[#this row],[rock wall sum]]/MatchData[[#this row],[rock wall avail count]],2),0)</f>
        <v>#VALUE!</v>
      </c>
      <c r="CY26" s="5" t="e">
        <f aca="false">IFERROR(ROUND(MatchData[[#this row],[rough terrain sum]]/MatchData[[#this row],[rough terrain avail count]],2),0)</f>
        <v>#VALUE!</v>
      </c>
      <c r="CZ26" s="5" t="e">
        <f aca="false">IFERROR(ROUND(MatchData[[#this row],[low bar sum]]/MatchData[[#this row],[low bar avail count]],2),0)</f>
        <v>#VALUE!</v>
      </c>
      <c r="DA26" s="5" t="e">
        <f aca="false">SUM(MatchData[[#this row],[cheval sum]:[low bar sum]])/MatchData[match count]</f>
        <v>#VALUE!</v>
      </c>
      <c r="DB26" s="16" t="n">
        <f aca="false">MAX(IF(C$2:C$74=C26,BP$2:BP$74))</f>
        <v>-1.79769313486232E+308</v>
      </c>
      <c r="DC26" s="16" t="e">
        <f aca="false">AVERAGEIF(MatchData[team],MatchData[[#this row],[team]],MatchData[total score])</f>
        <v>#VALUE!</v>
      </c>
      <c r="DD26" s="16" t="e">
        <f aca="false">ROUND(AVERAGEIF(MatchData[team],MatchData[team],MatchData[climb or challenge flag]),2)</f>
        <v>#VALUE!</v>
      </c>
    </row>
    <row r="27" customFormat="false" ht="14.5" hidden="false" customHeight="false" outlineLevel="0" collapsed="false">
      <c r="A27" s="17" t="s">
        <v>108</v>
      </c>
      <c r="B27" s="18" t="n">
        <v>5</v>
      </c>
      <c r="C27" s="15" t="n">
        <v>4043</v>
      </c>
      <c r="D27" s="5" t="s">
        <v>109</v>
      </c>
      <c r="E27" s="5" t="s">
        <v>121</v>
      </c>
      <c r="H27" s="5"/>
      <c r="I27" s="5" t="n">
        <v>1</v>
      </c>
      <c r="J27" s="5" t="n">
        <v>1</v>
      </c>
      <c r="K27" s="5"/>
      <c r="L27" s="5" t="n">
        <v>1</v>
      </c>
      <c r="M27" s="5" t="n">
        <v>1</v>
      </c>
      <c r="N27" s="5"/>
      <c r="O27" s="5" t="n">
        <v>1</v>
      </c>
      <c r="P27" s="5"/>
      <c r="Q27" s="5" t="n">
        <v>1</v>
      </c>
      <c r="R27" s="0"/>
      <c r="T27" s="0"/>
      <c r="V27" s="0"/>
      <c r="W27" s="0"/>
      <c r="X27" s="0"/>
      <c r="Z27" s="5" t="n">
        <v>1</v>
      </c>
      <c r="AW27" s="5" t="n">
        <v>1</v>
      </c>
      <c r="BC27" s="5" t="e">
        <f aca="false">MatchData[cheval scored crossings]*5</f>
        <v>#VALUE!</v>
      </c>
      <c r="BD27" s="5" t="e">
        <f aca="false">MatchData[moat scored crosings]*5</f>
        <v>#VALUE!</v>
      </c>
      <c r="BE27" s="5" t="e">
        <f aca="false">MatchData[ramparts scored crossings]*5</f>
        <v>#VALUE!</v>
      </c>
      <c r="BF27" s="5" t="e">
        <f aca="false">MatchData[drawbridge scored crossings]*5</f>
        <v>#VALUE!</v>
      </c>
      <c r="BG27" s="5" t="e">
        <f aca="false">MatchData[sally port scored crossings]*5</f>
        <v>#VALUE!</v>
      </c>
      <c r="BH27" s="5" t="e">
        <f aca="false">MatchData[rock wall scored crossings]*5</f>
        <v>#VALUE!</v>
      </c>
      <c r="BI27" s="5" t="e">
        <f aca="false">MatchData[rough terrain scored crossings]*5</f>
        <v>#VALUE!</v>
      </c>
      <c r="BJ27" s="5" t="e">
        <f aca="false">MatchData[low bar scored crossings]*5</f>
        <v>#VALUE!</v>
      </c>
      <c r="BK27" s="5" t="e">
        <f aca="false">SUM(MatchData[[#this row],[low bar teleop crossings]:[rough terrain scored crossings]])</f>
        <v>#VALUE!</v>
      </c>
      <c r="BL27" s="5" t="e">
        <f aca="false">IFERROR(IF(OR(MatchData[[#this row],[challenge flag]],MatchData[[#this row],[climb flag]]),1,0),0)</f>
        <v>#VALUE!</v>
      </c>
      <c r="BM27" s="5" t="e">
        <f aca="false">MatchData[auto high goals]*10+MatchData[teleop high goals]*5</f>
        <v>#VALUE!</v>
      </c>
      <c r="BN27" s="5" t="e">
        <f aca="false">MatchData[auto low goals]*5+MatchData[teleop low goals]*2</f>
        <v>#VALUE!</v>
      </c>
      <c r="BO27" s="5" t="e">
        <f aca="false">MatchData[high goal score]+MatchData[low goal score]</f>
        <v>#VALUE!</v>
      </c>
      <c r="BP27" s="5" t="e">
        <f aca="false">MatchData[teleop high goals]+MatchData[teleop low goals]</f>
        <v>#VALUE!</v>
      </c>
      <c r="BQ27" s="5" t="e">
        <f aca="false">MatchData[[#this row],[auto reach flag]]*2+SUM(MatchData[[#this row],[portcullis auto crossings]:[low bar auto crossings]])*10+MatchData[[#this row],[auto low goals]]*5+MatchData[auto high goals]*10</f>
        <v>#VALUE!</v>
      </c>
      <c r="BR27" s="5" t="e">
        <f aca="false">SUM(MatchData[[#this row],[cheval teleop crossing score]:[low bar teleop crossing score]])</f>
        <v>#VALUE!</v>
      </c>
      <c r="BS27" s="5" t="e">
        <f aca="false">SUMIF(MatchData[team],MatchData[[#this row],[team]],MatchData[total auto score])/MatchData[match count]</f>
        <v>#VALUE!</v>
      </c>
      <c r="BT27" s="5" t="e">
        <f aca="false">MatchData[challenge flag]*5</f>
        <v>#VALUE!</v>
      </c>
      <c r="BU27" s="5" t="e">
        <f aca="false">MatchData[climb flag]*15</f>
        <v>#VALUE!</v>
      </c>
      <c r="BV27" s="5" t="e">
        <f aca="false">SUM(MatchData[[#this row],[total goal score]],MatchData[[#this row],[crossing score]],MatchData[[#this row],[challenge score]],MatchData[[#this row],[climb score]],MatchData[[#this row],[total auto score]])</f>
        <v>#VALUE!</v>
      </c>
      <c r="BW27" s="16" t="e">
        <f aca="false">ROUND(SUMIF(MatchData[team],MatchData[[#this row],[team]],MatchData[teleop low goals])/COUNTIF(MatchData[team],MatchData[[#this row],[team]]),2)</f>
        <v>#VALUE!</v>
      </c>
      <c r="BX27" s="16" t="e">
        <f aca="false">ROUND(SUMIF(MatchData[team],MatchData[[#this row],[team]],MatchData[teleop high goals])/COUNTIF(MatchData[team],MatchData[[#this row],[team]]),2)</f>
        <v>#VALUE!</v>
      </c>
      <c r="BY27" s="16" t="e">
        <f aca="false">COUNTIF(MatchData[team],MatchData[[#this row],[team]])</f>
        <v>#VALUE!</v>
      </c>
      <c r="BZ27" s="16" t="e">
        <f aca="false">SUMIF(MatchData[team],MatchData[[#this row],[team]],MatchData[portcullis available])</f>
        <v>#VALUE!</v>
      </c>
      <c r="CA27" s="16" t="e">
        <f aca="false">SUMIF(MatchData[team],MatchData[[#this row],[team]],MatchData[cheval available])</f>
        <v>#VALUE!</v>
      </c>
      <c r="CB27" s="16" t="e">
        <f aca="false">SUMIF(MatchData[team],MatchData[[#this row],[team]],MatchData[moat available])</f>
        <v>#VALUE!</v>
      </c>
      <c r="CC27" s="16" t="e">
        <f aca="false">SUMIF(MatchData[team],MatchData[[#this row],[team]],MatchData[ramparts available])</f>
        <v>#VALUE!</v>
      </c>
      <c r="CD27" s="16" t="e">
        <f aca="false">SUMIF(MatchData[team],MatchData[[#this row],[team]],MatchData[drawbridge available])</f>
        <v>#VALUE!</v>
      </c>
      <c r="CE27" s="16" t="e">
        <f aca="false">SUMIF(MatchData[team],MatchData[[#this row],[team]],MatchData[sally port available])</f>
        <v>#VALUE!</v>
      </c>
      <c r="CF27" s="16" t="e">
        <f aca="false">SUMIF(MatchData[team],MatchData[[#this row],[team]],MatchData[rock wall available])</f>
        <v>#VALUE!</v>
      </c>
      <c r="CG27" s="16" t="e">
        <f aca="false">SUMIF(MatchData[team],MatchData[[#this row],[team]],MatchData[rough terrain available])</f>
        <v>#VALUE!</v>
      </c>
      <c r="CH27" s="16" t="e">
        <f aca="false">SUMIF(MatchData[team],MatchData[[#this row],[team]],MatchData[low bar available])</f>
        <v>#VALUE!</v>
      </c>
      <c r="CI27" s="16" t="e">
        <f aca="false">SUMIF(MatchData[team],MatchData[[#this row],[team]],MatchData[portcullis teleop crossings]:MatchData[portcullis scored crossings])</f>
        <v>#VALUE!</v>
      </c>
      <c r="CJ27" s="16" t="e">
        <f aca="false">SUMIF(MatchData[team],MatchData[[#this row],[team]],MatchData[cheval teleop crossings])+SUMIF(MatchData[team],MatchData[[#this row],[team]],MatchData[cheval scored crossings])</f>
        <v>#VALUE!</v>
      </c>
      <c r="CK27" s="16" t="e">
        <f aca="false">SUMIF(MatchData[team],MatchData[[#this row],[team]],MatchData[moat teleop crossings])+SUMIF(MatchData[team],MatchData[[#this row],[team]],MatchData[moat scored crosings])</f>
        <v>#VALUE!</v>
      </c>
      <c r="CL27" s="16" t="e">
        <f aca="false">SUMIF(MatchData[team],MatchData[[#this row],[team]],MatchData[ramparts teleop crossings])+SUMIF(MatchData[team],MatchData[[#this row],[team]],MatchData[ramparts scored crossings])</f>
        <v>#VALUE!</v>
      </c>
      <c r="CM27" s="16" t="e">
        <f aca="false">SUMIF(MatchData[team],MatchData[[#this row],[team]],MatchData[drawbridge teleop crossings])+SUMIF(MatchData[team],MatchData[[#this row],[team]],MatchData[drawbridge scored crossings])</f>
        <v>#VALUE!</v>
      </c>
      <c r="CN27" s="16" t="e">
        <f aca="false">SUMIF(MatchData[team],MatchData[[#this row],[team]],MatchData[sally port teleop crossings])+SUMIF(MatchData[team],MatchData[[#this row],[team]],MatchData[sally port scored crossings])</f>
        <v>#VALUE!</v>
      </c>
      <c r="CO27" s="16" t="e">
        <f aca="false">SUMIF(MatchData[team],MatchData[[#this row],[team]],MatchData[rock wall teleop crossings])+SUMIF(MatchData[team],MatchData[[#this row],[team]],MatchData[rock wall scored crossings])</f>
        <v>#VALUE!</v>
      </c>
      <c r="CP27" s="16" t="e">
        <f aca="false">SUMIF(MatchData[team],MatchData[[#this row],[team]],MatchData[rough terrain teleop crossings])+SUMIF(MatchData[team],MatchData[[#this row],[team]],MatchData[rough terrain scored crossings])</f>
        <v>#VALUE!</v>
      </c>
      <c r="CQ27" s="16" t="e">
        <f aca="false">SUMIF(MatchData[team],MatchData[[#this row],[team]],MatchData[low bar teleop crossings])+SUMIF(MatchData[team],MatchData[[#this row],[team]],MatchData[low bar scored crossings])</f>
        <v>#VALUE!</v>
      </c>
      <c r="CR27" s="16" t="e">
        <f aca="false">IFERROR(ROUND(MatchData[[#this row],[portcullis sum]]/MatchData[[#this row],[portcullis avail count]],2),0)</f>
        <v>#VALUE!</v>
      </c>
      <c r="CS27" s="5" t="e">
        <f aca="false">IFERROR(ROUND(MatchData[[#this row],[cheval sum]]/MatchData[[#this row],[cheval avail count]],2),0)</f>
        <v>#VALUE!</v>
      </c>
      <c r="CT27" s="5" t="e">
        <f aca="false">IFERROR(ROUND(MatchData[[#this row],[moat sum]]/MatchData[[#this row],[moat avail count]],2),0)</f>
        <v>#VALUE!</v>
      </c>
      <c r="CU27" s="5" t="e">
        <f aca="false">IFERROR(ROUND(MatchData[[#this row],[ramparts sum]]/MatchData[[#this row],[ramparts avail count]],2),0)</f>
        <v>#VALUE!</v>
      </c>
      <c r="CV27" s="5" t="e">
        <f aca="false">IFERROR(ROUND(MatchData[[#this row],[drawbridge sum]]/MatchData[[#this row],[drawbridge avail countigh6]],2),0)</f>
        <v>#VALUE!</v>
      </c>
      <c r="CW27" s="5" t="e">
        <f aca="false">IFERROR(ROUND(MatchData[[#this row],[sally port sum]]/MatchData[[#this row],[sally port avail count]],2),0)</f>
        <v>#VALUE!</v>
      </c>
      <c r="CX27" s="5" t="e">
        <f aca="false">IFERROR(ROUND(MatchData[[#this row],[rock wall sum]]/MatchData[[#this row],[rock wall avail count]],2),0)</f>
        <v>#VALUE!</v>
      </c>
      <c r="CY27" s="5" t="e">
        <f aca="false">IFERROR(ROUND(MatchData[[#this row],[rough terrain sum]]/MatchData[[#this row],[rough terrain avail count]],2),0)</f>
        <v>#VALUE!</v>
      </c>
      <c r="CZ27" s="5" t="e">
        <f aca="false">IFERROR(ROUND(MatchData[[#this row],[low bar sum]]/MatchData[[#this row],[low bar avail count]],2),0)</f>
        <v>#VALUE!</v>
      </c>
      <c r="DA27" s="5" t="e">
        <f aca="false">SUM(MatchData[[#this row],[cheval sum]:[low bar sum]])/MatchData[match count]</f>
        <v>#VALUE!</v>
      </c>
      <c r="DB27" s="16" t="n">
        <f aca="false">MAX(IF(C$2:C$74=C27,BP$2:BP$74))</f>
        <v>-1.79769313486232E+308</v>
      </c>
      <c r="DC27" s="16" t="e">
        <f aca="false">AVERAGEIF(MatchData[team],MatchData[[#this row],[team]],MatchData[total score])</f>
        <v>#VALUE!</v>
      </c>
      <c r="DD27" s="16" t="e">
        <f aca="false">ROUND(AVERAGEIF(MatchData[team],MatchData[team],MatchData[climb or challenge flag]),2)</f>
        <v>#VALUE!</v>
      </c>
    </row>
    <row r="28" customFormat="false" ht="14.5" hidden="false" customHeight="false" outlineLevel="0" collapsed="false">
      <c r="A28" s="17" t="s">
        <v>108</v>
      </c>
      <c r="B28" s="14" t="n">
        <v>5</v>
      </c>
      <c r="C28" s="15" t="n">
        <v>5975</v>
      </c>
      <c r="D28" s="5" t="s">
        <v>109</v>
      </c>
      <c r="E28" s="5" t="s">
        <v>122</v>
      </c>
      <c r="H28" s="5"/>
      <c r="J28" s="5" t="n">
        <v>1</v>
      </c>
      <c r="K28" s="5"/>
      <c r="L28" s="5" t="n">
        <v>1</v>
      </c>
      <c r="M28" s="5" t="n">
        <v>1</v>
      </c>
      <c r="N28" s="5"/>
      <c r="O28" s="5" t="n">
        <v>1</v>
      </c>
      <c r="P28" s="5"/>
      <c r="Q28" s="5" t="n">
        <v>1</v>
      </c>
      <c r="R28" s="0"/>
      <c r="S28" s="5" t="n">
        <v>1</v>
      </c>
      <c r="T28" s="0"/>
      <c r="V28" s="0"/>
      <c r="W28" s="0"/>
      <c r="X28" s="0"/>
      <c r="AD28" s="5" t="n">
        <v>2</v>
      </c>
      <c r="AJ28" s="5" t="n">
        <v>1</v>
      </c>
      <c r="AW28" s="5" t="n">
        <v>1</v>
      </c>
      <c r="BC28" s="5" t="e">
        <f aca="false">MatchData[cheval scored crossings]*5</f>
        <v>#VALUE!</v>
      </c>
      <c r="BD28" s="5" t="e">
        <f aca="false">MatchData[moat scored crosings]*5</f>
        <v>#VALUE!</v>
      </c>
      <c r="BE28" s="5" t="e">
        <f aca="false">MatchData[ramparts scored crossings]*5</f>
        <v>#VALUE!</v>
      </c>
      <c r="BF28" s="5" t="e">
        <f aca="false">MatchData[drawbridge scored crossings]*5</f>
        <v>#VALUE!</v>
      </c>
      <c r="BG28" s="5" t="e">
        <f aca="false">MatchData[sally port scored crossings]*5</f>
        <v>#VALUE!</v>
      </c>
      <c r="BH28" s="5" t="e">
        <f aca="false">MatchData[rock wall scored crossings]*5</f>
        <v>#VALUE!</v>
      </c>
      <c r="BI28" s="5" t="e">
        <f aca="false">MatchData[rough terrain scored crossings]*5</f>
        <v>#VALUE!</v>
      </c>
      <c r="BJ28" s="5" t="e">
        <f aca="false">MatchData[low bar scored crossings]*5</f>
        <v>#VALUE!</v>
      </c>
      <c r="BK28" s="5" t="e">
        <f aca="false">SUM(MatchData[[#this row],[low bar teleop crossings]:[rough terrain scored crossings]])</f>
        <v>#VALUE!</v>
      </c>
      <c r="BL28" s="5" t="e">
        <f aca="false">IFERROR(IF(OR(MatchData[[#this row],[challenge flag]],MatchData[[#this row],[climb flag]]),1,0),0)</f>
        <v>#VALUE!</v>
      </c>
      <c r="BM28" s="5" t="e">
        <f aca="false">MatchData[auto high goals]*10+MatchData[teleop high goals]*5</f>
        <v>#VALUE!</v>
      </c>
      <c r="BN28" s="5" t="e">
        <f aca="false">MatchData[auto low goals]*5+MatchData[teleop low goals]*2</f>
        <v>#VALUE!</v>
      </c>
      <c r="BO28" s="5" t="e">
        <f aca="false">MatchData[high goal score]+MatchData[low goal score]</f>
        <v>#VALUE!</v>
      </c>
      <c r="BP28" s="5" t="e">
        <f aca="false">MatchData[teleop high goals]+MatchData[teleop low goals]</f>
        <v>#VALUE!</v>
      </c>
      <c r="BQ28" s="5" t="e">
        <f aca="false">MatchData[[#this row],[auto reach flag]]*2+SUM(MatchData[[#this row],[portcullis auto crossings]:[low bar auto crossings]])*10+MatchData[[#this row],[auto low goals]]*5+MatchData[auto high goals]*10</f>
        <v>#VALUE!</v>
      </c>
      <c r="BR28" s="5" t="e">
        <f aca="false">SUM(MatchData[[#this row],[cheval teleop crossing score]:[low bar teleop crossing score]])</f>
        <v>#VALUE!</v>
      </c>
      <c r="BS28" s="5" t="e">
        <f aca="false">SUMIF(MatchData[team],MatchData[[#this row],[team]],MatchData[total auto score])/MatchData[match count]</f>
        <v>#VALUE!</v>
      </c>
      <c r="BT28" s="5" t="e">
        <f aca="false">MatchData[challenge flag]*5</f>
        <v>#VALUE!</v>
      </c>
      <c r="BU28" s="5" t="e">
        <f aca="false">MatchData[climb flag]*15</f>
        <v>#VALUE!</v>
      </c>
      <c r="BV28" s="5" t="e">
        <f aca="false">SUM(MatchData[[#this row],[total goal score]],MatchData[[#this row],[crossing score]],MatchData[[#this row],[challenge score]],MatchData[[#this row],[climb score]],MatchData[[#this row],[total auto score]])</f>
        <v>#VALUE!</v>
      </c>
      <c r="BW28" s="16" t="e">
        <f aca="false">ROUND(SUMIF(MatchData[team],MatchData[[#this row],[team]],MatchData[teleop low goals])/COUNTIF(MatchData[team],MatchData[[#this row],[team]]),2)</f>
        <v>#VALUE!</v>
      </c>
      <c r="BX28" s="16" t="e">
        <f aca="false">ROUND(SUMIF(MatchData[team],MatchData[[#this row],[team]],MatchData[teleop high goals])/COUNTIF(MatchData[team],MatchData[[#this row],[team]]),2)</f>
        <v>#VALUE!</v>
      </c>
      <c r="BY28" s="16" t="e">
        <f aca="false">COUNTIF(MatchData[team],MatchData[[#this row],[team]])</f>
        <v>#VALUE!</v>
      </c>
      <c r="BZ28" s="16" t="e">
        <f aca="false">SUMIF(MatchData[team],MatchData[[#this row],[team]],MatchData[portcullis available])</f>
        <v>#VALUE!</v>
      </c>
      <c r="CA28" s="16" t="e">
        <f aca="false">SUMIF(MatchData[team],MatchData[[#this row],[team]],MatchData[cheval available])</f>
        <v>#VALUE!</v>
      </c>
      <c r="CB28" s="16" t="e">
        <f aca="false">SUMIF(MatchData[team],MatchData[[#this row],[team]],MatchData[moat available])</f>
        <v>#VALUE!</v>
      </c>
      <c r="CC28" s="16" t="e">
        <f aca="false">SUMIF(MatchData[team],MatchData[[#this row],[team]],MatchData[ramparts available])</f>
        <v>#VALUE!</v>
      </c>
      <c r="CD28" s="16" t="e">
        <f aca="false">SUMIF(MatchData[team],MatchData[[#this row],[team]],MatchData[drawbridge available])</f>
        <v>#VALUE!</v>
      </c>
      <c r="CE28" s="16" t="e">
        <f aca="false">SUMIF(MatchData[team],MatchData[[#this row],[team]],MatchData[sally port available])</f>
        <v>#VALUE!</v>
      </c>
      <c r="CF28" s="16" t="e">
        <f aca="false">SUMIF(MatchData[team],MatchData[[#this row],[team]],MatchData[rock wall available])</f>
        <v>#VALUE!</v>
      </c>
      <c r="CG28" s="16" t="e">
        <f aca="false">SUMIF(MatchData[team],MatchData[[#this row],[team]],MatchData[rough terrain available])</f>
        <v>#VALUE!</v>
      </c>
      <c r="CH28" s="16" t="e">
        <f aca="false">SUMIF(MatchData[team],MatchData[[#this row],[team]],MatchData[low bar available])</f>
        <v>#VALUE!</v>
      </c>
      <c r="CI28" s="16" t="e">
        <f aca="false">SUMIF(MatchData[team],MatchData[[#this row],[team]],MatchData[portcullis teleop crossings]:MatchData[portcullis scored crossings])</f>
        <v>#VALUE!</v>
      </c>
      <c r="CJ28" s="16" t="e">
        <f aca="false">SUMIF(MatchData[team],MatchData[[#this row],[team]],MatchData[cheval teleop crossings])+SUMIF(MatchData[team],MatchData[[#this row],[team]],MatchData[cheval scored crossings])</f>
        <v>#VALUE!</v>
      </c>
      <c r="CK28" s="16" t="e">
        <f aca="false">SUMIF(MatchData[team],MatchData[[#this row],[team]],MatchData[moat teleop crossings])+SUMIF(MatchData[team],MatchData[[#this row],[team]],MatchData[moat scored crosings])</f>
        <v>#VALUE!</v>
      </c>
      <c r="CL28" s="16" t="e">
        <f aca="false">SUMIF(MatchData[team],MatchData[[#this row],[team]],MatchData[ramparts teleop crossings])+SUMIF(MatchData[team],MatchData[[#this row],[team]],MatchData[ramparts scored crossings])</f>
        <v>#VALUE!</v>
      </c>
      <c r="CM28" s="16" t="e">
        <f aca="false">SUMIF(MatchData[team],MatchData[[#this row],[team]],MatchData[drawbridge teleop crossings])+SUMIF(MatchData[team],MatchData[[#this row],[team]],MatchData[drawbridge scored crossings])</f>
        <v>#VALUE!</v>
      </c>
      <c r="CN28" s="16" t="e">
        <f aca="false">SUMIF(MatchData[team],MatchData[[#this row],[team]],MatchData[sally port teleop crossings])+SUMIF(MatchData[team],MatchData[[#this row],[team]],MatchData[sally port scored crossings])</f>
        <v>#VALUE!</v>
      </c>
      <c r="CO28" s="16" t="e">
        <f aca="false">SUMIF(MatchData[team],MatchData[[#this row],[team]],MatchData[rock wall teleop crossings])+SUMIF(MatchData[team],MatchData[[#this row],[team]],MatchData[rock wall scored crossings])</f>
        <v>#VALUE!</v>
      </c>
      <c r="CP28" s="16" t="e">
        <f aca="false">SUMIF(MatchData[team],MatchData[[#this row],[team]],MatchData[rough terrain teleop crossings])+SUMIF(MatchData[team],MatchData[[#this row],[team]],MatchData[rough terrain scored crossings])</f>
        <v>#VALUE!</v>
      </c>
      <c r="CQ28" s="16" t="e">
        <f aca="false">SUMIF(MatchData[team],MatchData[[#this row],[team]],MatchData[low bar teleop crossings])+SUMIF(MatchData[team],MatchData[[#this row],[team]],MatchData[low bar scored crossings])</f>
        <v>#VALUE!</v>
      </c>
      <c r="CR28" s="16" t="e">
        <f aca="false">IFERROR(ROUND(MatchData[[#this row],[portcullis sum]]/MatchData[[#this row],[portcullis avail count]],2),0)</f>
        <v>#VALUE!</v>
      </c>
      <c r="CS28" s="5" t="e">
        <f aca="false">IFERROR(ROUND(MatchData[[#this row],[cheval sum]]/MatchData[[#this row],[cheval avail count]],2),0)</f>
        <v>#VALUE!</v>
      </c>
      <c r="CT28" s="5" t="e">
        <f aca="false">IFERROR(ROUND(MatchData[[#this row],[moat sum]]/MatchData[[#this row],[moat avail count]],2),0)</f>
        <v>#VALUE!</v>
      </c>
      <c r="CU28" s="5" t="e">
        <f aca="false">IFERROR(ROUND(MatchData[[#this row],[ramparts sum]]/MatchData[[#this row],[ramparts avail count]],2),0)</f>
        <v>#VALUE!</v>
      </c>
      <c r="CV28" s="5" t="e">
        <f aca="false">IFERROR(ROUND(MatchData[[#this row],[drawbridge sum]]/MatchData[[#this row],[drawbridge avail countigh6]],2),0)</f>
        <v>#VALUE!</v>
      </c>
      <c r="CW28" s="5" t="e">
        <f aca="false">IFERROR(ROUND(MatchData[[#this row],[sally port sum]]/MatchData[[#this row],[sally port avail count]],2),0)</f>
        <v>#VALUE!</v>
      </c>
      <c r="CX28" s="5" t="e">
        <f aca="false">IFERROR(ROUND(MatchData[[#this row],[rock wall sum]]/MatchData[[#this row],[rock wall avail count]],2),0)</f>
        <v>#VALUE!</v>
      </c>
      <c r="CY28" s="5" t="e">
        <f aca="false">IFERROR(ROUND(MatchData[[#this row],[rough terrain sum]]/MatchData[[#this row],[rough terrain avail count]],2),0)</f>
        <v>#VALUE!</v>
      </c>
      <c r="CZ28" s="5" t="e">
        <f aca="false">IFERROR(ROUND(MatchData[[#this row],[low bar sum]]/MatchData[[#this row],[low bar avail count]],2),0)</f>
        <v>#VALUE!</v>
      </c>
      <c r="DA28" s="5" t="e">
        <f aca="false">SUM(MatchData[[#this row],[cheval sum]:[low bar sum]])/MatchData[match count]</f>
        <v>#VALUE!</v>
      </c>
      <c r="DB28" s="16" t="n">
        <f aca="false">MAX(IF(C$2:C$74=C28,BP$2:BP$74))</f>
        <v>-1.79769313486232E+308</v>
      </c>
      <c r="DC28" s="16" t="e">
        <f aca="false">AVERAGEIF(MatchData[team],MatchData[[#this row],[team]],MatchData[total score])</f>
        <v>#VALUE!</v>
      </c>
      <c r="DD28" s="16" t="e">
        <f aca="false">ROUND(AVERAGEIF(MatchData[team],MatchData[team],MatchData[climb or challenge flag]),2)</f>
        <v>#VALUE!</v>
      </c>
    </row>
    <row r="29" customFormat="false" ht="14.5" hidden="false" customHeight="false" outlineLevel="0" collapsed="false">
      <c r="A29" s="13" t="s">
        <v>108</v>
      </c>
      <c r="B29" s="14" t="n">
        <v>5</v>
      </c>
      <c r="C29" s="15" t="n">
        <v>1540</v>
      </c>
      <c r="D29" s="5" t="s">
        <v>113</v>
      </c>
      <c r="E29" s="5" t="s">
        <v>123</v>
      </c>
      <c r="G29" s="5" t="n">
        <v>5</v>
      </c>
      <c r="H29" s="5"/>
      <c r="J29" s="5" t="n">
        <v>1</v>
      </c>
      <c r="K29" s="5"/>
      <c r="L29" s="5" t="n">
        <v>1</v>
      </c>
      <c r="M29" s="5"/>
      <c r="N29" s="5" t="n">
        <v>1</v>
      </c>
      <c r="O29" s="5"/>
      <c r="P29" s="5" t="n">
        <v>1</v>
      </c>
      <c r="Q29" s="5" t="n">
        <v>1</v>
      </c>
      <c r="R29" s="0"/>
      <c r="T29" s="0"/>
      <c r="V29" s="0"/>
      <c r="W29" s="0"/>
      <c r="X29" s="0"/>
      <c r="AB29" s="5" t="n">
        <v>1</v>
      </c>
      <c r="AC29" s="5" t="n">
        <v>3</v>
      </c>
      <c r="AD29" s="5" t="n">
        <v>2</v>
      </c>
      <c r="AQ29" s="5" t="n">
        <v>2</v>
      </c>
      <c r="AR29" s="5" t="n">
        <v>2</v>
      </c>
      <c r="AW29" s="5" t="n">
        <v>1</v>
      </c>
      <c r="BB29" s="5" t="n">
        <v>1</v>
      </c>
      <c r="BC29" s="5" t="e">
        <f aca="false">MatchData[cheval scored crossings]*5</f>
        <v>#VALUE!</v>
      </c>
      <c r="BD29" s="5" t="e">
        <f aca="false">MatchData[moat scored crosings]*5</f>
        <v>#VALUE!</v>
      </c>
      <c r="BE29" s="5" t="e">
        <f aca="false">MatchData[ramparts scored crossings]*5</f>
        <v>#VALUE!</v>
      </c>
      <c r="BF29" s="5" t="e">
        <f aca="false">MatchData[drawbridge scored crossings]*5</f>
        <v>#VALUE!</v>
      </c>
      <c r="BG29" s="5" t="e">
        <f aca="false">MatchData[sally port scored crossings]*5</f>
        <v>#VALUE!</v>
      </c>
      <c r="BH29" s="5" t="e">
        <f aca="false">MatchData[rock wall scored crossings]*5</f>
        <v>#VALUE!</v>
      </c>
      <c r="BI29" s="5" t="e">
        <f aca="false">MatchData[rough terrain scored crossings]*5</f>
        <v>#VALUE!</v>
      </c>
      <c r="BJ29" s="5" t="e">
        <f aca="false">MatchData[low bar scored crossings]*5</f>
        <v>#VALUE!</v>
      </c>
      <c r="BK29" s="5" t="e">
        <f aca="false">SUM(MatchData[[#this row],[low bar teleop crossings]:[rough terrain scored crossings]])</f>
        <v>#VALUE!</v>
      </c>
      <c r="BL29" s="5" t="e">
        <f aca="false">IFERROR(IF(OR(MatchData[[#this row],[challenge flag]],MatchData[[#this row],[climb flag]]),1,0),0)</f>
        <v>#VALUE!</v>
      </c>
      <c r="BM29" s="5" t="e">
        <f aca="false">MatchData[auto high goals]*10+MatchData[teleop high goals]*5</f>
        <v>#VALUE!</v>
      </c>
      <c r="BN29" s="5" t="e">
        <f aca="false">MatchData[auto low goals]*5+MatchData[teleop low goals]*2</f>
        <v>#VALUE!</v>
      </c>
      <c r="BO29" s="5" t="e">
        <f aca="false">MatchData[high goal score]+MatchData[low goal score]</f>
        <v>#VALUE!</v>
      </c>
      <c r="BP29" s="5" t="e">
        <f aca="false">MatchData[teleop high goals]+MatchData[teleop low goals]</f>
        <v>#VALUE!</v>
      </c>
      <c r="BQ29" s="5" t="e">
        <f aca="false">MatchData[[#this row],[auto reach flag]]*2+SUM(MatchData[[#this row],[portcullis auto crossings]:[low bar auto crossings]])*10+MatchData[[#this row],[auto low goals]]*5+MatchData[auto high goals]*10</f>
        <v>#VALUE!</v>
      </c>
      <c r="BR29" s="5" t="e">
        <f aca="false">SUM(MatchData[[#this row],[cheval teleop crossing score]:[low bar teleop crossing score]])</f>
        <v>#VALUE!</v>
      </c>
      <c r="BS29" s="5" t="e">
        <f aca="false">SUMIF(MatchData[team],MatchData[[#this row],[team]],MatchData[total auto score])/MatchData[match count]</f>
        <v>#VALUE!</v>
      </c>
      <c r="BT29" s="5" t="e">
        <f aca="false">MatchData[challenge flag]*5</f>
        <v>#VALUE!</v>
      </c>
      <c r="BU29" s="5" t="e">
        <f aca="false">MatchData[climb flag]*15</f>
        <v>#VALUE!</v>
      </c>
      <c r="BV29" s="5" t="e">
        <f aca="false">SUM(MatchData[[#this row],[total goal score]],MatchData[[#this row],[crossing score]],MatchData[[#this row],[challenge score]],MatchData[[#this row],[climb score]],MatchData[[#this row],[total auto score]])</f>
        <v>#VALUE!</v>
      </c>
      <c r="BW29" s="16" t="e">
        <f aca="false">ROUND(SUMIF(MatchData[team],MatchData[[#this row],[team]],MatchData[teleop low goals])/COUNTIF(MatchData[team],MatchData[[#this row],[team]]),2)</f>
        <v>#VALUE!</v>
      </c>
      <c r="BX29" s="16" t="e">
        <f aca="false">ROUND(SUMIF(MatchData[team],MatchData[[#this row],[team]],MatchData[teleop high goals])/COUNTIF(MatchData[team],MatchData[[#this row],[team]]),2)</f>
        <v>#VALUE!</v>
      </c>
      <c r="BY29" s="16" t="e">
        <f aca="false">COUNTIF(MatchData[team],MatchData[[#this row],[team]])</f>
        <v>#VALUE!</v>
      </c>
      <c r="BZ29" s="16" t="e">
        <f aca="false">SUMIF(MatchData[team],MatchData[[#this row],[team]],MatchData[portcullis available])</f>
        <v>#VALUE!</v>
      </c>
      <c r="CA29" s="16" t="e">
        <f aca="false">SUMIF(MatchData[team],MatchData[[#this row],[team]],MatchData[cheval available])</f>
        <v>#VALUE!</v>
      </c>
      <c r="CB29" s="16" t="e">
        <f aca="false">SUMIF(MatchData[team],MatchData[[#this row],[team]],MatchData[moat available])</f>
        <v>#VALUE!</v>
      </c>
      <c r="CC29" s="16" t="e">
        <f aca="false">SUMIF(MatchData[team],MatchData[[#this row],[team]],MatchData[ramparts available])</f>
        <v>#VALUE!</v>
      </c>
      <c r="CD29" s="16" t="e">
        <f aca="false">SUMIF(MatchData[team],MatchData[[#this row],[team]],MatchData[drawbridge available])</f>
        <v>#VALUE!</v>
      </c>
      <c r="CE29" s="16" t="e">
        <f aca="false">SUMIF(MatchData[team],MatchData[[#this row],[team]],MatchData[sally port available])</f>
        <v>#VALUE!</v>
      </c>
      <c r="CF29" s="16" t="e">
        <f aca="false">SUMIF(MatchData[team],MatchData[[#this row],[team]],MatchData[rock wall available])</f>
        <v>#VALUE!</v>
      </c>
      <c r="CG29" s="16" t="e">
        <f aca="false">SUMIF(MatchData[team],MatchData[[#this row],[team]],MatchData[rough terrain available])</f>
        <v>#VALUE!</v>
      </c>
      <c r="CH29" s="16" t="e">
        <f aca="false">SUMIF(MatchData[team],MatchData[[#this row],[team]],MatchData[low bar available])</f>
        <v>#VALUE!</v>
      </c>
      <c r="CI29" s="16" t="e">
        <f aca="false">SUMIF(MatchData[team],MatchData[[#this row],[team]],MatchData[portcullis teleop crossings]:MatchData[portcullis scored crossings])</f>
        <v>#VALUE!</v>
      </c>
      <c r="CJ29" s="16" t="e">
        <f aca="false">SUMIF(MatchData[team],MatchData[[#this row],[team]],MatchData[cheval teleop crossings])+SUMIF(MatchData[team],MatchData[[#this row],[team]],MatchData[cheval scored crossings])</f>
        <v>#VALUE!</v>
      </c>
      <c r="CK29" s="16" t="e">
        <f aca="false">SUMIF(MatchData[team],MatchData[[#this row],[team]],MatchData[moat teleop crossings])+SUMIF(MatchData[team],MatchData[[#this row],[team]],MatchData[moat scored crosings])</f>
        <v>#VALUE!</v>
      </c>
      <c r="CL29" s="16" t="e">
        <f aca="false">SUMIF(MatchData[team],MatchData[[#this row],[team]],MatchData[ramparts teleop crossings])+SUMIF(MatchData[team],MatchData[[#this row],[team]],MatchData[ramparts scored crossings])</f>
        <v>#VALUE!</v>
      </c>
      <c r="CM29" s="16" t="e">
        <f aca="false">SUMIF(MatchData[team],MatchData[[#this row],[team]],MatchData[drawbridge teleop crossings])+SUMIF(MatchData[team],MatchData[[#this row],[team]],MatchData[drawbridge scored crossings])</f>
        <v>#VALUE!</v>
      </c>
      <c r="CN29" s="16" t="e">
        <f aca="false">SUMIF(MatchData[team],MatchData[[#this row],[team]],MatchData[sally port teleop crossings])+SUMIF(MatchData[team],MatchData[[#this row],[team]],MatchData[sally port scored crossings])</f>
        <v>#VALUE!</v>
      </c>
      <c r="CO29" s="16" t="e">
        <f aca="false">SUMIF(MatchData[team],MatchData[[#this row],[team]],MatchData[rock wall teleop crossings])+SUMIF(MatchData[team],MatchData[[#this row],[team]],MatchData[rock wall scored crossings])</f>
        <v>#VALUE!</v>
      </c>
      <c r="CP29" s="16" t="e">
        <f aca="false">SUMIF(MatchData[team],MatchData[[#this row],[team]],MatchData[rough terrain teleop crossings])+SUMIF(MatchData[team],MatchData[[#this row],[team]],MatchData[rough terrain scored crossings])</f>
        <v>#VALUE!</v>
      </c>
      <c r="CQ29" s="16" t="e">
        <f aca="false">SUMIF(MatchData[team],MatchData[[#this row],[team]],MatchData[low bar teleop crossings])+SUMIF(MatchData[team],MatchData[[#this row],[team]],MatchData[low bar scored crossings])</f>
        <v>#VALUE!</v>
      </c>
      <c r="CR29" s="16" t="e">
        <f aca="false">IFERROR(ROUND(MatchData[[#this row],[portcullis sum]]/MatchData[[#this row],[portcullis avail count]],2),0)</f>
        <v>#VALUE!</v>
      </c>
      <c r="CS29" s="5" t="e">
        <f aca="false">IFERROR(ROUND(MatchData[[#this row],[cheval sum]]/MatchData[[#this row],[cheval avail count]],2),0)</f>
        <v>#VALUE!</v>
      </c>
      <c r="CT29" s="5" t="e">
        <f aca="false">IFERROR(ROUND(MatchData[[#this row],[moat sum]]/MatchData[[#this row],[moat avail count]],2),0)</f>
        <v>#VALUE!</v>
      </c>
      <c r="CU29" s="5" t="e">
        <f aca="false">IFERROR(ROUND(MatchData[[#this row],[ramparts sum]]/MatchData[[#this row],[ramparts avail count]],2),0)</f>
        <v>#VALUE!</v>
      </c>
      <c r="CV29" s="5" t="e">
        <f aca="false">IFERROR(ROUND(MatchData[[#this row],[drawbridge sum]]/MatchData[[#this row],[drawbridge avail countigh6]],2),0)</f>
        <v>#VALUE!</v>
      </c>
      <c r="CW29" s="5" t="e">
        <f aca="false">IFERROR(ROUND(MatchData[[#this row],[sally port sum]]/MatchData[[#this row],[sally port avail count]],2),0)</f>
        <v>#VALUE!</v>
      </c>
      <c r="CX29" s="5" t="e">
        <f aca="false">IFERROR(ROUND(MatchData[[#this row],[rock wall sum]]/MatchData[[#this row],[rock wall avail count]],2),0)</f>
        <v>#VALUE!</v>
      </c>
      <c r="CY29" s="5" t="e">
        <f aca="false">IFERROR(ROUND(MatchData[[#this row],[rough terrain sum]]/MatchData[[#this row],[rough terrain avail count]],2),0)</f>
        <v>#VALUE!</v>
      </c>
      <c r="CZ29" s="5" t="e">
        <f aca="false">IFERROR(ROUND(MatchData[[#this row],[low bar sum]]/MatchData[[#this row],[low bar avail count]],2),0)</f>
        <v>#VALUE!</v>
      </c>
      <c r="DA29" s="5" t="e">
        <f aca="false">SUM(MatchData[[#this row],[cheval sum]:[low bar sum]])/MatchData[match count]</f>
        <v>#VALUE!</v>
      </c>
      <c r="DB29" s="16" t="n">
        <f aca="false">MAX(IF(C$2:C$74=C29,BP$2:BP$74))</f>
        <v>-1.79769313486232E+308</v>
      </c>
      <c r="DC29" s="16" t="e">
        <f aca="false">AVERAGEIF(MatchData[team],MatchData[[#this row],[team]],MatchData[total score])</f>
        <v>#VALUE!</v>
      </c>
      <c r="DD29" s="16" t="e">
        <f aca="false">ROUND(AVERAGEIF(MatchData[team],MatchData[team],MatchData[climb or challenge flag]),2)</f>
        <v>#VALUE!</v>
      </c>
    </row>
    <row r="30" customFormat="false" ht="14.5" hidden="false" customHeight="false" outlineLevel="0" collapsed="false">
      <c r="A30" s="13" t="s">
        <v>108</v>
      </c>
      <c r="B30" s="14" t="n">
        <v>5</v>
      </c>
      <c r="C30" s="15" t="n">
        <v>2733</v>
      </c>
      <c r="D30" s="5" t="s">
        <v>113</v>
      </c>
      <c r="E30" s="5" t="s">
        <v>124</v>
      </c>
      <c r="H30" s="5"/>
      <c r="I30" s="5" t="n">
        <v>1</v>
      </c>
      <c r="J30" s="5" t="n">
        <v>1</v>
      </c>
      <c r="K30" s="5"/>
      <c r="L30" s="5" t="n">
        <v>1</v>
      </c>
      <c r="M30" s="5"/>
      <c r="N30" s="5" t="n">
        <v>1</v>
      </c>
      <c r="O30" s="5" t="n">
        <v>1</v>
      </c>
      <c r="P30" s="5"/>
      <c r="Q30" s="5" t="n">
        <v>1</v>
      </c>
      <c r="R30" s="0"/>
      <c r="T30" s="0"/>
      <c r="V30" s="0"/>
      <c r="W30" s="5" t="n">
        <v>1</v>
      </c>
      <c r="X30" s="0"/>
      <c r="AD30" s="5" t="n">
        <v>1</v>
      </c>
      <c r="AR30" s="5" t="n">
        <v>2</v>
      </c>
      <c r="BB30" s="5" t="n">
        <v>1</v>
      </c>
      <c r="BC30" s="5" t="e">
        <f aca="false">MatchData[cheval scored crossings]*5</f>
        <v>#VALUE!</v>
      </c>
      <c r="BD30" s="5" t="e">
        <f aca="false">MatchData[moat scored crosings]*5</f>
        <v>#VALUE!</v>
      </c>
      <c r="BE30" s="5" t="e">
        <f aca="false">MatchData[ramparts scored crossings]*5</f>
        <v>#VALUE!</v>
      </c>
      <c r="BF30" s="5" t="e">
        <f aca="false">MatchData[drawbridge scored crossings]*5</f>
        <v>#VALUE!</v>
      </c>
      <c r="BG30" s="5" t="e">
        <f aca="false">MatchData[sally port scored crossings]*5</f>
        <v>#VALUE!</v>
      </c>
      <c r="BH30" s="5" t="e">
        <f aca="false">MatchData[rock wall scored crossings]*5</f>
        <v>#VALUE!</v>
      </c>
      <c r="BI30" s="5" t="e">
        <f aca="false">MatchData[rough terrain scored crossings]*5</f>
        <v>#VALUE!</v>
      </c>
      <c r="BJ30" s="5" t="e">
        <f aca="false">MatchData[low bar scored crossings]*5</f>
        <v>#VALUE!</v>
      </c>
      <c r="BK30" s="5" t="e">
        <f aca="false">SUM(MatchData[[#this row],[low bar teleop crossings]:[rough terrain scored crossings]])</f>
        <v>#VALUE!</v>
      </c>
      <c r="BL30" s="5" t="e">
        <f aca="false">IFERROR(IF(OR(MatchData[[#this row],[challenge flag]],MatchData[[#this row],[climb flag]]),1,0),0)</f>
        <v>#VALUE!</v>
      </c>
      <c r="BM30" s="5" t="e">
        <f aca="false">MatchData[auto high goals]*10+MatchData[teleop high goals]*5</f>
        <v>#VALUE!</v>
      </c>
      <c r="BN30" s="5" t="e">
        <f aca="false">MatchData[auto low goals]*5+MatchData[teleop low goals]*2</f>
        <v>#VALUE!</v>
      </c>
      <c r="BO30" s="5" t="e">
        <f aca="false">MatchData[high goal score]+MatchData[low goal score]</f>
        <v>#VALUE!</v>
      </c>
      <c r="BP30" s="5" t="e">
        <f aca="false">MatchData[teleop high goals]+MatchData[teleop low goals]</f>
        <v>#VALUE!</v>
      </c>
      <c r="BQ30" s="5" t="e">
        <f aca="false">MatchData[[#this row],[auto reach flag]]*2+SUM(MatchData[[#this row],[portcullis auto crossings]:[low bar auto crossings]])*10+MatchData[[#this row],[auto low goals]]*5+MatchData[auto high goals]*10</f>
        <v>#VALUE!</v>
      </c>
      <c r="BR30" s="5" t="e">
        <f aca="false">SUM(MatchData[[#this row],[cheval teleop crossing score]:[low bar teleop crossing score]])</f>
        <v>#VALUE!</v>
      </c>
      <c r="BS30" s="5" t="e">
        <f aca="false">SUMIF(MatchData[team],MatchData[[#this row],[team]],MatchData[total auto score])/MatchData[match count]</f>
        <v>#VALUE!</v>
      </c>
      <c r="BT30" s="5" t="e">
        <f aca="false">MatchData[challenge flag]*5</f>
        <v>#VALUE!</v>
      </c>
      <c r="BU30" s="5" t="e">
        <f aca="false">MatchData[climb flag]*15</f>
        <v>#VALUE!</v>
      </c>
      <c r="BV30" s="5" t="e">
        <f aca="false">SUM(MatchData[[#this row],[total goal score]],MatchData[[#this row],[crossing score]],MatchData[[#this row],[challenge score]],MatchData[[#this row],[climb score]],MatchData[[#this row],[total auto score]])</f>
        <v>#VALUE!</v>
      </c>
      <c r="BW30" s="16" t="e">
        <f aca="false">ROUND(SUMIF(MatchData[team],MatchData[[#this row],[team]],MatchData[teleop low goals])/COUNTIF(MatchData[team],MatchData[[#this row],[team]]),2)</f>
        <v>#VALUE!</v>
      </c>
      <c r="BX30" s="16" t="e">
        <f aca="false">ROUND(SUMIF(MatchData[team],MatchData[[#this row],[team]],MatchData[teleop high goals])/COUNTIF(MatchData[team],MatchData[[#this row],[team]]),2)</f>
        <v>#VALUE!</v>
      </c>
      <c r="BY30" s="16" t="e">
        <f aca="false">COUNTIF(MatchData[team],MatchData[[#this row],[team]])</f>
        <v>#VALUE!</v>
      </c>
      <c r="BZ30" s="16" t="e">
        <f aca="false">SUMIF(MatchData[team],MatchData[[#this row],[team]],MatchData[portcullis available])</f>
        <v>#VALUE!</v>
      </c>
      <c r="CA30" s="16" t="e">
        <f aca="false">SUMIF(MatchData[team],MatchData[[#this row],[team]],MatchData[cheval available])</f>
        <v>#VALUE!</v>
      </c>
      <c r="CB30" s="16" t="e">
        <f aca="false">SUMIF(MatchData[team],MatchData[[#this row],[team]],MatchData[moat available])</f>
        <v>#VALUE!</v>
      </c>
      <c r="CC30" s="16" t="e">
        <f aca="false">SUMIF(MatchData[team],MatchData[[#this row],[team]],MatchData[ramparts available])</f>
        <v>#VALUE!</v>
      </c>
      <c r="CD30" s="16" t="e">
        <f aca="false">SUMIF(MatchData[team],MatchData[[#this row],[team]],MatchData[drawbridge available])</f>
        <v>#VALUE!</v>
      </c>
      <c r="CE30" s="16" t="e">
        <f aca="false">SUMIF(MatchData[team],MatchData[[#this row],[team]],MatchData[sally port available])</f>
        <v>#VALUE!</v>
      </c>
      <c r="CF30" s="16" t="e">
        <f aca="false">SUMIF(MatchData[team],MatchData[[#this row],[team]],MatchData[rock wall available])</f>
        <v>#VALUE!</v>
      </c>
      <c r="CG30" s="16" t="e">
        <f aca="false">SUMIF(MatchData[team],MatchData[[#this row],[team]],MatchData[rough terrain available])</f>
        <v>#VALUE!</v>
      </c>
      <c r="CH30" s="16" t="e">
        <f aca="false">SUMIF(MatchData[team],MatchData[[#this row],[team]],MatchData[low bar available])</f>
        <v>#VALUE!</v>
      </c>
      <c r="CI30" s="16" t="e">
        <f aca="false">SUMIF(MatchData[team],MatchData[[#this row],[team]],MatchData[portcullis teleop crossings]:MatchData[portcullis scored crossings])</f>
        <v>#VALUE!</v>
      </c>
      <c r="CJ30" s="16" t="e">
        <f aca="false">SUMIF(MatchData[team],MatchData[[#this row],[team]],MatchData[cheval teleop crossings])+SUMIF(MatchData[team],MatchData[[#this row],[team]],MatchData[cheval scored crossings])</f>
        <v>#VALUE!</v>
      </c>
      <c r="CK30" s="16" t="e">
        <f aca="false">SUMIF(MatchData[team],MatchData[[#this row],[team]],MatchData[moat teleop crossings])+SUMIF(MatchData[team],MatchData[[#this row],[team]],MatchData[moat scored crosings])</f>
        <v>#VALUE!</v>
      </c>
      <c r="CL30" s="16" t="e">
        <f aca="false">SUMIF(MatchData[team],MatchData[[#this row],[team]],MatchData[ramparts teleop crossings])+SUMIF(MatchData[team],MatchData[[#this row],[team]],MatchData[ramparts scored crossings])</f>
        <v>#VALUE!</v>
      </c>
      <c r="CM30" s="16" t="e">
        <f aca="false">SUMIF(MatchData[team],MatchData[[#this row],[team]],MatchData[drawbridge teleop crossings])+SUMIF(MatchData[team],MatchData[[#this row],[team]],MatchData[drawbridge scored crossings])</f>
        <v>#VALUE!</v>
      </c>
      <c r="CN30" s="16" t="e">
        <f aca="false">SUMIF(MatchData[team],MatchData[[#this row],[team]],MatchData[sally port teleop crossings])+SUMIF(MatchData[team],MatchData[[#this row],[team]],MatchData[sally port scored crossings])</f>
        <v>#VALUE!</v>
      </c>
      <c r="CO30" s="16" t="e">
        <f aca="false">SUMIF(MatchData[team],MatchData[[#this row],[team]],MatchData[rock wall teleop crossings])+SUMIF(MatchData[team],MatchData[[#this row],[team]],MatchData[rock wall scored crossings])</f>
        <v>#VALUE!</v>
      </c>
      <c r="CP30" s="16" t="e">
        <f aca="false">SUMIF(MatchData[team],MatchData[[#this row],[team]],MatchData[rough terrain teleop crossings])+SUMIF(MatchData[team],MatchData[[#this row],[team]],MatchData[rough terrain scored crossings])</f>
        <v>#VALUE!</v>
      </c>
      <c r="CQ30" s="16" t="e">
        <f aca="false">SUMIF(MatchData[team],MatchData[[#this row],[team]],MatchData[low bar teleop crossings])+SUMIF(MatchData[team],MatchData[[#this row],[team]],MatchData[low bar scored crossings])</f>
        <v>#VALUE!</v>
      </c>
      <c r="CR30" s="16" t="e">
        <f aca="false">IFERROR(ROUND(MatchData[[#this row],[portcullis sum]]/MatchData[[#this row],[portcullis avail count]],2),0)</f>
        <v>#VALUE!</v>
      </c>
      <c r="CS30" s="5" t="e">
        <f aca="false">IFERROR(ROUND(MatchData[[#this row],[cheval sum]]/MatchData[[#this row],[cheval avail count]],2),0)</f>
        <v>#VALUE!</v>
      </c>
      <c r="CT30" s="5" t="e">
        <f aca="false">IFERROR(ROUND(MatchData[[#this row],[moat sum]]/MatchData[[#this row],[moat avail count]],2),0)</f>
        <v>#VALUE!</v>
      </c>
      <c r="CU30" s="5" t="e">
        <f aca="false">IFERROR(ROUND(MatchData[[#this row],[ramparts sum]]/MatchData[[#this row],[ramparts avail count]],2),0)</f>
        <v>#VALUE!</v>
      </c>
      <c r="CV30" s="5" t="e">
        <f aca="false">IFERROR(ROUND(MatchData[[#this row],[drawbridge sum]]/MatchData[[#this row],[drawbridge avail countigh6]],2),0)</f>
        <v>#VALUE!</v>
      </c>
      <c r="CW30" s="5" t="e">
        <f aca="false">IFERROR(ROUND(MatchData[[#this row],[sally port sum]]/MatchData[[#this row],[sally port avail count]],2),0)</f>
        <v>#VALUE!</v>
      </c>
      <c r="CX30" s="5" t="e">
        <f aca="false">IFERROR(ROUND(MatchData[[#this row],[rock wall sum]]/MatchData[[#this row],[rock wall avail count]],2),0)</f>
        <v>#VALUE!</v>
      </c>
      <c r="CY30" s="5" t="e">
        <f aca="false">IFERROR(ROUND(MatchData[[#this row],[rough terrain sum]]/MatchData[[#this row],[rough terrain avail count]],2),0)</f>
        <v>#VALUE!</v>
      </c>
      <c r="CZ30" s="5" t="e">
        <f aca="false">IFERROR(ROUND(MatchData[[#this row],[low bar sum]]/MatchData[[#this row],[low bar avail count]],2),0)</f>
        <v>#VALUE!</v>
      </c>
      <c r="DA30" s="5" t="e">
        <f aca="false">SUM(MatchData[[#this row],[cheval sum]:[low bar sum]])/MatchData[match count]</f>
        <v>#VALUE!</v>
      </c>
      <c r="DB30" s="16" t="n">
        <f aca="false">MAX(IF(C$2:C$74=C30,BP$2:BP$74))</f>
        <v>-1.79769313486232E+308</v>
      </c>
      <c r="DC30" s="16" t="e">
        <f aca="false">AVERAGEIF(MatchData[team],MatchData[[#this row],[team]],MatchData[total score])</f>
        <v>#VALUE!</v>
      </c>
      <c r="DD30" s="16" t="e">
        <f aca="false">ROUND(AVERAGEIF(MatchData[team],MatchData[team],MatchData[climb or challenge flag]),2)</f>
        <v>#VALUE!</v>
      </c>
    </row>
    <row r="31" customFormat="false" ht="14.5" hidden="false" customHeight="false" outlineLevel="0" collapsed="false">
      <c r="A31" s="17" t="s">
        <v>108</v>
      </c>
      <c r="B31" s="18" t="n">
        <v>5</v>
      </c>
      <c r="C31" s="15" t="n">
        <v>5085</v>
      </c>
      <c r="D31" s="5" t="s">
        <v>113</v>
      </c>
      <c r="E31" s="5" t="s">
        <v>125</v>
      </c>
      <c r="H31" s="5"/>
      <c r="J31" s="5" t="n">
        <v>1</v>
      </c>
      <c r="K31" s="5"/>
      <c r="L31" s="5" t="n">
        <v>1</v>
      </c>
      <c r="M31" s="5"/>
      <c r="N31" s="5" t="n">
        <v>1</v>
      </c>
      <c r="O31" s="5" t="n">
        <v>1</v>
      </c>
      <c r="P31" s="5"/>
      <c r="Q31" s="5" t="n">
        <v>1</v>
      </c>
      <c r="R31" s="0"/>
      <c r="S31" s="5" t="n">
        <v>1</v>
      </c>
      <c r="T31" s="0"/>
      <c r="V31" s="0"/>
      <c r="W31" s="0"/>
      <c r="X31" s="0"/>
      <c r="AZ31" s="5" t="n">
        <v>1</v>
      </c>
      <c r="BB31" s="5" t="n">
        <v>1</v>
      </c>
      <c r="BC31" s="5" t="e">
        <f aca="false">MatchData[cheval scored crossings]*5</f>
        <v>#VALUE!</v>
      </c>
      <c r="BD31" s="5" t="e">
        <f aca="false">MatchData[moat scored crosings]*5</f>
        <v>#VALUE!</v>
      </c>
      <c r="BE31" s="5" t="e">
        <f aca="false">MatchData[ramparts scored crossings]*5</f>
        <v>#VALUE!</v>
      </c>
      <c r="BF31" s="5" t="e">
        <f aca="false">MatchData[drawbridge scored crossings]*5</f>
        <v>#VALUE!</v>
      </c>
      <c r="BG31" s="5" t="e">
        <f aca="false">MatchData[sally port scored crossings]*5</f>
        <v>#VALUE!</v>
      </c>
      <c r="BH31" s="5" t="e">
        <f aca="false">MatchData[rock wall scored crossings]*5</f>
        <v>#VALUE!</v>
      </c>
      <c r="BI31" s="5" t="e">
        <f aca="false">MatchData[rough terrain scored crossings]*5</f>
        <v>#VALUE!</v>
      </c>
      <c r="BJ31" s="5" t="e">
        <f aca="false">MatchData[low bar scored crossings]*5</f>
        <v>#VALUE!</v>
      </c>
      <c r="BK31" s="5" t="e">
        <f aca="false">SUM(MatchData[[#this row],[low bar teleop crossings]:[rough terrain scored crossings]])</f>
        <v>#VALUE!</v>
      </c>
      <c r="BL31" s="5" t="e">
        <f aca="false">IFERROR(IF(OR(MatchData[[#this row],[challenge flag]],MatchData[[#this row],[climb flag]]),1,0),0)</f>
        <v>#VALUE!</v>
      </c>
      <c r="BM31" s="5" t="e">
        <f aca="false">MatchData[auto high goals]*10+MatchData[teleop high goals]*5</f>
        <v>#VALUE!</v>
      </c>
      <c r="BN31" s="5" t="e">
        <f aca="false">MatchData[auto low goals]*5+MatchData[teleop low goals]*2</f>
        <v>#VALUE!</v>
      </c>
      <c r="BO31" s="5" t="e">
        <f aca="false">MatchData[high goal score]+MatchData[low goal score]</f>
        <v>#VALUE!</v>
      </c>
      <c r="BP31" s="5" t="e">
        <f aca="false">MatchData[teleop high goals]+MatchData[teleop low goals]</f>
        <v>#VALUE!</v>
      </c>
      <c r="BQ31" s="5" t="e">
        <f aca="false">MatchData[[#this row],[auto reach flag]]*2+SUM(MatchData[[#this row],[portcullis auto crossings]:[low bar auto crossings]])*10+MatchData[[#this row],[auto low goals]]*5+MatchData[auto high goals]*10</f>
        <v>#VALUE!</v>
      </c>
      <c r="BR31" s="5" t="e">
        <f aca="false">SUM(MatchData[[#this row],[cheval teleop crossing score]:[low bar teleop crossing score]])</f>
        <v>#VALUE!</v>
      </c>
      <c r="BS31" s="5" t="e">
        <f aca="false">SUMIF(MatchData[team],MatchData[[#this row],[team]],MatchData[total auto score])/MatchData[match count]</f>
        <v>#VALUE!</v>
      </c>
      <c r="BT31" s="5" t="e">
        <f aca="false">MatchData[challenge flag]*5</f>
        <v>#VALUE!</v>
      </c>
      <c r="BU31" s="5" t="e">
        <f aca="false">MatchData[climb flag]*15</f>
        <v>#VALUE!</v>
      </c>
      <c r="BV31" s="5" t="e">
        <f aca="false">SUM(MatchData[[#this row],[total goal score]],MatchData[[#this row],[crossing score]],MatchData[[#this row],[challenge score]],MatchData[[#this row],[climb score]],MatchData[[#this row],[total auto score]])</f>
        <v>#VALUE!</v>
      </c>
      <c r="BW31" s="16" t="e">
        <f aca="false">ROUND(SUMIF(MatchData[team],MatchData[[#this row],[team]],MatchData[teleop low goals])/COUNTIF(MatchData[team],MatchData[[#this row],[team]]),2)</f>
        <v>#VALUE!</v>
      </c>
      <c r="BX31" s="16" t="e">
        <f aca="false">ROUND(SUMIF(MatchData[team],MatchData[[#this row],[team]],MatchData[teleop high goals])/COUNTIF(MatchData[team],MatchData[[#this row],[team]]),2)</f>
        <v>#VALUE!</v>
      </c>
      <c r="BY31" s="16" t="e">
        <f aca="false">COUNTIF(MatchData[team],MatchData[[#this row],[team]])</f>
        <v>#VALUE!</v>
      </c>
      <c r="BZ31" s="16" t="e">
        <f aca="false">SUMIF(MatchData[team],MatchData[[#this row],[team]],MatchData[portcullis available])</f>
        <v>#VALUE!</v>
      </c>
      <c r="CA31" s="16" t="e">
        <f aca="false">SUMIF(MatchData[team],MatchData[[#this row],[team]],MatchData[cheval available])</f>
        <v>#VALUE!</v>
      </c>
      <c r="CB31" s="16" t="e">
        <f aca="false">SUMIF(MatchData[team],MatchData[[#this row],[team]],MatchData[moat available])</f>
        <v>#VALUE!</v>
      </c>
      <c r="CC31" s="16" t="e">
        <f aca="false">SUMIF(MatchData[team],MatchData[[#this row],[team]],MatchData[ramparts available])</f>
        <v>#VALUE!</v>
      </c>
      <c r="CD31" s="16" t="e">
        <f aca="false">SUMIF(MatchData[team],MatchData[[#this row],[team]],MatchData[drawbridge available])</f>
        <v>#VALUE!</v>
      </c>
      <c r="CE31" s="16" t="e">
        <f aca="false">SUMIF(MatchData[team],MatchData[[#this row],[team]],MatchData[sally port available])</f>
        <v>#VALUE!</v>
      </c>
      <c r="CF31" s="16" t="e">
        <f aca="false">SUMIF(MatchData[team],MatchData[[#this row],[team]],MatchData[rock wall available])</f>
        <v>#VALUE!</v>
      </c>
      <c r="CG31" s="16" t="e">
        <f aca="false">SUMIF(MatchData[team],MatchData[[#this row],[team]],MatchData[rough terrain available])</f>
        <v>#VALUE!</v>
      </c>
      <c r="CH31" s="16" t="e">
        <f aca="false">SUMIF(MatchData[team],MatchData[[#this row],[team]],MatchData[low bar available])</f>
        <v>#VALUE!</v>
      </c>
      <c r="CI31" s="16" t="e">
        <f aca="false">SUMIF(MatchData[team],MatchData[[#this row],[team]],MatchData[portcullis teleop crossings]:MatchData[portcullis scored crossings])</f>
        <v>#VALUE!</v>
      </c>
      <c r="CJ31" s="16" t="e">
        <f aca="false">SUMIF(MatchData[team],MatchData[[#this row],[team]],MatchData[cheval teleop crossings])+SUMIF(MatchData[team],MatchData[[#this row],[team]],MatchData[cheval scored crossings])</f>
        <v>#VALUE!</v>
      </c>
      <c r="CK31" s="16" t="e">
        <f aca="false">SUMIF(MatchData[team],MatchData[[#this row],[team]],MatchData[moat teleop crossings])+SUMIF(MatchData[team],MatchData[[#this row],[team]],MatchData[moat scored crosings])</f>
        <v>#VALUE!</v>
      </c>
      <c r="CL31" s="16" t="e">
        <f aca="false">SUMIF(MatchData[team],MatchData[[#this row],[team]],MatchData[ramparts teleop crossings])+SUMIF(MatchData[team],MatchData[[#this row],[team]],MatchData[ramparts scored crossings])</f>
        <v>#VALUE!</v>
      </c>
      <c r="CM31" s="16" t="e">
        <f aca="false">SUMIF(MatchData[team],MatchData[[#this row],[team]],MatchData[drawbridge teleop crossings])+SUMIF(MatchData[team],MatchData[[#this row],[team]],MatchData[drawbridge scored crossings])</f>
        <v>#VALUE!</v>
      </c>
      <c r="CN31" s="16" t="e">
        <f aca="false">SUMIF(MatchData[team],MatchData[[#this row],[team]],MatchData[sally port teleop crossings])+SUMIF(MatchData[team],MatchData[[#this row],[team]],MatchData[sally port scored crossings])</f>
        <v>#VALUE!</v>
      </c>
      <c r="CO31" s="16" t="e">
        <f aca="false">SUMIF(MatchData[team],MatchData[[#this row],[team]],MatchData[rock wall teleop crossings])+SUMIF(MatchData[team],MatchData[[#this row],[team]],MatchData[rock wall scored crossings])</f>
        <v>#VALUE!</v>
      </c>
      <c r="CP31" s="16" t="e">
        <f aca="false">SUMIF(MatchData[team],MatchData[[#this row],[team]],MatchData[rough terrain teleop crossings])+SUMIF(MatchData[team],MatchData[[#this row],[team]],MatchData[rough terrain scored crossings])</f>
        <v>#VALUE!</v>
      </c>
      <c r="CQ31" s="16" t="e">
        <f aca="false">SUMIF(MatchData[team],MatchData[[#this row],[team]],MatchData[low bar teleop crossings])+SUMIF(MatchData[team],MatchData[[#this row],[team]],MatchData[low bar scored crossings])</f>
        <v>#VALUE!</v>
      </c>
      <c r="CR31" s="16" t="e">
        <f aca="false">IFERROR(ROUND(MatchData[[#this row],[portcullis sum]]/MatchData[[#this row],[portcullis avail count]],2),0)</f>
        <v>#VALUE!</v>
      </c>
      <c r="CS31" s="5" t="e">
        <f aca="false">IFERROR(ROUND(MatchData[[#this row],[cheval sum]]/MatchData[[#this row],[cheval avail count]],2),0)</f>
        <v>#VALUE!</v>
      </c>
      <c r="CT31" s="5" t="e">
        <f aca="false">IFERROR(ROUND(MatchData[[#this row],[moat sum]]/MatchData[[#this row],[moat avail count]],2),0)</f>
        <v>#VALUE!</v>
      </c>
      <c r="CU31" s="5" t="e">
        <f aca="false">IFERROR(ROUND(MatchData[[#this row],[ramparts sum]]/MatchData[[#this row],[ramparts avail count]],2),0)</f>
        <v>#VALUE!</v>
      </c>
      <c r="CV31" s="5" t="e">
        <f aca="false">IFERROR(ROUND(MatchData[[#this row],[drawbridge sum]]/MatchData[[#this row],[drawbridge avail countigh6]],2),0)</f>
        <v>#VALUE!</v>
      </c>
      <c r="CW31" s="5" t="e">
        <f aca="false">IFERROR(ROUND(MatchData[[#this row],[sally port sum]]/MatchData[[#this row],[sally port avail count]],2),0)</f>
        <v>#VALUE!</v>
      </c>
      <c r="CX31" s="5" t="e">
        <f aca="false">IFERROR(ROUND(MatchData[[#this row],[rock wall sum]]/MatchData[[#this row],[rock wall avail count]],2),0)</f>
        <v>#VALUE!</v>
      </c>
      <c r="CY31" s="5" t="e">
        <f aca="false">IFERROR(ROUND(MatchData[[#this row],[rough terrain sum]]/MatchData[[#this row],[rough terrain avail count]],2),0)</f>
        <v>#VALUE!</v>
      </c>
      <c r="CZ31" s="5" t="e">
        <f aca="false">IFERROR(ROUND(MatchData[[#this row],[low bar sum]]/MatchData[[#this row],[low bar avail count]],2),0)</f>
        <v>#VALUE!</v>
      </c>
      <c r="DA31" s="5" t="e">
        <f aca="false">SUM(MatchData[[#this row],[cheval sum]:[low bar sum]])/MatchData[match count]</f>
        <v>#VALUE!</v>
      </c>
      <c r="DB31" s="16" t="n">
        <f aca="false">MAX(IF(C$2:C$74=C31,BP$2:BP$74))</f>
        <v>-1.79769313486232E+308</v>
      </c>
      <c r="DC31" s="16" t="e">
        <f aca="false">AVERAGEIF(MatchData[team],MatchData[[#this row],[team]],MatchData[total score])</f>
        <v>#VALUE!</v>
      </c>
      <c r="DD31" s="16" t="e">
        <f aca="false">ROUND(AVERAGEIF(MatchData[team],MatchData[team],MatchData[climb or challenge flag]),2)</f>
        <v>#VALUE!</v>
      </c>
    </row>
    <row r="32" customFormat="false" ht="14.5" hidden="false" customHeight="false" outlineLevel="0" collapsed="false">
      <c r="A32" s="13" t="s">
        <v>108</v>
      </c>
      <c r="B32" s="14" t="n">
        <v>6</v>
      </c>
      <c r="C32" s="15" t="n">
        <v>955</v>
      </c>
      <c r="D32" s="5" t="s">
        <v>109</v>
      </c>
      <c r="E32" s="5" t="s">
        <v>122</v>
      </c>
      <c r="H32" s="5"/>
      <c r="J32" s="5" t="n">
        <v>1</v>
      </c>
      <c r="K32" s="5"/>
      <c r="L32" s="5" t="n">
        <v>1</v>
      </c>
      <c r="M32" s="5"/>
      <c r="N32" s="5" t="n">
        <v>1</v>
      </c>
      <c r="O32" s="5" t="n">
        <v>1</v>
      </c>
      <c r="P32" s="5"/>
      <c r="Q32" s="5" t="n">
        <v>1</v>
      </c>
      <c r="R32" s="0"/>
      <c r="S32" s="5" t="n">
        <v>1</v>
      </c>
      <c r="T32" s="0"/>
      <c r="V32" s="0"/>
      <c r="W32" s="0"/>
      <c r="X32" s="0"/>
      <c r="AH32" s="5" t="n">
        <v>1</v>
      </c>
      <c r="AL32" s="5" t="n">
        <v>2</v>
      </c>
      <c r="AN32" s="5" t="n">
        <v>1</v>
      </c>
      <c r="AR32" s="5" t="n">
        <v>2</v>
      </c>
      <c r="AW32" s="5" t="n">
        <v>1</v>
      </c>
      <c r="BC32" s="5" t="e">
        <f aca="false">MatchData[cheval scored crossings]*5</f>
        <v>#VALUE!</v>
      </c>
      <c r="BD32" s="5" t="e">
        <f aca="false">MatchData[moat scored crosings]*5</f>
        <v>#VALUE!</v>
      </c>
      <c r="BE32" s="5" t="e">
        <f aca="false">MatchData[ramparts scored crossings]*5</f>
        <v>#VALUE!</v>
      </c>
      <c r="BF32" s="5" t="e">
        <f aca="false">MatchData[drawbridge scored crossings]*5</f>
        <v>#VALUE!</v>
      </c>
      <c r="BG32" s="5" t="e">
        <f aca="false">MatchData[sally port scored crossings]*5</f>
        <v>#VALUE!</v>
      </c>
      <c r="BH32" s="5" t="e">
        <f aca="false">MatchData[rock wall scored crossings]*5</f>
        <v>#VALUE!</v>
      </c>
      <c r="BI32" s="5" t="e">
        <f aca="false">MatchData[rough terrain scored crossings]*5</f>
        <v>#VALUE!</v>
      </c>
      <c r="BJ32" s="5" t="e">
        <f aca="false">MatchData[low bar scored crossings]*5</f>
        <v>#VALUE!</v>
      </c>
      <c r="BK32" s="5" t="e">
        <f aca="false">SUM(MatchData[[#this row],[low bar teleop crossings]:[rough terrain scored crossings]])</f>
        <v>#VALUE!</v>
      </c>
      <c r="BL32" s="5" t="e">
        <f aca="false">IFERROR(IF(OR(MatchData[[#this row],[challenge flag]],MatchData[[#this row],[climb flag]]),1,0),0)</f>
        <v>#VALUE!</v>
      </c>
      <c r="BM32" s="5" t="e">
        <f aca="false">MatchData[auto high goals]*10+MatchData[teleop high goals]*5</f>
        <v>#VALUE!</v>
      </c>
      <c r="BN32" s="5" t="e">
        <f aca="false">MatchData[auto low goals]*5+MatchData[teleop low goals]*2</f>
        <v>#VALUE!</v>
      </c>
      <c r="BO32" s="5" t="e">
        <f aca="false">MatchData[high goal score]+MatchData[low goal score]</f>
        <v>#VALUE!</v>
      </c>
      <c r="BP32" s="5" t="e">
        <f aca="false">MatchData[teleop high goals]+MatchData[teleop low goals]</f>
        <v>#VALUE!</v>
      </c>
      <c r="BQ32" s="5" t="e">
        <f aca="false">MatchData[[#this row],[auto reach flag]]*2+SUM(MatchData[[#this row],[portcullis auto crossings]:[low bar auto crossings]])*10+MatchData[[#this row],[auto low goals]]*5+MatchData[auto high goals]*10</f>
        <v>#VALUE!</v>
      </c>
      <c r="BR32" s="5" t="e">
        <f aca="false">SUM(MatchData[[#this row],[cheval teleop crossing score]:[low bar teleop crossing score]])</f>
        <v>#VALUE!</v>
      </c>
      <c r="BS32" s="5" t="e">
        <f aca="false">SUMIF(MatchData[team],MatchData[[#this row],[team]],MatchData[total auto score])/MatchData[match count]</f>
        <v>#VALUE!</v>
      </c>
      <c r="BT32" s="5" t="e">
        <f aca="false">MatchData[challenge flag]*5</f>
        <v>#VALUE!</v>
      </c>
      <c r="BU32" s="5" t="e">
        <f aca="false">MatchData[climb flag]*15</f>
        <v>#VALUE!</v>
      </c>
      <c r="BV32" s="5" t="e">
        <f aca="false">SUM(MatchData[[#this row],[total goal score]],MatchData[[#this row],[crossing score]],MatchData[[#this row],[challenge score]],MatchData[[#this row],[climb score]],MatchData[[#this row],[total auto score]])</f>
        <v>#VALUE!</v>
      </c>
      <c r="BW32" s="16" t="e">
        <f aca="false">ROUND(SUMIF(MatchData[team],MatchData[[#this row],[team]],MatchData[teleop low goals])/COUNTIF(MatchData[team],MatchData[[#this row],[team]]),2)</f>
        <v>#VALUE!</v>
      </c>
      <c r="BX32" s="16" t="e">
        <f aca="false">ROUND(SUMIF(MatchData[team],MatchData[[#this row],[team]],MatchData[teleop high goals])/COUNTIF(MatchData[team],MatchData[[#this row],[team]]),2)</f>
        <v>#VALUE!</v>
      </c>
      <c r="BY32" s="16" t="e">
        <f aca="false">COUNTIF(MatchData[team],MatchData[[#this row],[team]])</f>
        <v>#VALUE!</v>
      </c>
      <c r="BZ32" s="16" t="e">
        <f aca="false">SUMIF(MatchData[team],MatchData[[#this row],[team]],MatchData[portcullis available])</f>
        <v>#VALUE!</v>
      </c>
      <c r="CA32" s="16" t="e">
        <f aca="false">SUMIF(MatchData[team],MatchData[[#this row],[team]],MatchData[cheval available])</f>
        <v>#VALUE!</v>
      </c>
      <c r="CB32" s="16" t="e">
        <f aca="false">SUMIF(MatchData[team],MatchData[[#this row],[team]],MatchData[moat available])</f>
        <v>#VALUE!</v>
      </c>
      <c r="CC32" s="16" t="e">
        <f aca="false">SUMIF(MatchData[team],MatchData[[#this row],[team]],MatchData[ramparts available])</f>
        <v>#VALUE!</v>
      </c>
      <c r="CD32" s="16" t="e">
        <f aca="false">SUMIF(MatchData[team],MatchData[[#this row],[team]],MatchData[drawbridge available])</f>
        <v>#VALUE!</v>
      </c>
      <c r="CE32" s="16" t="e">
        <f aca="false">SUMIF(MatchData[team],MatchData[[#this row],[team]],MatchData[sally port available])</f>
        <v>#VALUE!</v>
      </c>
      <c r="CF32" s="16" t="e">
        <f aca="false">SUMIF(MatchData[team],MatchData[[#this row],[team]],MatchData[rock wall available])</f>
        <v>#VALUE!</v>
      </c>
      <c r="CG32" s="16" t="e">
        <f aca="false">SUMIF(MatchData[team],MatchData[[#this row],[team]],MatchData[rough terrain available])</f>
        <v>#VALUE!</v>
      </c>
      <c r="CH32" s="16" t="e">
        <f aca="false">SUMIF(MatchData[team],MatchData[[#this row],[team]],MatchData[low bar available])</f>
        <v>#VALUE!</v>
      </c>
      <c r="CI32" s="16" t="e">
        <f aca="false">SUMIF(MatchData[team],MatchData[[#this row],[team]],MatchData[portcullis teleop crossings]:MatchData[portcullis scored crossings])</f>
        <v>#VALUE!</v>
      </c>
      <c r="CJ32" s="16" t="e">
        <f aca="false">SUMIF(MatchData[team],MatchData[[#this row],[team]],MatchData[cheval teleop crossings])+SUMIF(MatchData[team],MatchData[[#this row],[team]],MatchData[cheval scored crossings])</f>
        <v>#VALUE!</v>
      </c>
      <c r="CK32" s="16" t="e">
        <f aca="false">SUMIF(MatchData[team],MatchData[[#this row],[team]],MatchData[moat teleop crossings])+SUMIF(MatchData[team],MatchData[[#this row],[team]],MatchData[moat scored crosings])</f>
        <v>#VALUE!</v>
      </c>
      <c r="CL32" s="16" t="e">
        <f aca="false">SUMIF(MatchData[team],MatchData[[#this row],[team]],MatchData[ramparts teleop crossings])+SUMIF(MatchData[team],MatchData[[#this row],[team]],MatchData[ramparts scored crossings])</f>
        <v>#VALUE!</v>
      </c>
      <c r="CM32" s="16" t="e">
        <f aca="false">SUMIF(MatchData[team],MatchData[[#this row],[team]],MatchData[drawbridge teleop crossings])+SUMIF(MatchData[team],MatchData[[#this row],[team]],MatchData[drawbridge scored crossings])</f>
        <v>#VALUE!</v>
      </c>
      <c r="CN32" s="16" t="e">
        <f aca="false">SUMIF(MatchData[team],MatchData[[#this row],[team]],MatchData[sally port teleop crossings])+SUMIF(MatchData[team],MatchData[[#this row],[team]],MatchData[sally port scored crossings])</f>
        <v>#VALUE!</v>
      </c>
      <c r="CO32" s="16" t="e">
        <f aca="false">SUMIF(MatchData[team],MatchData[[#this row],[team]],MatchData[rock wall teleop crossings])+SUMIF(MatchData[team],MatchData[[#this row],[team]],MatchData[rock wall scored crossings])</f>
        <v>#VALUE!</v>
      </c>
      <c r="CP32" s="16" t="e">
        <f aca="false">SUMIF(MatchData[team],MatchData[[#this row],[team]],MatchData[rough terrain teleop crossings])+SUMIF(MatchData[team],MatchData[[#this row],[team]],MatchData[rough terrain scored crossings])</f>
        <v>#VALUE!</v>
      </c>
      <c r="CQ32" s="16" t="e">
        <f aca="false">SUMIF(MatchData[team],MatchData[[#this row],[team]],MatchData[low bar teleop crossings])+SUMIF(MatchData[team],MatchData[[#this row],[team]],MatchData[low bar scored crossings])</f>
        <v>#VALUE!</v>
      </c>
      <c r="CR32" s="16" t="e">
        <f aca="false">IFERROR(ROUND(MatchData[[#this row],[portcullis sum]]/MatchData[[#this row],[portcullis avail count]],2),0)</f>
        <v>#VALUE!</v>
      </c>
      <c r="CS32" s="5" t="e">
        <f aca="false">IFERROR(ROUND(MatchData[[#this row],[cheval sum]]/MatchData[[#this row],[cheval avail count]],2),0)</f>
        <v>#VALUE!</v>
      </c>
      <c r="CT32" s="5" t="e">
        <f aca="false">IFERROR(ROUND(MatchData[[#this row],[moat sum]]/MatchData[[#this row],[moat avail count]],2),0)</f>
        <v>#VALUE!</v>
      </c>
      <c r="CU32" s="5" t="e">
        <f aca="false">IFERROR(ROUND(MatchData[[#this row],[ramparts sum]]/MatchData[[#this row],[ramparts avail count]],2),0)</f>
        <v>#VALUE!</v>
      </c>
      <c r="CV32" s="5" t="e">
        <f aca="false">IFERROR(ROUND(MatchData[[#this row],[drawbridge sum]]/MatchData[[#this row],[drawbridge avail countigh6]],2),0)</f>
        <v>#VALUE!</v>
      </c>
      <c r="CW32" s="5" t="e">
        <f aca="false">IFERROR(ROUND(MatchData[[#this row],[sally port sum]]/MatchData[[#this row],[sally port avail count]],2),0)</f>
        <v>#VALUE!</v>
      </c>
      <c r="CX32" s="5" t="e">
        <f aca="false">IFERROR(ROUND(MatchData[[#this row],[rock wall sum]]/MatchData[[#this row],[rock wall avail count]],2),0)</f>
        <v>#VALUE!</v>
      </c>
      <c r="CY32" s="5" t="e">
        <f aca="false">IFERROR(ROUND(MatchData[[#this row],[rough terrain sum]]/MatchData[[#this row],[rough terrain avail count]],2),0)</f>
        <v>#VALUE!</v>
      </c>
      <c r="CZ32" s="5" t="e">
        <f aca="false">IFERROR(ROUND(MatchData[[#this row],[low bar sum]]/MatchData[[#this row],[low bar avail count]],2),0)</f>
        <v>#VALUE!</v>
      </c>
      <c r="DA32" s="5" t="e">
        <f aca="false">SUM(MatchData[[#this row],[cheval sum]:[low bar sum]])/MatchData[match count]</f>
        <v>#VALUE!</v>
      </c>
      <c r="DB32" s="16" t="n">
        <f aca="false">MAX(IF(C$2:C$74=C32,BP$2:BP$74))</f>
        <v>-1.79769313486232E+308</v>
      </c>
      <c r="DC32" s="16" t="e">
        <f aca="false">AVERAGEIF(MatchData[team],MatchData[[#this row],[team]],MatchData[total score])</f>
        <v>#VALUE!</v>
      </c>
      <c r="DD32" s="16" t="e">
        <f aca="false">ROUND(AVERAGEIF(MatchData[team],MatchData[team],MatchData[climb or challenge flag]),2)</f>
        <v>#VALUE!</v>
      </c>
    </row>
    <row r="33" customFormat="false" ht="14.5" hidden="false" customHeight="false" outlineLevel="0" collapsed="false">
      <c r="A33" s="13" t="s">
        <v>108</v>
      </c>
      <c r="B33" s="14" t="n">
        <v>6</v>
      </c>
      <c r="C33" s="15" t="n">
        <v>2915</v>
      </c>
      <c r="D33" s="5" t="s">
        <v>109</v>
      </c>
      <c r="E33" s="5" t="s">
        <v>120</v>
      </c>
      <c r="H33" s="5"/>
      <c r="J33" s="5" t="n">
        <v>1</v>
      </c>
      <c r="K33" s="5"/>
      <c r="L33" s="5" t="n">
        <v>1</v>
      </c>
      <c r="M33" s="5"/>
      <c r="N33" s="5" t="n">
        <v>1</v>
      </c>
      <c r="O33" s="5" t="n">
        <v>1</v>
      </c>
      <c r="P33" s="5"/>
      <c r="Q33" s="5" t="n">
        <v>1</v>
      </c>
      <c r="R33" s="0"/>
      <c r="T33" s="0"/>
      <c r="V33" s="0"/>
      <c r="W33" s="0"/>
      <c r="X33" s="0"/>
      <c r="AH33" s="5" t="n">
        <v>1</v>
      </c>
      <c r="AW33" s="5" t="n">
        <v>1</v>
      </c>
      <c r="BC33" s="5" t="e">
        <f aca="false">MatchData[cheval scored crossings]*5</f>
        <v>#VALUE!</v>
      </c>
      <c r="BD33" s="5" t="e">
        <f aca="false">MatchData[moat scored crosings]*5</f>
        <v>#VALUE!</v>
      </c>
      <c r="BE33" s="5" t="e">
        <f aca="false">MatchData[ramparts scored crossings]*5</f>
        <v>#VALUE!</v>
      </c>
      <c r="BF33" s="5" t="e">
        <f aca="false">MatchData[drawbridge scored crossings]*5</f>
        <v>#VALUE!</v>
      </c>
      <c r="BG33" s="5" t="e">
        <f aca="false">MatchData[sally port scored crossings]*5</f>
        <v>#VALUE!</v>
      </c>
      <c r="BH33" s="5" t="e">
        <f aca="false">MatchData[rock wall scored crossings]*5</f>
        <v>#VALUE!</v>
      </c>
      <c r="BI33" s="5" t="e">
        <f aca="false">MatchData[rough terrain scored crossings]*5</f>
        <v>#VALUE!</v>
      </c>
      <c r="BJ33" s="5" t="e">
        <f aca="false">MatchData[low bar scored crossings]*5</f>
        <v>#VALUE!</v>
      </c>
      <c r="BK33" s="5" t="e">
        <f aca="false">SUM(MatchData[[#this row],[low bar teleop crossings]:[rough terrain scored crossings]])</f>
        <v>#VALUE!</v>
      </c>
      <c r="BL33" s="5" t="e">
        <f aca="false">IFERROR(IF(OR(MatchData[[#this row],[challenge flag]],MatchData[[#this row],[climb flag]]),1,0),0)</f>
        <v>#VALUE!</v>
      </c>
      <c r="BM33" s="5" t="e">
        <f aca="false">MatchData[auto high goals]*10+MatchData[teleop high goals]*5</f>
        <v>#VALUE!</v>
      </c>
      <c r="BN33" s="5" t="e">
        <f aca="false">MatchData[auto low goals]*5+MatchData[teleop low goals]*2</f>
        <v>#VALUE!</v>
      </c>
      <c r="BO33" s="5" t="e">
        <f aca="false">MatchData[high goal score]+MatchData[low goal score]</f>
        <v>#VALUE!</v>
      </c>
      <c r="BP33" s="5" t="e">
        <f aca="false">MatchData[teleop high goals]+MatchData[teleop low goals]</f>
        <v>#VALUE!</v>
      </c>
      <c r="BQ33" s="5" t="e">
        <f aca="false">MatchData[[#this row],[auto reach flag]]*2+SUM(MatchData[[#this row],[portcullis auto crossings]:[low bar auto crossings]])*10+MatchData[[#this row],[auto low goals]]*5+MatchData[auto high goals]*10</f>
        <v>#VALUE!</v>
      </c>
      <c r="BR33" s="5" t="e">
        <f aca="false">SUM(MatchData[[#this row],[cheval teleop crossing score]:[low bar teleop crossing score]])</f>
        <v>#VALUE!</v>
      </c>
      <c r="BS33" s="5" t="e">
        <f aca="false">SUMIF(MatchData[team],MatchData[[#this row],[team]],MatchData[total auto score])/MatchData[match count]</f>
        <v>#VALUE!</v>
      </c>
      <c r="BT33" s="5" t="e">
        <f aca="false">MatchData[challenge flag]*5</f>
        <v>#VALUE!</v>
      </c>
      <c r="BU33" s="5" t="e">
        <f aca="false">MatchData[climb flag]*15</f>
        <v>#VALUE!</v>
      </c>
      <c r="BV33" s="5" t="e">
        <f aca="false">SUM(MatchData[[#this row],[total goal score]],MatchData[[#this row],[crossing score]],MatchData[[#this row],[challenge score]],MatchData[[#this row],[climb score]],MatchData[[#this row],[total auto score]])</f>
        <v>#VALUE!</v>
      </c>
      <c r="BW33" s="16" t="e">
        <f aca="false">ROUND(SUMIF(MatchData[team],MatchData[[#this row],[team]],MatchData[teleop low goals])/COUNTIF(MatchData[team],MatchData[[#this row],[team]]),2)</f>
        <v>#VALUE!</v>
      </c>
      <c r="BX33" s="16" t="e">
        <f aca="false">ROUND(SUMIF(MatchData[team],MatchData[[#this row],[team]],MatchData[teleop high goals])/COUNTIF(MatchData[team],MatchData[[#this row],[team]]),2)</f>
        <v>#VALUE!</v>
      </c>
      <c r="BY33" s="16" t="e">
        <f aca="false">COUNTIF(MatchData[team],MatchData[[#this row],[team]])</f>
        <v>#VALUE!</v>
      </c>
      <c r="BZ33" s="16" t="e">
        <f aca="false">SUMIF(MatchData[team],MatchData[[#this row],[team]],MatchData[portcullis available])</f>
        <v>#VALUE!</v>
      </c>
      <c r="CA33" s="16" t="e">
        <f aca="false">SUMIF(MatchData[team],MatchData[[#this row],[team]],MatchData[cheval available])</f>
        <v>#VALUE!</v>
      </c>
      <c r="CB33" s="16" t="e">
        <f aca="false">SUMIF(MatchData[team],MatchData[[#this row],[team]],MatchData[moat available])</f>
        <v>#VALUE!</v>
      </c>
      <c r="CC33" s="16" t="e">
        <f aca="false">SUMIF(MatchData[team],MatchData[[#this row],[team]],MatchData[ramparts available])</f>
        <v>#VALUE!</v>
      </c>
      <c r="CD33" s="16" t="e">
        <f aca="false">SUMIF(MatchData[team],MatchData[[#this row],[team]],MatchData[drawbridge available])</f>
        <v>#VALUE!</v>
      </c>
      <c r="CE33" s="16" t="e">
        <f aca="false">SUMIF(MatchData[team],MatchData[[#this row],[team]],MatchData[sally port available])</f>
        <v>#VALUE!</v>
      </c>
      <c r="CF33" s="16" t="e">
        <f aca="false">SUMIF(MatchData[team],MatchData[[#this row],[team]],MatchData[rock wall available])</f>
        <v>#VALUE!</v>
      </c>
      <c r="CG33" s="16" t="e">
        <f aca="false">SUMIF(MatchData[team],MatchData[[#this row],[team]],MatchData[rough terrain available])</f>
        <v>#VALUE!</v>
      </c>
      <c r="CH33" s="16" t="e">
        <f aca="false">SUMIF(MatchData[team],MatchData[[#this row],[team]],MatchData[low bar available])</f>
        <v>#VALUE!</v>
      </c>
      <c r="CI33" s="16" t="e">
        <f aca="false">SUMIF(MatchData[team],MatchData[[#this row],[team]],MatchData[portcullis teleop crossings]:MatchData[portcullis scored crossings])</f>
        <v>#VALUE!</v>
      </c>
      <c r="CJ33" s="16" t="e">
        <f aca="false">SUMIF(MatchData[team],MatchData[[#this row],[team]],MatchData[cheval teleop crossings])+SUMIF(MatchData[team],MatchData[[#this row],[team]],MatchData[cheval scored crossings])</f>
        <v>#VALUE!</v>
      </c>
      <c r="CK33" s="16" t="e">
        <f aca="false">SUMIF(MatchData[team],MatchData[[#this row],[team]],MatchData[moat teleop crossings])+SUMIF(MatchData[team],MatchData[[#this row],[team]],MatchData[moat scored crosings])</f>
        <v>#VALUE!</v>
      </c>
      <c r="CL33" s="16" t="e">
        <f aca="false">SUMIF(MatchData[team],MatchData[[#this row],[team]],MatchData[ramparts teleop crossings])+SUMIF(MatchData[team],MatchData[[#this row],[team]],MatchData[ramparts scored crossings])</f>
        <v>#VALUE!</v>
      </c>
      <c r="CM33" s="16" t="e">
        <f aca="false">SUMIF(MatchData[team],MatchData[[#this row],[team]],MatchData[drawbridge teleop crossings])+SUMIF(MatchData[team],MatchData[[#this row],[team]],MatchData[drawbridge scored crossings])</f>
        <v>#VALUE!</v>
      </c>
      <c r="CN33" s="16" t="e">
        <f aca="false">SUMIF(MatchData[team],MatchData[[#this row],[team]],MatchData[sally port teleop crossings])+SUMIF(MatchData[team],MatchData[[#this row],[team]],MatchData[sally port scored crossings])</f>
        <v>#VALUE!</v>
      </c>
      <c r="CO33" s="16" t="e">
        <f aca="false">SUMIF(MatchData[team],MatchData[[#this row],[team]],MatchData[rock wall teleop crossings])+SUMIF(MatchData[team],MatchData[[#this row],[team]],MatchData[rock wall scored crossings])</f>
        <v>#VALUE!</v>
      </c>
      <c r="CP33" s="16" t="e">
        <f aca="false">SUMIF(MatchData[team],MatchData[[#this row],[team]],MatchData[rough terrain teleop crossings])+SUMIF(MatchData[team],MatchData[[#this row],[team]],MatchData[rough terrain scored crossings])</f>
        <v>#VALUE!</v>
      </c>
      <c r="CQ33" s="16" t="e">
        <f aca="false">SUMIF(MatchData[team],MatchData[[#this row],[team]],MatchData[low bar teleop crossings])+SUMIF(MatchData[team],MatchData[[#this row],[team]],MatchData[low bar scored crossings])</f>
        <v>#VALUE!</v>
      </c>
      <c r="CR33" s="16" t="e">
        <f aca="false">IFERROR(ROUND(MatchData[[#this row],[portcullis sum]]/MatchData[[#this row],[portcullis avail count]],2),0)</f>
        <v>#VALUE!</v>
      </c>
      <c r="CS33" s="5" t="e">
        <f aca="false">IFERROR(ROUND(MatchData[[#this row],[cheval sum]]/MatchData[[#this row],[cheval avail count]],2),0)</f>
        <v>#VALUE!</v>
      </c>
      <c r="CT33" s="5" t="e">
        <f aca="false">IFERROR(ROUND(MatchData[[#this row],[moat sum]]/MatchData[[#this row],[moat avail count]],2),0)</f>
        <v>#VALUE!</v>
      </c>
      <c r="CU33" s="5" t="e">
        <f aca="false">IFERROR(ROUND(MatchData[[#this row],[ramparts sum]]/MatchData[[#this row],[ramparts avail count]],2),0)</f>
        <v>#VALUE!</v>
      </c>
      <c r="CV33" s="5" t="e">
        <f aca="false">IFERROR(ROUND(MatchData[[#this row],[drawbridge sum]]/MatchData[[#this row],[drawbridge avail countigh6]],2),0)</f>
        <v>#VALUE!</v>
      </c>
      <c r="CW33" s="5" t="e">
        <f aca="false">IFERROR(ROUND(MatchData[[#this row],[sally port sum]]/MatchData[[#this row],[sally port avail count]],2),0)</f>
        <v>#VALUE!</v>
      </c>
      <c r="CX33" s="5" t="e">
        <f aca="false">IFERROR(ROUND(MatchData[[#this row],[rock wall sum]]/MatchData[[#this row],[rock wall avail count]],2),0)</f>
        <v>#VALUE!</v>
      </c>
      <c r="CY33" s="5" t="e">
        <f aca="false">IFERROR(ROUND(MatchData[[#this row],[rough terrain sum]]/MatchData[[#this row],[rough terrain avail count]],2),0)</f>
        <v>#VALUE!</v>
      </c>
      <c r="CZ33" s="5" t="e">
        <f aca="false">IFERROR(ROUND(MatchData[[#this row],[low bar sum]]/MatchData[[#this row],[low bar avail count]],2),0)</f>
        <v>#VALUE!</v>
      </c>
      <c r="DA33" s="5" t="e">
        <f aca="false">SUM(MatchData[[#this row],[cheval sum]:[low bar sum]])/MatchData[match count]</f>
        <v>#VALUE!</v>
      </c>
      <c r="DB33" s="16" t="n">
        <f aca="false">MAX(IF(C$2:C$74=C33,BP$2:BP$74))</f>
        <v>-1.79769313486232E+308</v>
      </c>
      <c r="DC33" s="16" t="e">
        <f aca="false">AVERAGEIF(MatchData[team],MatchData[[#this row],[team]],MatchData[total score])</f>
        <v>#VALUE!</v>
      </c>
      <c r="DD33" s="16" t="e">
        <f aca="false">ROUND(AVERAGEIF(MatchData[team],MatchData[team],MatchData[climb or challenge flag]),2)</f>
        <v>#VALUE!</v>
      </c>
    </row>
    <row r="34" customFormat="false" ht="14.5" hidden="false" customHeight="false" outlineLevel="0" collapsed="false">
      <c r="A34" s="13" t="s">
        <v>108</v>
      </c>
      <c r="B34" s="14" t="n">
        <v>6</v>
      </c>
      <c r="C34" s="15" t="n">
        <v>3192</v>
      </c>
      <c r="D34" s="5" t="s">
        <v>109</v>
      </c>
      <c r="E34" s="5" t="s">
        <v>124</v>
      </c>
      <c r="H34" s="5"/>
      <c r="J34" s="5" t="n">
        <v>1</v>
      </c>
      <c r="K34" s="5"/>
      <c r="L34" s="5" t="n">
        <v>1</v>
      </c>
      <c r="M34" s="5"/>
      <c r="N34" s="5" t="n">
        <v>1</v>
      </c>
      <c r="O34" s="5" t="n">
        <v>1</v>
      </c>
      <c r="P34" s="5"/>
      <c r="Q34" s="5" t="n">
        <v>1</v>
      </c>
      <c r="R34" s="0"/>
      <c r="T34" s="0"/>
      <c r="V34" s="0"/>
      <c r="W34" s="0"/>
      <c r="X34" s="0"/>
      <c r="BC34" s="5" t="e">
        <f aca="false">MatchData[cheval scored crossings]*5</f>
        <v>#VALUE!</v>
      </c>
      <c r="BD34" s="5" t="e">
        <f aca="false">MatchData[moat scored crosings]*5</f>
        <v>#VALUE!</v>
      </c>
      <c r="BE34" s="5" t="e">
        <f aca="false">MatchData[ramparts scored crossings]*5</f>
        <v>#VALUE!</v>
      </c>
      <c r="BF34" s="5" t="e">
        <f aca="false">MatchData[drawbridge scored crossings]*5</f>
        <v>#VALUE!</v>
      </c>
      <c r="BG34" s="5" t="e">
        <f aca="false">MatchData[sally port scored crossings]*5</f>
        <v>#VALUE!</v>
      </c>
      <c r="BH34" s="5" t="e">
        <f aca="false">MatchData[rock wall scored crossings]*5</f>
        <v>#VALUE!</v>
      </c>
      <c r="BI34" s="5" t="e">
        <f aca="false">MatchData[rough terrain scored crossings]*5</f>
        <v>#VALUE!</v>
      </c>
      <c r="BJ34" s="5" t="e">
        <f aca="false">MatchData[low bar scored crossings]*5</f>
        <v>#VALUE!</v>
      </c>
      <c r="BK34" s="5" t="e">
        <f aca="false">SUM(MatchData[[#this row],[low bar teleop crossings]:[rough terrain scored crossings]])</f>
        <v>#VALUE!</v>
      </c>
      <c r="BL34" s="5" t="e">
        <f aca="false">IFERROR(IF(OR(MatchData[[#this row],[challenge flag]],MatchData[[#this row],[climb flag]]),1,0),0)</f>
        <v>#VALUE!</v>
      </c>
      <c r="BM34" s="5" t="e">
        <f aca="false">MatchData[auto high goals]*10+MatchData[teleop high goals]*5</f>
        <v>#VALUE!</v>
      </c>
      <c r="BN34" s="5" t="e">
        <f aca="false">MatchData[auto low goals]*5+MatchData[teleop low goals]*2</f>
        <v>#VALUE!</v>
      </c>
      <c r="BO34" s="5" t="e">
        <f aca="false">MatchData[high goal score]+MatchData[low goal score]</f>
        <v>#VALUE!</v>
      </c>
      <c r="BP34" s="5" t="e">
        <f aca="false">MatchData[teleop high goals]+MatchData[teleop low goals]</f>
        <v>#VALUE!</v>
      </c>
      <c r="BQ34" s="5" t="e">
        <f aca="false">MatchData[[#this row],[auto reach flag]]*2+SUM(MatchData[[#this row],[portcullis auto crossings]:[low bar auto crossings]])*10+MatchData[[#this row],[auto low goals]]*5+MatchData[auto high goals]*10</f>
        <v>#VALUE!</v>
      </c>
      <c r="BR34" s="5" t="e">
        <f aca="false">SUM(MatchData[[#this row],[cheval teleop crossing score]:[low bar teleop crossing score]])</f>
        <v>#VALUE!</v>
      </c>
      <c r="BS34" s="5" t="e">
        <f aca="false">SUMIF(MatchData[team],MatchData[[#this row],[team]],MatchData[total auto score])/MatchData[match count]</f>
        <v>#VALUE!</v>
      </c>
      <c r="BT34" s="5" t="e">
        <f aca="false">MatchData[challenge flag]*5</f>
        <v>#VALUE!</v>
      </c>
      <c r="BU34" s="5" t="e">
        <f aca="false">MatchData[climb flag]*15</f>
        <v>#VALUE!</v>
      </c>
      <c r="BV34" s="5" t="e">
        <f aca="false">SUM(MatchData[[#this row],[total goal score]],MatchData[[#this row],[crossing score]],MatchData[[#this row],[challenge score]],MatchData[[#this row],[climb score]],MatchData[[#this row],[total auto score]])</f>
        <v>#VALUE!</v>
      </c>
      <c r="BW34" s="16" t="e">
        <f aca="false">ROUND(SUMIF(MatchData[team],MatchData[[#this row],[team]],MatchData[teleop low goals])/COUNTIF(MatchData[team],MatchData[[#this row],[team]]),2)</f>
        <v>#VALUE!</v>
      </c>
      <c r="BX34" s="16" t="e">
        <f aca="false">ROUND(SUMIF(MatchData[team],MatchData[[#this row],[team]],MatchData[teleop high goals])/COUNTIF(MatchData[team],MatchData[[#this row],[team]]),2)</f>
        <v>#VALUE!</v>
      </c>
      <c r="BY34" s="16" t="e">
        <f aca="false">COUNTIF(MatchData[team],MatchData[[#this row],[team]])</f>
        <v>#VALUE!</v>
      </c>
      <c r="BZ34" s="16" t="e">
        <f aca="false">SUMIF(MatchData[team],MatchData[[#this row],[team]],MatchData[portcullis available])</f>
        <v>#VALUE!</v>
      </c>
      <c r="CA34" s="16" t="e">
        <f aca="false">SUMIF(MatchData[team],MatchData[[#this row],[team]],MatchData[cheval available])</f>
        <v>#VALUE!</v>
      </c>
      <c r="CB34" s="16" t="e">
        <f aca="false">SUMIF(MatchData[team],MatchData[[#this row],[team]],MatchData[moat available])</f>
        <v>#VALUE!</v>
      </c>
      <c r="CC34" s="16" t="e">
        <f aca="false">SUMIF(MatchData[team],MatchData[[#this row],[team]],MatchData[ramparts available])</f>
        <v>#VALUE!</v>
      </c>
      <c r="CD34" s="16" t="e">
        <f aca="false">SUMIF(MatchData[team],MatchData[[#this row],[team]],MatchData[drawbridge available])</f>
        <v>#VALUE!</v>
      </c>
      <c r="CE34" s="16" t="e">
        <f aca="false">SUMIF(MatchData[team],MatchData[[#this row],[team]],MatchData[sally port available])</f>
        <v>#VALUE!</v>
      </c>
      <c r="CF34" s="16" t="e">
        <f aca="false">SUMIF(MatchData[team],MatchData[[#this row],[team]],MatchData[rock wall available])</f>
        <v>#VALUE!</v>
      </c>
      <c r="CG34" s="16" t="e">
        <f aca="false">SUMIF(MatchData[team],MatchData[[#this row],[team]],MatchData[rough terrain available])</f>
        <v>#VALUE!</v>
      </c>
      <c r="CH34" s="16" t="e">
        <f aca="false">SUMIF(MatchData[team],MatchData[[#this row],[team]],MatchData[low bar available])</f>
        <v>#VALUE!</v>
      </c>
      <c r="CI34" s="16" t="e">
        <f aca="false">SUMIF(MatchData[team],MatchData[[#this row],[team]],MatchData[portcullis teleop crossings]:MatchData[portcullis scored crossings])</f>
        <v>#VALUE!</v>
      </c>
      <c r="CJ34" s="16" t="e">
        <f aca="false">SUMIF(MatchData[team],MatchData[[#this row],[team]],MatchData[cheval teleop crossings])+SUMIF(MatchData[team],MatchData[[#this row],[team]],MatchData[cheval scored crossings])</f>
        <v>#VALUE!</v>
      </c>
      <c r="CK34" s="16" t="e">
        <f aca="false">SUMIF(MatchData[team],MatchData[[#this row],[team]],MatchData[moat teleop crossings])+SUMIF(MatchData[team],MatchData[[#this row],[team]],MatchData[moat scored crosings])</f>
        <v>#VALUE!</v>
      </c>
      <c r="CL34" s="16" t="e">
        <f aca="false">SUMIF(MatchData[team],MatchData[[#this row],[team]],MatchData[ramparts teleop crossings])+SUMIF(MatchData[team],MatchData[[#this row],[team]],MatchData[ramparts scored crossings])</f>
        <v>#VALUE!</v>
      </c>
      <c r="CM34" s="16" t="e">
        <f aca="false">SUMIF(MatchData[team],MatchData[[#this row],[team]],MatchData[drawbridge teleop crossings])+SUMIF(MatchData[team],MatchData[[#this row],[team]],MatchData[drawbridge scored crossings])</f>
        <v>#VALUE!</v>
      </c>
      <c r="CN34" s="16" t="e">
        <f aca="false">SUMIF(MatchData[team],MatchData[[#this row],[team]],MatchData[sally port teleop crossings])+SUMIF(MatchData[team],MatchData[[#this row],[team]],MatchData[sally port scored crossings])</f>
        <v>#VALUE!</v>
      </c>
      <c r="CO34" s="16" t="e">
        <f aca="false">SUMIF(MatchData[team],MatchData[[#this row],[team]],MatchData[rock wall teleop crossings])+SUMIF(MatchData[team],MatchData[[#this row],[team]],MatchData[rock wall scored crossings])</f>
        <v>#VALUE!</v>
      </c>
      <c r="CP34" s="16" t="e">
        <f aca="false">SUMIF(MatchData[team],MatchData[[#this row],[team]],MatchData[rough terrain teleop crossings])+SUMIF(MatchData[team],MatchData[[#this row],[team]],MatchData[rough terrain scored crossings])</f>
        <v>#VALUE!</v>
      </c>
      <c r="CQ34" s="16" t="e">
        <f aca="false">SUMIF(MatchData[team],MatchData[[#this row],[team]],MatchData[low bar teleop crossings])+SUMIF(MatchData[team],MatchData[[#this row],[team]],MatchData[low bar scored crossings])</f>
        <v>#VALUE!</v>
      </c>
      <c r="CR34" s="16" t="e">
        <f aca="false">IFERROR(ROUND(MatchData[[#this row],[portcullis sum]]/MatchData[[#this row],[portcullis avail count]],2),0)</f>
        <v>#VALUE!</v>
      </c>
      <c r="CS34" s="5" t="e">
        <f aca="false">IFERROR(ROUND(MatchData[[#this row],[cheval sum]]/MatchData[[#this row],[cheval avail count]],2),0)</f>
        <v>#VALUE!</v>
      </c>
      <c r="CT34" s="5" t="e">
        <f aca="false">IFERROR(ROUND(MatchData[[#this row],[moat sum]]/MatchData[[#this row],[moat avail count]],2),0)</f>
        <v>#VALUE!</v>
      </c>
      <c r="CU34" s="5" t="e">
        <f aca="false">IFERROR(ROUND(MatchData[[#this row],[ramparts sum]]/MatchData[[#this row],[ramparts avail count]],2),0)</f>
        <v>#VALUE!</v>
      </c>
      <c r="CV34" s="5" t="e">
        <f aca="false">IFERROR(ROUND(MatchData[[#this row],[drawbridge sum]]/MatchData[[#this row],[drawbridge avail countigh6]],2),0)</f>
        <v>#VALUE!</v>
      </c>
      <c r="CW34" s="5" t="e">
        <f aca="false">IFERROR(ROUND(MatchData[[#this row],[sally port sum]]/MatchData[[#this row],[sally port avail count]],2),0)</f>
        <v>#VALUE!</v>
      </c>
      <c r="CX34" s="5" t="e">
        <f aca="false">IFERROR(ROUND(MatchData[[#this row],[rock wall sum]]/MatchData[[#this row],[rock wall avail count]],2),0)</f>
        <v>#VALUE!</v>
      </c>
      <c r="CY34" s="5" t="e">
        <f aca="false">IFERROR(ROUND(MatchData[[#this row],[rough terrain sum]]/MatchData[[#this row],[rough terrain avail count]],2),0)</f>
        <v>#VALUE!</v>
      </c>
      <c r="CZ34" s="5" t="e">
        <f aca="false">IFERROR(ROUND(MatchData[[#this row],[low bar sum]]/MatchData[[#this row],[low bar avail count]],2),0)</f>
        <v>#VALUE!</v>
      </c>
      <c r="DA34" s="5" t="e">
        <f aca="false">SUM(MatchData[[#this row],[cheval sum]:[low bar sum]])/MatchData[match count]</f>
        <v>#VALUE!</v>
      </c>
      <c r="DB34" s="16" t="n">
        <f aca="false">MAX(IF(C$2:C$74=C34,BP$2:BP$74))</f>
        <v>-1.79769313486232E+308</v>
      </c>
      <c r="DC34" s="16" t="e">
        <f aca="false">AVERAGEIF(MatchData[team],MatchData[[#this row],[team]],MatchData[total score])</f>
        <v>#VALUE!</v>
      </c>
      <c r="DD34" s="16" t="e">
        <f aca="false">ROUND(AVERAGEIF(MatchData[team],MatchData[team],MatchData[climb or challenge flag]),2)</f>
        <v>#VALUE!</v>
      </c>
    </row>
    <row r="35" customFormat="false" ht="14.5" hidden="false" customHeight="false" outlineLevel="0" collapsed="false">
      <c r="A35" s="13" t="s">
        <v>108</v>
      </c>
      <c r="B35" s="14" t="n">
        <v>6</v>
      </c>
      <c r="C35" s="15" t="n">
        <v>753</v>
      </c>
      <c r="D35" s="5" t="s">
        <v>113</v>
      </c>
      <c r="E35" s="5" t="s">
        <v>126</v>
      </c>
      <c r="H35" s="5"/>
      <c r="J35" s="5" t="n">
        <v>1</v>
      </c>
      <c r="K35" s="5"/>
      <c r="L35" s="5" t="n">
        <v>1</v>
      </c>
      <c r="M35" s="5" t="n">
        <v>1</v>
      </c>
      <c r="N35" s="5"/>
      <c r="O35" s="5"/>
      <c r="P35" s="5" t="n">
        <v>1</v>
      </c>
      <c r="Q35" s="5" t="n">
        <v>1</v>
      </c>
      <c r="R35" s="0"/>
      <c r="T35" s="0"/>
      <c r="V35" s="0"/>
      <c r="W35" s="0"/>
      <c r="X35" s="0"/>
      <c r="AP35" s="5" t="n">
        <v>2</v>
      </c>
      <c r="AR35" s="5" t="n">
        <v>1</v>
      </c>
      <c r="BC35" s="5" t="e">
        <f aca="false">MatchData[cheval scored crossings]*5</f>
        <v>#VALUE!</v>
      </c>
      <c r="BD35" s="5" t="e">
        <f aca="false">MatchData[moat scored crosings]*5</f>
        <v>#VALUE!</v>
      </c>
      <c r="BE35" s="5" t="e">
        <f aca="false">MatchData[ramparts scored crossings]*5</f>
        <v>#VALUE!</v>
      </c>
      <c r="BF35" s="5" t="e">
        <f aca="false">MatchData[drawbridge scored crossings]*5</f>
        <v>#VALUE!</v>
      </c>
      <c r="BG35" s="5" t="e">
        <f aca="false">MatchData[sally port scored crossings]*5</f>
        <v>#VALUE!</v>
      </c>
      <c r="BH35" s="5" t="e">
        <f aca="false">MatchData[rock wall scored crossings]*5</f>
        <v>#VALUE!</v>
      </c>
      <c r="BI35" s="5" t="e">
        <f aca="false">MatchData[rough terrain scored crossings]*5</f>
        <v>#VALUE!</v>
      </c>
      <c r="BJ35" s="5" t="e">
        <f aca="false">MatchData[low bar scored crossings]*5</f>
        <v>#VALUE!</v>
      </c>
      <c r="BK35" s="5" t="e">
        <f aca="false">SUM(MatchData[[#this row],[low bar teleop crossings]:[rough terrain scored crossings]])</f>
        <v>#VALUE!</v>
      </c>
      <c r="BL35" s="5" t="e">
        <f aca="false">IFERROR(IF(OR(MatchData[[#this row],[challenge flag]],MatchData[[#this row],[climb flag]]),1,0),0)</f>
        <v>#VALUE!</v>
      </c>
      <c r="BM35" s="5" t="e">
        <f aca="false">MatchData[auto high goals]*10+MatchData[teleop high goals]*5</f>
        <v>#VALUE!</v>
      </c>
      <c r="BN35" s="5" t="e">
        <f aca="false">MatchData[auto low goals]*5+MatchData[teleop low goals]*2</f>
        <v>#VALUE!</v>
      </c>
      <c r="BO35" s="5" t="e">
        <f aca="false">MatchData[high goal score]+MatchData[low goal score]</f>
        <v>#VALUE!</v>
      </c>
      <c r="BP35" s="5" t="e">
        <f aca="false">MatchData[teleop high goals]+MatchData[teleop low goals]</f>
        <v>#VALUE!</v>
      </c>
      <c r="BQ35" s="5" t="e">
        <f aca="false">MatchData[[#this row],[auto reach flag]]*2+SUM(MatchData[[#this row],[portcullis auto crossings]:[low bar auto crossings]])*10+MatchData[[#this row],[auto low goals]]*5+MatchData[auto high goals]*10</f>
        <v>#VALUE!</v>
      </c>
      <c r="BR35" s="5" t="e">
        <f aca="false">SUM(MatchData[[#this row],[cheval teleop crossing score]:[low bar teleop crossing score]])</f>
        <v>#VALUE!</v>
      </c>
      <c r="BS35" s="5" t="e">
        <f aca="false">SUMIF(MatchData[team],MatchData[[#this row],[team]],MatchData[total auto score])/MatchData[match count]</f>
        <v>#VALUE!</v>
      </c>
      <c r="BT35" s="5" t="e">
        <f aca="false">MatchData[challenge flag]*5</f>
        <v>#VALUE!</v>
      </c>
      <c r="BU35" s="5" t="e">
        <f aca="false">MatchData[climb flag]*15</f>
        <v>#VALUE!</v>
      </c>
      <c r="BV35" s="5" t="e">
        <f aca="false">SUM(MatchData[[#this row],[total goal score]],MatchData[[#this row],[crossing score]],MatchData[[#this row],[challenge score]],MatchData[[#this row],[climb score]],MatchData[[#this row],[total auto score]])</f>
        <v>#VALUE!</v>
      </c>
      <c r="BW35" s="16" t="e">
        <f aca="false">ROUND(SUMIF(MatchData[team],MatchData[[#this row],[team]],MatchData[teleop low goals])/COUNTIF(MatchData[team],MatchData[[#this row],[team]]),2)</f>
        <v>#VALUE!</v>
      </c>
      <c r="BX35" s="16" t="e">
        <f aca="false">ROUND(SUMIF(MatchData[team],MatchData[[#this row],[team]],MatchData[teleop high goals])/COUNTIF(MatchData[team],MatchData[[#this row],[team]]),2)</f>
        <v>#VALUE!</v>
      </c>
      <c r="BY35" s="16" t="e">
        <f aca="false">COUNTIF(MatchData[team],MatchData[[#this row],[team]])</f>
        <v>#VALUE!</v>
      </c>
      <c r="BZ35" s="16" t="e">
        <f aca="false">SUMIF(MatchData[team],MatchData[[#this row],[team]],MatchData[portcullis available])</f>
        <v>#VALUE!</v>
      </c>
      <c r="CA35" s="16" t="e">
        <f aca="false">SUMIF(MatchData[team],MatchData[[#this row],[team]],MatchData[cheval available])</f>
        <v>#VALUE!</v>
      </c>
      <c r="CB35" s="16" t="e">
        <f aca="false">SUMIF(MatchData[team],MatchData[[#this row],[team]],MatchData[moat available])</f>
        <v>#VALUE!</v>
      </c>
      <c r="CC35" s="16" t="e">
        <f aca="false">SUMIF(MatchData[team],MatchData[[#this row],[team]],MatchData[ramparts available])</f>
        <v>#VALUE!</v>
      </c>
      <c r="CD35" s="16" t="e">
        <f aca="false">SUMIF(MatchData[team],MatchData[[#this row],[team]],MatchData[drawbridge available])</f>
        <v>#VALUE!</v>
      </c>
      <c r="CE35" s="16" t="e">
        <f aca="false">SUMIF(MatchData[team],MatchData[[#this row],[team]],MatchData[sally port available])</f>
        <v>#VALUE!</v>
      </c>
      <c r="CF35" s="16" t="e">
        <f aca="false">SUMIF(MatchData[team],MatchData[[#this row],[team]],MatchData[rock wall available])</f>
        <v>#VALUE!</v>
      </c>
      <c r="CG35" s="16" t="e">
        <f aca="false">SUMIF(MatchData[team],MatchData[[#this row],[team]],MatchData[rough terrain available])</f>
        <v>#VALUE!</v>
      </c>
      <c r="CH35" s="16" t="e">
        <f aca="false">SUMIF(MatchData[team],MatchData[[#this row],[team]],MatchData[low bar available])</f>
        <v>#VALUE!</v>
      </c>
      <c r="CI35" s="16" t="e">
        <f aca="false">SUMIF(MatchData[team],MatchData[[#this row],[team]],MatchData[portcullis teleop crossings]:MatchData[portcullis scored crossings])</f>
        <v>#VALUE!</v>
      </c>
      <c r="CJ35" s="16" t="e">
        <f aca="false">SUMIF(MatchData[team],MatchData[[#this row],[team]],MatchData[cheval teleop crossings])+SUMIF(MatchData[team],MatchData[[#this row],[team]],MatchData[cheval scored crossings])</f>
        <v>#VALUE!</v>
      </c>
      <c r="CK35" s="16" t="e">
        <f aca="false">SUMIF(MatchData[team],MatchData[[#this row],[team]],MatchData[moat teleop crossings])+SUMIF(MatchData[team],MatchData[[#this row],[team]],MatchData[moat scored crosings])</f>
        <v>#VALUE!</v>
      </c>
      <c r="CL35" s="16" t="e">
        <f aca="false">SUMIF(MatchData[team],MatchData[[#this row],[team]],MatchData[ramparts teleop crossings])+SUMIF(MatchData[team],MatchData[[#this row],[team]],MatchData[ramparts scored crossings])</f>
        <v>#VALUE!</v>
      </c>
      <c r="CM35" s="16" t="e">
        <f aca="false">SUMIF(MatchData[team],MatchData[[#this row],[team]],MatchData[drawbridge teleop crossings])+SUMIF(MatchData[team],MatchData[[#this row],[team]],MatchData[drawbridge scored crossings])</f>
        <v>#VALUE!</v>
      </c>
      <c r="CN35" s="16" t="e">
        <f aca="false">SUMIF(MatchData[team],MatchData[[#this row],[team]],MatchData[sally port teleop crossings])+SUMIF(MatchData[team],MatchData[[#this row],[team]],MatchData[sally port scored crossings])</f>
        <v>#VALUE!</v>
      </c>
      <c r="CO35" s="16" t="e">
        <f aca="false">SUMIF(MatchData[team],MatchData[[#this row],[team]],MatchData[rock wall teleop crossings])+SUMIF(MatchData[team],MatchData[[#this row],[team]],MatchData[rock wall scored crossings])</f>
        <v>#VALUE!</v>
      </c>
      <c r="CP35" s="16" t="e">
        <f aca="false">SUMIF(MatchData[team],MatchData[[#this row],[team]],MatchData[rough terrain teleop crossings])+SUMIF(MatchData[team],MatchData[[#this row],[team]],MatchData[rough terrain scored crossings])</f>
        <v>#VALUE!</v>
      </c>
      <c r="CQ35" s="16" t="e">
        <f aca="false">SUMIF(MatchData[team],MatchData[[#this row],[team]],MatchData[low bar teleop crossings])+SUMIF(MatchData[team],MatchData[[#this row],[team]],MatchData[low bar scored crossings])</f>
        <v>#VALUE!</v>
      </c>
      <c r="CR35" s="16" t="e">
        <f aca="false">IFERROR(ROUND(MatchData[[#this row],[portcullis sum]]/MatchData[[#this row],[portcullis avail count]],2),0)</f>
        <v>#VALUE!</v>
      </c>
      <c r="CS35" s="5" t="e">
        <f aca="false">IFERROR(ROUND(MatchData[[#this row],[cheval sum]]/MatchData[[#this row],[cheval avail count]],2),0)</f>
        <v>#VALUE!</v>
      </c>
      <c r="CT35" s="5" t="e">
        <f aca="false">IFERROR(ROUND(MatchData[[#this row],[moat sum]]/MatchData[[#this row],[moat avail count]],2),0)</f>
        <v>#VALUE!</v>
      </c>
      <c r="CU35" s="5" t="e">
        <f aca="false">IFERROR(ROUND(MatchData[[#this row],[ramparts sum]]/MatchData[[#this row],[ramparts avail count]],2),0)</f>
        <v>#VALUE!</v>
      </c>
      <c r="CV35" s="5" t="e">
        <f aca="false">IFERROR(ROUND(MatchData[[#this row],[drawbridge sum]]/MatchData[[#this row],[drawbridge avail countigh6]],2),0)</f>
        <v>#VALUE!</v>
      </c>
      <c r="CW35" s="5" t="e">
        <f aca="false">IFERROR(ROUND(MatchData[[#this row],[sally port sum]]/MatchData[[#this row],[sally port avail count]],2),0)</f>
        <v>#VALUE!</v>
      </c>
      <c r="CX35" s="5" t="e">
        <f aca="false">IFERROR(ROUND(MatchData[[#this row],[rock wall sum]]/MatchData[[#this row],[rock wall avail count]],2),0)</f>
        <v>#VALUE!</v>
      </c>
      <c r="CY35" s="5" t="e">
        <f aca="false">IFERROR(ROUND(MatchData[[#this row],[rough terrain sum]]/MatchData[[#this row],[rough terrain avail count]],2),0)</f>
        <v>#VALUE!</v>
      </c>
      <c r="CZ35" s="5" t="e">
        <f aca="false">IFERROR(ROUND(MatchData[[#this row],[low bar sum]]/MatchData[[#this row],[low bar avail count]],2),0)</f>
        <v>#VALUE!</v>
      </c>
      <c r="DA35" s="5" t="e">
        <f aca="false">SUM(MatchData[[#this row],[cheval sum]:[low bar sum]])/MatchData[match count]</f>
        <v>#VALUE!</v>
      </c>
      <c r="DB35" s="16" t="n">
        <f aca="false">MAX(IF(C$2:C$74=C35,BP$2:BP$74))</f>
        <v>-1.79769313486232E+308</v>
      </c>
      <c r="DC35" s="16" t="e">
        <f aca="false">AVERAGEIF(MatchData[team],MatchData[[#this row],[team]],MatchData[total score])</f>
        <v>#VALUE!</v>
      </c>
      <c r="DD35" s="16" t="e">
        <f aca="false">ROUND(AVERAGEIF(MatchData[team],MatchData[team],MatchData[climb or challenge flag]),2)</f>
        <v>#VALUE!</v>
      </c>
    </row>
    <row r="36" customFormat="false" ht="14.5" hidden="false" customHeight="false" outlineLevel="0" collapsed="false">
      <c r="A36" s="13" t="s">
        <v>108</v>
      </c>
      <c r="B36" s="14" t="n">
        <v>6</v>
      </c>
      <c r="C36" s="15" t="n">
        <v>1571</v>
      </c>
      <c r="D36" s="5" t="s">
        <v>113</v>
      </c>
      <c r="E36" s="5" t="s">
        <v>123</v>
      </c>
      <c r="H36" s="5"/>
      <c r="J36" s="5" t="n">
        <v>1</v>
      </c>
      <c r="K36" s="5"/>
      <c r="L36" s="5" t="n">
        <v>1</v>
      </c>
      <c r="M36" s="5" t="n">
        <v>1</v>
      </c>
      <c r="N36" s="5"/>
      <c r="O36" s="5"/>
      <c r="P36" s="5" t="n">
        <v>1</v>
      </c>
      <c r="Q36" s="5" t="n">
        <v>1</v>
      </c>
      <c r="R36" s="0"/>
      <c r="T36" s="0"/>
      <c r="V36" s="0"/>
      <c r="W36" s="0"/>
      <c r="X36" s="0"/>
      <c r="AZ36" s="5" t="n">
        <v>1</v>
      </c>
      <c r="BC36" s="5" t="e">
        <f aca="false">MatchData[cheval scored crossings]*5</f>
        <v>#VALUE!</v>
      </c>
      <c r="BD36" s="5" t="e">
        <f aca="false">MatchData[moat scored crosings]*5</f>
        <v>#VALUE!</v>
      </c>
      <c r="BE36" s="5" t="e">
        <f aca="false">MatchData[ramparts scored crossings]*5</f>
        <v>#VALUE!</v>
      </c>
      <c r="BF36" s="5" t="e">
        <f aca="false">MatchData[drawbridge scored crossings]*5</f>
        <v>#VALUE!</v>
      </c>
      <c r="BG36" s="5" t="e">
        <f aca="false">MatchData[sally port scored crossings]*5</f>
        <v>#VALUE!</v>
      </c>
      <c r="BH36" s="5" t="e">
        <f aca="false">MatchData[rock wall scored crossings]*5</f>
        <v>#VALUE!</v>
      </c>
      <c r="BI36" s="5" t="e">
        <f aca="false">MatchData[rough terrain scored crossings]*5</f>
        <v>#VALUE!</v>
      </c>
      <c r="BJ36" s="5" t="e">
        <f aca="false">MatchData[low bar scored crossings]*5</f>
        <v>#VALUE!</v>
      </c>
      <c r="BK36" s="5" t="e">
        <f aca="false">SUM(MatchData[[#this row],[low bar teleop crossings]:[rough terrain scored crossings]])</f>
        <v>#VALUE!</v>
      </c>
      <c r="BL36" s="5" t="e">
        <f aca="false">IFERROR(IF(OR(MatchData[[#this row],[challenge flag]],MatchData[[#this row],[climb flag]]),1,0),0)</f>
        <v>#VALUE!</v>
      </c>
      <c r="BM36" s="5" t="e">
        <f aca="false">MatchData[auto high goals]*10+MatchData[teleop high goals]*5</f>
        <v>#VALUE!</v>
      </c>
      <c r="BN36" s="5" t="e">
        <f aca="false">MatchData[auto low goals]*5+MatchData[teleop low goals]*2</f>
        <v>#VALUE!</v>
      </c>
      <c r="BO36" s="5" t="e">
        <f aca="false">MatchData[high goal score]+MatchData[low goal score]</f>
        <v>#VALUE!</v>
      </c>
      <c r="BP36" s="5" t="e">
        <f aca="false">MatchData[teleop high goals]+MatchData[teleop low goals]</f>
        <v>#VALUE!</v>
      </c>
      <c r="BQ36" s="5" t="e">
        <f aca="false">MatchData[[#this row],[auto reach flag]]*2+SUM(MatchData[[#this row],[portcullis auto crossings]:[low bar auto crossings]])*10+MatchData[[#this row],[auto low goals]]*5+MatchData[auto high goals]*10</f>
        <v>#VALUE!</v>
      </c>
      <c r="BR36" s="5" t="e">
        <f aca="false">SUM(MatchData[[#this row],[cheval teleop crossing score]:[low bar teleop crossing score]])</f>
        <v>#VALUE!</v>
      </c>
      <c r="BS36" s="5" t="e">
        <f aca="false">SUMIF(MatchData[team],MatchData[[#this row],[team]],MatchData[total auto score])/MatchData[match count]</f>
        <v>#VALUE!</v>
      </c>
      <c r="BT36" s="5" t="e">
        <f aca="false">MatchData[challenge flag]*5</f>
        <v>#VALUE!</v>
      </c>
      <c r="BU36" s="5" t="e">
        <f aca="false">MatchData[climb flag]*15</f>
        <v>#VALUE!</v>
      </c>
      <c r="BV36" s="5" t="e">
        <f aca="false">SUM(MatchData[[#this row],[total goal score]],MatchData[[#this row],[crossing score]],MatchData[[#this row],[challenge score]],MatchData[[#this row],[climb score]],MatchData[[#this row],[total auto score]])</f>
        <v>#VALUE!</v>
      </c>
      <c r="BW36" s="16" t="e">
        <f aca="false">ROUND(SUMIF(MatchData[team],MatchData[[#this row],[team]],MatchData[teleop low goals])/COUNTIF(MatchData[team],MatchData[[#this row],[team]]),2)</f>
        <v>#VALUE!</v>
      </c>
      <c r="BX36" s="16" t="e">
        <f aca="false">ROUND(SUMIF(MatchData[team],MatchData[[#this row],[team]],MatchData[teleop high goals])/COUNTIF(MatchData[team],MatchData[[#this row],[team]]),2)</f>
        <v>#VALUE!</v>
      </c>
      <c r="BY36" s="16" t="e">
        <f aca="false">COUNTIF(MatchData[team],MatchData[[#this row],[team]])</f>
        <v>#VALUE!</v>
      </c>
      <c r="BZ36" s="16" t="e">
        <f aca="false">SUMIF(MatchData[team],MatchData[[#this row],[team]],MatchData[portcullis available])</f>
        <v>#VALUE!</v>
      </c>
      <c r="CA36" s="16" t="e">
        <f aca="false">SUMIF(MatchData[team],MatchData[[#this row],[team]],MatchData[cheval available])</f>
        <v>#VALUE!</v>
      </c>
      <c r="CB36" s="16" t="e">
        <f aca="false">SUMIF(MatchData[team],MatchData[[#this row],[team]],MatchData[moat available])</f>
        <v>#VALUE!</v>
      </c>
      <c r="CC36" s="16" t="e">
        <f aca="false">SUMIF(MatchData[team],MatchData[[#this row],[team]],MatchData[ramparts available])</f>
        <v>#VALUE!</v>
      </c>
      <c r="CD36" s="16" t="e">
        <f aca="false">SUMIF(MatchData[team],MatchData[[#this row],[team]],MatchData[drawbridge available])</f>
        <v>#VALUE!</v>
      </c>
      <c r="CE36" s="16" t="e">
        <f aca="false">SUMIF(MatchData[team],MatchData[[#this row],[team]],MatchData[sally port available])</f>
        <v>#VALUE!</v>
      </c>
      <c r="CF36" s="16" t="e">
        <f aca="false">SUMIF(MatchData[team],MatchData[[#this row],[team]],MatchData[rock wall available])</f>
        <v>#VALUE!</v>
      </c>
      <c r="CG36" s="16" t="e">
        <f aca="false">SUMIF(MatchData[team],MatchData[[#this row],[team]],MatchData[rough terrain available])</f>
        <v>#VALUE!</v>
      </c>
      <c r="CH36" s="16" t="e">
        <f aca="false">SUMIF(MatchData[team],MatchData[[#this row],[team]],MatchData[low bar available])</f>
        <v>#VALUE!</v>
      </c>
      <c r="CI36" s="16" t="e">
        <f aca="false">SUMIF(MatchData[team],MatchData[[#this row],[team]],MatchData[portcullis teleop crossings]:MatchData[portcullis scored crossings])</f>
        <v>#VALUE!</v>
      </c>
      <c r="CJ36" s="16" t="e">
        <f aca="false">SUMIF(MatchData[team],MatchData[[#this row],[team]],MatchData[cheval teleop crossings])+SUMIF(MatchData[team],MatchData[[#this row],[team]],MatchData[cheval scored crossings])</f>
        <v>#VALUE!</v>
      </c>
      <c r="CK36" s="16" t="e">
        <f aca="false">SUMIF(MatchData[team],MatchData[[#this row],[team]],MatchData[moat teleop crossings])+SUMIF(MatchData[team],MatchData[[#this row],[team]],MatchData[moat scored crosings])</f>
        <v>#VALUE!</v>
      </c>
      <c r="CL36" s="16" t="e">
        <f aca="false">SUMIF(MatchData[team],MatchData[[#this row],[team]],MatchData[ramparts teleop crossings])+SUMIF(MatchData[team],MatchData[[#this row],[team]],MatchData[ramparts scored crossings])</f>
        <v>#VALUE!</v>
      </c>
      <c r="CM36" s="16" t="e">
        <f aca="false">SUMIF(MatchData[team],MatchData[[#this row],[team]],MatchData[drawbridge teleop crossings])+SUMIF(MatchData[team],MatchData[[#this row],[team]],MatchData[drawbridge scored crossings])</f>
        <v>#VALUE!</v>
      </c>
      <c r="CN36" s="16" t="e">
        <f aca="false">SUMIF(MatchData[team],MatchData[[#this row],[team]],MatchData[sally port teleop crossings])+SUMIF(MatchData[team],MatchData[[#this row],[team]],MatchData[sally port scored crossings])</f>
        <v>#VALUE!</v>
      </c>
      <c r="CO36" s="16" t="e">
        <f aca="false">SUMIF(MatchData[team],MatchData[[#this row],[team]],MatchData[rock wall teleop crossings])+SUMIF(MatchData[team],MatchData[[#this row],[team]],MatchData[rock wall scored crossings])</f>
        <v>#VALUE!</v>
      </c>
      <c r="CP36" s="16" t="e">
        <f aca="false">SUMIF(MatchData[team],MatchData[[#this row],[team]],MatchData[rough terrain teleop crossings])+SUMIF(MatchData[team],MatchData[[#this row],[team]],MatchData[rough terrain scored crossings])</f>
        <v>#VALUE!</v>
      </c>
      <c r="CQ36" s="16" t="e">
        <f aca="false">SUMIF(MatchData[team],MatchData[[#this row],[team]],MatchData[low bar teleop crossings])+SUMIF(MatchData[team],MatchData[[#this row],[team]],MatchData[low bar scored crossings])</f>
        <v>#VALUE!</v>
      </c>
      <c r="CR36" s="16" t="e">
        <f aca="false">IFERROR(ROUND(MatchData[[#this row],[portcullis sum]]/MatchData[[#this row],[portcullis avail count]],2),0)</f>
        <v>#VALUE!</v>
      </c>
      <c r="CS36" s="5" t="e">
        <f aca="false">IFERROR(ROUND(MatchData[[#this row],[cheval sum]]/MatchData[[#this row],[cheval avail count]],2),0)</f>
        <v>#VALUE!</v>
      </c>
      <c r="CT36" s="5" t="e">
        <f aca="false">IFERROR(ROUND(MatchData[[#this row],[moat sum]]/MatchData[[#this row],[moat avail count]],2),0)</f>
        <v>#VALUE!</v>
      </c>
      <c r="CU36" s="5" t="e">
        <f aca="false">IFERROR(ROUND(MatchData[[#this row],[ramparts sum]]/MatchData[[#this row],[ramparts avail count]],2),0)</f>
        <v>#VALUE!</v>
      </c>
      <c r="CV36" s="5" t="e">
        <f aca="false">IFERROR(ROUND(MatchData[[#this row],[drawbridge sum]]/MatchData[[#this row],[drawbridge avail countigh6]],2),0)</f>
        <v>#VALUE!</v>
      </c>
      <c r="CW36" s="5" t="e">
        <f aca="false">IFERROR(ROUND(MatchData[[#this row],[sally port sum]]/MatchData[[#this row],[sally port avail count]],2),0)</f>
        <v>#VALUE!</v>
      </c>
      <c r="CX36" s="5" t="e">
        <f aca="false">IFERROR(ROUND(MatchData[[#this row],[rock wall sum]]/MatchData[[#this row],[rock wall avail count]],2),0)</f>
        <v>#VALUE!</v>
      </c>
      <c r="CY36" s="5" t="e">
        <f aca="false">IFERROR(ROUND(MatchData[[#this row],[rough terrain sum]]/MatchData[[#this row],[rough terrain avail count]],2),0)</f>
        <v>#VALUE!</v>
      </c>
      <c r="CZ36" s="5" t="e">
        <f aca="false">IFERROR(ROUND(MatchData[[#this row],[low bar sum]]/MatchData[[#this row],[low bar avail count]],2),0)</f>
        <v>#VALUE!</v>
      </c>
      <c r="DA36" s="5" t="e">
        <f aca="false">SUM(MatchData[[#this row],[cheval sum]:[low bar sum]])/MatchData[match count]</f>
        <v>#VALUE!</v>
      </c>
      <c r="DB36" s="16" t="n">
        <f aca="false">MAX(IF(C$2:C$74=C36,BP$2:BP$74))</f>
        <v>-1.79769313486232E+308</v>
      </c>
      <c r="DC36" s="16" t="e">
        <f aca="false">AVERAGEIF(MatchData[team],MatchData[[#this row],[team]],MatchData[total score])</f>
        <v>#VALUE!</v>
      </c>
      <c r="DD36" s="16" t="e">
        <f aca="false">ROUND(AVERAGEIF(MatchData[team],MatchData[team],MatchData[climb or challenge flag]),2)</f>
        <v>#VALUE!</v>
      </c>
    </row>
    <row r="37" customFormat="false" ht="14.5" hidden="false" customHeight="false" outlineLevel="0" collapsed="false">
      <c r="A37" s="17" t="s">
        <v>108</v>
      </c>
      <c r="B37" s="18" t="n">
        <v>6</v>
      </c>
      <c r="C37" s="15" t="n">
        <v>4662</v>
      </c>
      <c r="D37" s="5" t="s">
        <v>113</v>
      </c>
      <c r="E37" s="5" t="s">
        <v>127</v>
      </c>
      <c r="H37" s="5"/>
      <c r="J37" s="5" t="n">
        <v>1</v>
      </c>
      <c r="K37" s="5"/>
      <c r="L37" s="5" t="n">
        <v>1</v>
      </c>
      <c r="M37" s="5" t="n">
        <v>1</v>
      </c>
      <c r="N37" s="5"/>
      <c r="O37" s="5"/>
      <c r="P37" s="5" t="n">
        <v>1</v>
      </c>
      <c r="Q37" s="5" t="n">
        <v>1</v>
      </c>
      <c r="R37" s="0"/>
      <c r="T37" s="0"/>
      <c r="V37" s="0"/>
      <c r="W37" s="0"/>
      <c r="X37" s="0"/>
      <c r="AB37" s="5" t="n">
        <v>1</v>
      </c>
      <c r="AP37" s="5" t="n">
        <v>1</v>
      </c>
      <c r="AR37" s="5" t="n">
        <v>1</v>
      </c>
      <c r="AY37" s="5" t="n">
        <v>1</v>
      </c>
      <c r="BC37" s="5" t="e">
        <f aca="false">MatchData[cheval scored crossings]*5</f>
        <v>#VALUE!</v>
      </c>
      <c r="BD37" s="5" t="e">
        <f aca="false">MatchData[moat scored crosings]*5</f>
        <v>#VALUE!</v>
      </c>
      <c r="BE37" s="5" t="e">
        <f aca="false">MatchData[ramparts scored crossings]*5</f>
        <v>#VALUE!</v>
      </c>
      <c r="BF37" s="5" t="e">
        <f aca="false">MatchData[drawbridge scored crossings]*5</f>
        <v>#VALUE!</v>
      </c>
      <c r="BG37" s="5" t="e">
        <f aca="false">MatchData[sally port scored crossings]*5</f>
        <v>#VALUE!</v>
      </c>
      <c r="BH37" s="5" t="e">
        <f aca="false">MatchData[rock wall scored crossings]*5</f>
        <v>#VALUE!</v>
      </c>
      <c r="BI37" s="5" t="e">
        <f aca="false">MatchData[rough terrain scored crossings]*5</f>
        <v>#VALUE!</v>
      </c>
      <c r="BJ37" s="5" t="e">
        <f aca="false">MatchData[low bar scored crossings]*5</f>
        <v>#VALUE!</v>
      </c>
      <c r="BK37" s="5" t="e">
        <f aca="false">SUM(MatchData[[#this row],[low bar teleop crossings]:[rough terrain scored crossings]])</f>
        <v>#VALUE!</v>
      </c>
      <c r="BL37" s="5" t="e">
        <f aca="false">IFERROR(IF(OR(MatchData[[#this row],[challenge flag]],MatchData[[#this row],[climb flag]]),1,0),0)</f>
        <v>#VALUE!</v>
      </c>
      <c r="BM37" s="5" t="e">
        <f aca="false">MatchData[auto high goals]*10+MatchData[teleop high goals]*5</f>
        <v>#VALUE!</v>
      </c>
      <c r="BN37" s="5" t="e">
        <f aca="false">MatchData[auto low goals]*5+MatchData[teleop low goals]*2</f>
        <v>#VALUE!</v>
      </c>
      <c r="BO37" s="5" t="e">
        <f aca="false">MatchData[high goal score]+MatchData[low goal score]</f>
        <v>#VALUE!</v>
      </c>
      <c r="BP37" s="5" t="e">
        <f aca="false">MatchData[teleop high goals]+MatchData[teleop low goals]</f>
        <v>#VALUE!</v>
      </c>
      <c r="BQ37" s="5" t="e">
        <f aca="false">MatchData[[#this row],[auto reach flag]]*2+SUM(MatchData[[#this row],[portcullis auto crossings]:[low bar auto crossings]])*10+MatchData[[#this row],[auto low goals]]*5+MatchData[auto high goals]*10</f>
        <v>#VALUE!</v>
      </c>
      <c r="BR37" s="5" t="e">
        <f aca="false">SUM(MatchData[[#this row],[cheval teleop crossing score]:[low bar teleop crossing score]])</f>
        <v>#VALUE!</v>
      </c>
      <c r="BS37" s="5" t="e">
        <f aca="false">SUMIF(MatchData[team],MatchData[[#this row],[team]],MatchData[total auto score])/MatchData[match count]</f>
        <v>#VALUE!</v>
      </c>
      <c r="BT37" s="5" t="e">
        <f aca="false">MatchData[challenge flag]*5</f>
        <v>#VALUE!</v>
      </c>
      <c r="BU37" s="5" t="e">
        <f aca="false">MatchData[climb flag]*15</f>
        <v>#VALUE!</v>
      </c>
      <c r="BV37" s="5" t="e">
        <f aca="false">SUM(MatchData[[#this row],[total goal score]],MatchData[[#this row],[crossing score]],MatchData[[#this row],[challenge score]],MatchData[[#this row],[climb score]],MatchData[[#this row],[total auto score]])</f>
        <v>#VALUE!</v>
      </c>
      <c r="BW37" s="16" t="e">
        <f aca="false">ROUND(SUMIF(MatchData[team],MatchData[[#this row],[team]],MatchData[teleop low goals])/COUNTIF(MatchData[team],MatchData[[#this row],[team]]),2)</f>
        <v>#VALUE!</v>
      </c>
      <c r="BX37" s="16" t="e">
        <f aca="false">ROUND(SUMIF(MatchData[team],MatchData[[#this row],[team]],MatchData[teleop high goals])/COUNTIF(MatchData[team],MatchData[[#this row],[team]]),2)</f>
        <v>#VALUE!</v>
      </c>
      <c r="BY37" s="16" t="e">
        <f aca="false">COUNTIF(MatchData[team],MatchData[[#this row],[team]])</f>
        <v>#VALUE!</v>
      </c>
      <c r="BZ37" s="16" t="e">
        <f aca="false">SUMIF(MatchData[team],MatchData[[#this row],[team]],MatchData[portcullis available])</f>
        <v>#VALUE!</v>
      </c>
      <c r="CA37" s="16" t="e">
        <f aca="false">SUMIF(MatchData[team],MatchData[[#this row],[team]],MatchData[cheval available])</f>
        <v>#VALUE!</v>
      </c>
      <c r="CB37" s="16" t="e">
        <f aca="false">SUMIF(MatchData[team],MatchData[[#this row],[team]],MatchData[moat available])</f>
        <v>#VALUE!</v>
      </c>
      <c r="CC37" s="16" t="e">
        <f aca="false">SUMIF(MatchData[team],MatchData[[#this row],[team]],MatchData[ramparts available])</f>
        <v>#VALUE!</v>
      </c>
      <c r="CD37" s="16" t="e">
        <f aca="false">SUMIF(MatchData[team],MatchData[[#this row],[team]],MatchData[drawbridge available])</f>
        <v>#VALUE!</v>
      </c>
      <c r="CE37" s="16" t="e">
        <f aca="false">SUMIF(MatchData[team],MatchData[[#this row],[team]],MatchData[sally port available])</f>
        <v>#VALUE!</v>
      </c>
      <c r="CF37" s="16" t="e">
        <f aca="false">SUMIF(MatchData[team],MatchData[[#this row],[team]],MatchData[rock wall available])</f>
        <v>#VALUE!</v>
      </c>
      <c r="CG37" s="16" t="e">
        <f aca="false">SUMIF(MatchData[team],MatchData[[#this row],[team]],MatchData[rough terrain available])</f>
        <v>#VALUE!</v>
      </c>
      <c r="CH37" s="16" t="e">
        <f aca="false">SUMIF(MatchData[team],MatchData[[#this row],[team]],MatchData[low bar available])</f>
        <v>#VALUE!</v>
      </c>
      <c r="CI37" s="16" t="e">
        <f aca="false">SUMIF(MatchData[team],MatchData[[#this row],[team]],MatchData[portcullis teleop crossings]:MatchData[portcullis scored crossings])</f>
        <v>#VALUE!</v>
      </c>
      <c r="CJ37" s="16" t="e">
        <f aca="false">SUMIF(MatchData[team],MatchData[[#this row],[team]],MatchData[cheval teleop crossings])+SUMIF(MatchData[team],MatchData[[#this row],[team]],MatchData[cheval scored crossings])</f>
        <v>#VALUE!</v>
      </c>
      <c r="CK37" s="16" t="e">
        <f aca="false">SUMIF(MatchData[team],MatchData[[#this row],[team]],MatchData[moat teleop crossings])+SUMIF(MatchData[team],MatchData[[#this row],[team]],MatchData[moat scored crosings])</f>
        <v>#VALUE!</v>
      </c>
      <c r="CL37" s="16" t="e">
        <f aca="false">SUMIF(MatchData[team],MatchData[[#this row],[team]],MatchData[ramparts teleop crossings])+SUMIF(MatchData[team],MatchData[[#this row],[team]],MatchData[ramparts scored crossings])</f>
        <v>#VALUE!</v>
      </c>
      <c r="CM37" s="16" t="e">
        <f aca="false">SUMIF(MatchData[team],MatchData[[#this row],[team]],MatchData[drawbridge teleop crossings])+SUMIF(MatchData[team],MatchData[[#this row],[team]],MatchData[drawbridge scored crossings])</f>
        <v>#VALUE!</v>
      </c>
      <c r="CN37" s="16" t="e">
        <f aca="false">SUMIF(MatchData[team],MatchData[[#this row],[team]],MatchData[sally port teleop crossings])+SUMIF(MatchData[team],MatchData[[#this row],[team]],MatchData[sally port scored crossings])</f>
        <v>#VALUE!</v>
      </c>
      <c r="CO37" s="16" t="e">
        <f aca="false">SUMIF(MatchData[team],MatchData[[#this row],[team]],MatchData[rock wall teleop crossings])+SUMIF(MatchData[team],MatchData[[#this row],[team]],MatchData[rock wall scored crossings])</f>
        <v>#VALUE!</v>
      </c>
      <c r="CP37" s="16" t="e">
        <f aca="false">SUMIF(MatchData[team],MatchData[[#this row],[team]],MatchData[rough terrain teleop crossings])+SUMIF(MatchData[team],MatchData[[#this row],[team]],MatchData[rough terrain scored crossings])</f>
        <v>#VALUE!</v>
      </c>
      <c r="CQ37" s="16" t="e">
        <f aca="false">SUMIF(MatchData[team],MatchData[[#this row],[team]],MatchData[low bar teleop crossings])+SUMIF(MatchData[team],MatchData[[#this row],[team]],MatchData[low bar scored crossings])</f>
        <v>#VALUE!</v>
      </c>
      <c r="CR37" s="16" t="e">
        <f aca="false">IFERROR(ROUND(MatchData[[#this row],[portcullis sum]]/MatchData[[#this row],[portcullis avail count]],2),0)</f>
        <v>#VALUE!</v>
      </c>
      <c r="CS37" s="5" t="e">
        <f aca="false">IFERROR(ROUND(MatchData[[#this row],[cheval sum]]/MatchData[[#this row],[cheval avail count]],2),0)</f>
        <v>#VALUE!</v>
      </c>
      <c r="CT37" s="5" t="e">
        <f aca="false">IFERROR(ROUND(MatchData[[#this row],[moat sum]]/MatchData[[#this row],[moat avail count]],2),0)</f>
        <v>#VALUE!</v>
      </c>
      <c r="CU37" s="5" t="e">
        <f aca="false">IFERROR(ROUND(MatchData[[#this row],[ramparts sum]]/MatchData[[#this row],[ramparts avail count]],2),0)</f>
        <v>#VALUE!</v>
      </c>
      <c r="CV37" s="5" t="e">
        <f aca="false">IFERROR(ROUND(MatchData[[#this row],[drawbridge sum]]/MatchData[[#this row],[drawbridge avail countigh6]],2),0)</f>
        <v>#VALUE!</v>
      </c>
      <c r="CW37" s="5" t="e">
        <f aca="false">IFERROR(ROUND(MatchData[[#this row],[sally port sum]]/MatchData[[#this row],[sally port avail count]],2),0)</f>
        <v>#VALUE!</v>
      </c>
      <c r="CX37" s="5" t="e">
        <f aca="false">IFERROR(ROUND(MatchData[[#this row],[rock wall sum]]/MatchData[[#this row],[rock wall avail count]],2),0)</f>
        <v>#VALUE!</v>
      </c>
      <c r="CY37" s="5" t="e">
        <f aca="false">IFERROR(ROUND(MatchData[[#this row],[rough terrain sum]]/MatchData[[#this row],[rough terrain avail count]],2),0)</f>
        <v>#VALUE!</v>
      </c>
      <c r="CZ37" s="5" t="e">
        <f aca="false">IFERROR(ROUND(MatchData[[#this row],[low bar sum]]/MatchData[[#this row],[low bar avail count]],2),0)</f>
        <v>#VALUE!</v>
      </c>
      <c r="DA37" s="5" t="e">
        <f aca="false">SUM(MatchData[[#this row],[cheval sum]:[low bar sum]])/MatchData[match count]</f>
        <v>#VALUE!</v>
      </c>
      <c r="DB37" s="16" t="n">
        <f aca="false">MAX(IF(C$2:C$74=C37,BP$2:BP$74))</f>
        <v>-1.79769313486232E+308</v>
      </c>
      <c r="DC37" s="16" t="e">
        <f aca="false">AVERAGEIF(MatchData[team],MatchData[[#this row],[team]],MatchData[total score])</f>
        <v>#VALUE!</v>
      </c>
      <c r="DD37" s="16" t="e">
        <f aca="false">ROUND(AVERAGEIF(MatchData[team],MatchData[team],MatchData[climb or challenge flag]),2)</f>
        <v>#VALUE!</v>
      </c>
    </row>
    <row r="38" customFormat="false" ht="14.5" hidden="false" customHeight="false" outlineLevel="0" collapsed="false">
      <c r="A38" s="13" t="s">
        <v>108</v>
      </c>
      <c r="B38" s="14" t="n">
        <v>7</v>
      </c>
      <c r="C38" s="15" t="n">
        <v>1510</v>
      </c>
      <c r="D38" s="5" t="s">
        <v>109</v>
      </c>
      <c r="E38" s="5" t="s">
        <v>126</v>
      </c>
      <c r="H38" s="5"/>
      <c r="J38" s="5" t="n">
        <v>1</v>
      </c>
      <c r="K38" s="5"/>
      <c r="L38" s="5" t="n">
        <v>1</v>
      </c>
      <c r="M38" s="5"/>
      <c r="N38" s="5" t="n">
        <v>1</v>
      </c>
      <c r="O38" s="5"/>
      <c r="P38" s="5" t="n">
        <v>1</v>
      </c>
      <c r="Q38" s="5" t="n">
        <v>1</v>
      </c>
      <c r="R38" s="0"/>
      <c r="T38" s="0"/>
      <c r="V38" s="0"/>
      <c r="W38" s="0"/>
      <c r="X38" s="0"/>
      <c r="AC38" s="5" t="n">
        <v>2</v>
      </c>
      <c r="AD38" s="5" t="n">
        <v>2</v>
      </c>
      <c r="BC38" s="5" t="e">
        <f aca="false">MatchData[cheval scored crossings]*5</f>
        <v>#VALUE!</v>
      </c>
      <c r="BD38" s="5" t="e">
        <f aca="false">MatchData[moat scored crosings]*5</f>
        <v>#VALUE!</v>
      </c>
      <c r="BE38" s="5" t="e">
        <f aca="false">MatchData[ramparts scored crossings]*5</f>
        <v>#VALUE!</v>
      </c>
      <c r="BF38" s="5" t="e">
        <f aca="false">MatchData[drawbridge scored crossings]*5</f>
        <v>#VALUE!</v>
      </c>
      <c r="BG38" s="5" t="e">
        <f aca="false">MatchData[sally port scored crossings]*5</f>
        <v>#VALUE!</v>
      </c>
      <c r="BH38" s="5" t="e">
        <f aca="false">MatchData[rock wall scored crossings]*5</f>
        <v>#VALUE!</v>
      </c>
      <c r="BI38" s="5" t="e">
        <f aca="false">MatchData[rough terrain scored crossings]*5</f>
        <v>#VALUE!</v>
      </c>
      <c r="BJ38" s="5" t="e">
        <f aca="false">MatchData[low bar scored crossings]*5</f>
        <v>#VALUE!</v>
      </c>
      <c r="BK38" s="5" t="e">
        <f aca="false">SUM(MatchData[[#this row],[low bar teleop crossings]:[rough terrain scored crossings]])</f>
        <v>#VALUE!</v>
      </c>
      <c r="BL38" s="5" t="e">
        <f aca="false">IFERROR(IF(OR(MatchData[[#this row],[challenge flag]],MatchData[[#this row],[climb flag]]),1,0),0)</f>
        <v>#VALUE!</v>
      </c>
      <c r="BM38" s="5" t="e">
        <f aca="false">MatchData[auto high goals]*10+MatchData[teleop high goals]*5</f>
        <v>#VALUE!</v>
      </c>
      <c r="BN38" s="5" t="e">
        <f aca="false">MatchData[auto low goals]*5+MatchData[teleop low goals]*2</f>
        <v>#VALUE!</v>
      </c>
      <c r="BO38" s="5" t="e">
        <f aca="false">MatchData[high goal score]+MatchData[low goal score]</f>
        <v>#VALUE!</v>
      </c>
      <c r="BP38" s="5" t="e">
        <f aca="false">MatchData[teleop high goals]+MatchData[teleop low goals]</f>
        <v>#VALUE!</v>
      </c>
      <c r="BQ38" s="5" t="e">
        <f aca="false">MatchData[[#this row],[auto reach flag]]*2+SUM(MatchData[[#this row],[portcullis auto crossings]:[low bar auto crossings]])*10+MatchData[[#this row],[auto low goals]]*5+MatchData[auto high goals]*10</f>
        <v>#VALUE!</v>
      </c>
      <c r="BR38" s="5" t="e">
        <f aca="false">SUM(MatchData[[#this row],[cheval teleop crossing score]:[low bar teleop crossing score]])</f>
        <v>#VALUE!</v>
      </c>
      <c r="BS38" s="5" t="e">
        <f aca="false">SUMIF(MatchData[team],MatchData[[#this row],[team]],MatchData[total auto score])/MatchData[match count]</f>
        <v>#VALUE!</v>
      </c>
      <c r="BT38" s="5" t="e">
        <f aca="false">MatchData[challenge flag]*5</f>
        <v>#VALUE!</v>
      </c>
      <c r="BU38" s="5" t="e">
        <f aca="false">MatchData[climb flag]*15</f>
        <v>#VALUE!</v>
      </c>
      <c r="BV38" s="5" t="e">
        <f aca="false">SUM(MatchData[[#this row],[total goal score]],MatchData[[#this row],[crossing score]],MatchData[[#this row],[challenge score]],MatchData[[#this row],[climb score]],MatchData[[#this row],[total auto score]])</f>
        <v>#VALUE!</v>
      </c>
      <c r="BW38" s="16" t="e">
        <f aca="false">ROUND(SUMIF(MatchData[team],MatchData[[#this row],[team]],MatchData[teleop low goals])/COUNTIF(MatchData[team],MatchData[[#this row],[team]]),2)</f>
        <v>#VALUE!</v>
      </c>
      <c r="BX38" s="16" t="e">
        <f aca="false">ROUND(SUMIF(MatchData[team],MatchData[[#this row],[team]],MatchData[teleop high goals])/COUNTIF(MatchData[team],MatchData[[#this row],[team]]),2)</f>
        <v>#VALUE!</v>
      </c>
      <c r="BY38" s="16" t="e">
        <f aca="false">COUNTIF(MatchData[team],MatchData[[#this row],[team]])</f>
        <v>#VALUE!</v>
      </c>
      <c r="BZ38" s="16" t="e">
        <f aca="false">SUMIF(MatchData[team],MatchData[[#this row],[team]],MatchData[portcullis available])</f>
        <v>#VALUE!</v>
      </c>
      <c r="CA38" s="16" t="e">
        <f aca="false">SUMIF(MatchData[team],MatchData[[#this row],[team]],MatchData[cheval available])</f>
        <v>#VALUE!</v>
      </c>
      <c r="CB38" s="16" t="e">
        <f aca="false">SUMIF(MatchData[team],MatchData[[#this row],[team]],MatchData[moat available])</f>
        <v>#VALUE!</v>
      </c>
      <c r="CC38" s="16" t="e">
        <f aca="false">SUMIF(MatchData[team],MatchData[[#this row],[team]],MatchData[ramparts available])</f>
        <v>#VALUE!</v>
      </c>
      <c r="CD38" s="16" t="e">
        <f aca="false">SUMIF(MatchData[team],MatchData[[#this row],[team]],MatchData[drawbridge available])</f>
        <v>#VALUE!</v>
      </c>
      <c r="CE38" s="16" t="e">
        <f aca="false">SUMIF(MatchData[team],MatchData[[#this row],[team]],MatchData[sally port available])</f>
        <v>#VALUE!</v>
      </c>
      <c r="CF38" s="16" t="e">
        <f aca="false">SUMIF(MatchData[team],MatchData[[#this row],[team]],MatchData[rock wall available])</f>
        <v>#VALUE!</v>
      </c>
      <c r="CG38" s="16" t="e">
        <f aca="false">SUMIF(MatchData[team],MatchData[[#this row],[team]],MatchData[rough terrain available])</f>
        <v>#VALUE!</v>
      </c>
      <c r="CH38" s="16" t="e">
        <f aca="false">SUMIF(MatchData[team],MatchData[[#this row],[team]],MatchData[low bar available])</f>
        <v>#VALUE!</v>
      </c>
      <c r="CI38" s="16" t="e">
        <f aca="false">SUMIF(MatchData[team],MatchData[[#this row],[team]],MatchData[portcullis teleop crossings]:MatchData[portcullis scored crossings])</f>
        <v>#VALUE!</v>
      </c>
      <c r="CJ38" s="16" t="e">
        <f aca="false">SUMIF(MatchData[team],MatchData[[#this row],[team]],MatchData[cheval teleop crossings])+SUMIF(MatchData[team],MatchData[[#this row],[team]],MatchData[cheval scored crossings])</f>
        <v>#VALUE!</v>
      </c>
      <c r="CK38" s="16" t="e">
        <f aca="false">SUMIF(MatchData[team],MatchData[[#this row],[team]],MatchData[moat teleop crossings])+SUMIF(MatchData[team],MatchData[[#this row],[team]],MatchData[moat scored crosings])</f>
        <v>#VALUE!</v>
      </c>
      <c r="CL38" s="16" t="e">
        <f aca="false">SUMIF(MatchData[team],MatchData[[#this row],[team]],MatchData[ramparts teleop crossings])+SUMIF(MatchData[team],MatchData[[#this row],[team]],MatchData[ramparts scored crossings])</f>
        <v>#VALUE!</v>
      </c>
      <c r="CM38" s="16" t="e">
        <f aca="false">SUMIF(MatchData[team],MatchData[[#this row],[team]],MatchData[drawbridge teleop crossings])+SUMIF(MatchData[team],MatchData[[#this row],[team]],MatchData[drawbridge scored crossings])</f>
        <v>#VALUE!</v>
      </c>
      <c r="CN38" s="16" t="e">
        <f aca="false">SUMIF(MatchData[team],MatchData[[#this row],[team]],MatchData[sally port teleop crossings])+SUMIF(MatchData[team],MatchData[[#this row],[team]],MatchData[sally port scored crossings])</f>
        <v>#VALUE!</v>
      </c>
      <c r="CO38" s="16" t="e">
        <f aca="false">SUMIF(MatchData[team],MatchData[[#this row],[team]],MatchData[rock wall teleop crossings])+SUMIF(MatchData[team],MatchData[[#this row],[team]],MatchData[rock wall scored crossings])</f>
        <v>#VALUE!</v>
      </c>
      <c r="CP38" s="16" t="e">
        <f aca="false">SUMIF(MatchData[team],MatchData[[#this row],[team]],MatchData[rough terrain teleop crossings])+SUMIF(MatchData[team],MatchData[[#this row],[team]],MatchData[rough terrain scored crossings])</f>
        <v>#VALUE!</v>
      </c>
      <c r="CQ38" s="16" t="e">
        <f aca="false">SUMIF(MatchData[team],MatchData[[#this row],[team]],MatchData[low bar teleop crossings])+SUMIF(MatchData[team],MatchData[[#this row],[team]],MatchData[low bar scored crossings])</f>
        <v>#VALUE!</v>
      </c>
      <c r="CR38" s="16" t="e">
        <f aca="false">IFERROR(ROUND(MatchData[[#this row],[portcullis sum]]/MatchData[[#this row],[portcullis avail count]],2),0)</f>
        <v>#VALUE!</v>
      </c>
      <c r="CS38" s="5" t="e">
        <f aca="false">IFERROR(ROUND(MatchData[[#this row],[cheval sum]]/MatchData[[#this row],[cheval avail count]],2),0)</f>
        <v>#VALUE!</v>
      </c>
      <c r="CT38" s="5" t="e">
        <f aca="false">IFERROR(ROUND(MatchData[[#this row],[moat sum]]/MatchData[[#this row],[moat avail count]],2),0)</f>
        <v>#VALUE!</v>
      </c>
      <c r="CU38" s="5" t="e">
        <f aca="false">IFERROR(ROUND(MatchData[[#this row],[ramparts sum]]/MatchData[[#this row],[ramparts avail count]],2),0)</f>
        <v>#VALUE!</v>
      </c>
      <c r="CV38" s="5" t="e">
        <f aca="false">IFERROR(ROUND(MatchData[[#this row],[drawbridge sum]]/MatchData[[#this row],[drawbridge avail countigh6]],2),0)</f>
        <v>#VALUE!</v>
      </c>
      <c r="CW38" s="5" t="e">
        <f aca="false">IFERROR(ROUND(MatchData[[#this row],[sally port sum]]/MatchData[[#this row],[sally port avail count]],2),0)</f>
        <v>#VALUE!</v>
      </c>
      <c r="CX38" s="5" t="e">
        <f aca="false">IFERROR(ROUND(MatchData[[#this row],[rock wall sum]]/MatchData[[#this row],[rock wall avail count]],2),0)</f>
        <v>#VALUE!</v>
      </c>
      <c r="CY38" s="5" t="e">
        <f aca="false">IFERROR(ROUND(MatchData[[#this row],[rough terrain sum]]/MatchData[[#this row],[rough terrain avail count]],2),0)</f>
        <v>#VALUE!</v>
      </c>
      <c r="CZ38" s="5" t="e">
        <f aca="false">IFERROR(ROUND(MatchData[[#this row],[low bar sum]]/MatchData[[#this row],[low bar avail count]],2),0)</f>
        <v>#VALUE!</v>
      </c>
      <c r="DA38" s="5" t="e">
        <f aca="false">SUM(MatchData[[#this row],[cheval sum]:[low bar sum]])/MatchData[match count]</f>
        <v>#VALUE!</v>
      </c>
      <c r="DB38" s="16" t="n">
        <f aca="false">MAX(IF(C$2:C$74=C38,BP$2:BP$74))</f>
        <v>-1.79769313486232E+308</v>
      </c>
      <c r="DC38" s="16" t="e">
        <f aca="false">AVERAGEIF(MatchData[team],MatchData[[#this row],[team]],MatchData[total score])</f>
        <v>#VALUE!</v>
      </c>
      <c r="DD38" s="16" t="e">
        <f aca="false">ROUND(AVERAGEIF(MatchData[team],MatchData[team],MatchData[climb or challenge flag]),2)</f>
        <v>#VALUE!</v>
      </c>
    </row>
    <row r="39" customFormat="false" ht="14.5" hidden="false" customHeight="false" outlineLevel="0" collapsed="false">
      <c r="A39" s="13" t="s">
        <v>108</v>
      </c>
      <c r="B39" s="14" t="n">
        <v>7</v>
      </c>
      <c r="C39" s="15" t="n">
        <v>2521</v>
      </c>
      <c r="D39" s="5" t="s">
        <v>109</v>
      </c>
      <c r="E39" s="5" t="s">
        <v>120</v>
      </c>
      <c r="H39" s="5"/>
      <c r="J39" s="5" t="n">
        <v>1</v>
      </c>
      <c r="K39" s="5"/>
      <c r="L39" s="5" t="n">
        <v>1</v>
      </c>
      <c r="M39" s="5"/>
      <c r="N39" s="5" t="n">
        <v>1</v>
      </c>
      <c r="O39" s="5"/>
      <c r="P39" s="5" t="n">
        <v>1</v>
      </c>
      <c r="Q39" s="5" t="n">
        <v>1</v>
      </c>
      <c r="R39" s="0"/>
      <c r="T39" s="0"/>
      <c r="V39" s="0"/>
      <c r="W39" s="0"/>
      <c r="X39" s="0"/>
      <c r="Z39" s="5" t="n">
        <v>1</v>
      </c>
      <c r="AL39" s="5" t="n">
        <v>1</v>
      </c>
      <c r="AR39" s="5" t="n">
        <v>1</v>
      </c>
      <c r="BC39" s="5" t="e">
        <f aca="false">MatchData[cheval scored crossings]*5</f>
        <v>#VALUE!</v>
      </c>
      <c r="BD39" s="5" t="e">
        <f aca="false">MatchData[moat scored crosings]*5</f>
        <v>#VALUE!</v>
      </c>
      <c r="BE39" s="5" t="e">
        <f aca="false">MatchData[ramparts scored crossings]*5</f>
        <v>#VALUE!</v>
      </c>
      <c r="BF39" s="5" t="e">
        <f aca="false">MatchData[drawbridge scored crossings]*5</f>
        <v>#VALUE!</v>
      </c>
      <c r="BG39" s="5" t="e">
        <f aca="false">MatchData[sally port scored crossings]*5</f>
        <v>#VALUE!</v>
      </c>
      <c r="BH39" s="5" t="e">
        <f aca="false">MatchData[rock wall scored crossings]*5</f>
        <v>#VALUE!</v>
      </c>
      <c r="BI39" s="5" t="e">
        <f aca="false">MatchData[rough terrain scored crossings]*5</f>
        <v>#VALUE!</v>
      </c>
      <c r="BJ39" s="5" t="e">
        <f aca="false">MatchData[low bar scored crossings]*5</f>
        <v>#VALUE!</v>
      </c>
      <c r="BK39" s="5" t="e">
        <f aca="false">SUM(MatchData[[#this row],[low bar teleop crossings]:[rough terrain scored crossings]])</f>
        <v>#VALUE!</v>
      </c>
      <c r="BL39" s="5" t="e">
        <f aca="false">IFERROR(IF(OR(MatchData[[#this row],[challenge flag]],MatchData[[#this row],[climb flag]]),1,0),0)</f>
        <v>#VALUE!</v>
      </c>
      <c r="BM39" s="5" t="e">
        <f aca="false">MatchData[auto high goals]*10+MatchData[teleop high goals]*5</f>
        <v>#VALUE!</v>
      </c>
      <c r="BN39" s="5" t="e">
        <f aca="false">MatchData[auto low goals]*5+MatchData[teleop low goals]*2</f>
        <v>#VALUE!</v>
      </c>
      <c r="BO39" s="5" t="e">
        <f aca="false">MatchData[high goal score]+MatchData[low goal score]</f>
        <v>#VALUE!</v>
      </c>
      <c r="BP39" s="5" t="e">
        <f aca="false">MatchData[teleop high goals]+MatchData[teleop low goals]</f>
        <v>#VALUE!</v>
      </c>
      <c r="BQ39" s="5" t="e">
        <f aca="false">MatchData[[#this row],[auto reach flag]]*2+SUM(MatchData[[#this row],[portcullis auto crossings]:[low bar auto crossings]])*10+MatchData[[#this row],[auto low goals]]*5+MatchData[auto high goals]*10</f>
        <v>#VALUE!</v>
      </c>
      <c r="BR39" s="5" t="e">
        <f aca="false">SUM(MatchData[[#this row],[cheval teleop crossing score]:[low bar teleop crossing score]])</f>
        <v>#VALUE!</v>
      </c>
      <c r="BS39" s="5" t="e">
        <f aca="false">SUMIF(MatchData[team],MatchData[[#this row],[team]],MatchData[total auto score])/MatchData[match count]</f>
        <v>#VALUE!</v>
      </c>
      <c r="BT39" s="5" t="e">
        <f aca="false">MatchData[challenge flag]*5</f>
        <v>#VALUE!</v>
      </c>
      <c r="BU39" s="5" t="e">
        <f aca="false">MatchData[climb flag]*15</f>
        <v>#VALUE!</v>
      </c>
      <c r="BV39" s="5" t="e">
        <f aca="false">SUM(MatchData[[#this row],[total goal score]],MatchData[[#this row],[crossing score]],MatchData[[#this row],[challenge score]],MatchData[[#this row],[climb score]],MatchData[[#this row],[total auto score]])</f>
        <v>#VALUE!</v>
      </c>
      <c r="BW39" s="16" t="e">
        <f aca="false">ROUND(SUMIF(MatchData[team],MatchData[[#this row],[team]],MatchData[teleop low goals])/COUNTIF(MatchData[team],MatchData[[#this row],[team]]),2)</f>
        <v>#VALUE!</v>
      </c>
      <c r="BX39" s="16" t="e">
        <f aca="false">ROUND(SUMIF(MatchData[team],MatchData[[#this row],[team]],MatchData[teleop high goals])/COUNTIF(MatchData[team],MatchData[[#this row],[team]]),2)</f>
        <v>#VALUE!</v>
      </c>
      <c r="BY39" s="16" t="e">
        <f aca="false">COUNTIF(MatchData[team],MatchData[[#this row],[team]])</f>
        <v>#VALUE!</v>
      </c>
      <c r="BZ39" s="16" t="e">
        <f aca="false">SUMIF(MatchData[team],MatchData[[#this row],[team]],MatchData[portcullis available])</f>
        <v>#VALUE!</v>
      </c>
      <c r="CA39" s="16" t="e">
        <f aca="false">SUMIF(MatchData[team],MatchData[[#this row],[team]],MatchData[cheval available])</f>
        <v>#VALUE!</v>
      </c>
      <c r="CB39" s="16" t="e">
        <f aca="false">SUMIF(MatchData[team],MatchData[[#this row],[team]],MatchData[moat available])</f>
        <v>#VALUE!</v>
      </c>
      <c r="CC39" s="16" t="e">
        <f aca="false">SUMIF(MatchData[team],MatchData[[#this row],[team]],MatchData[ramparts available])</f>
        <v>#VALUE!</v>
      </c>
      <c r="CD39" s="16" t="e">
        <f aca="false">SUMIF(MatchData[team],MatchData[[#this row],[team]],MatchData[drawbridge available])</f>
        <v>#VALUE!</v>
      </c>
      <c r="CE39" s="16" t="e">
        <f aca="false">SUMIF(MatchData[team],MatchData[[#this row],[team]],MatchData[sally port available])</f>
        <v>#VALUE!</v>
      </c>
      <c r="CF39" s="16" t="e">
        <f aca="false">SUMIF(MatchData[team],MatchData[[#this row],[team]],MatchData[rock wall available])</f>
        <v>#VALUE!</v>
      </c>
      <c r="CG39" s="16" t="e">
        <f aca="false">SUMIF(MatchData[team],MatchData[[#this row],[team]],MatchData[rough terrain available])</f>
        <v>#VALUE!</v>
      </c>
      <c r="CH39" s="16" t="e">
        <f aca="false">SUMIF(MatchData[team],MatchData[[#this row],[team]],MatchData[low bar available])</f>
        <v>#VALUE!</v>
      </c>
      <c r="CI39" s="16" t="e">
        <f aca="false">SUMIF(MatchData[team],MatchData[[#this row],[team]],MatchData[portcullis teleop crossings]:MatchData[portcullis scored crossings])</f>
        <v>#VALUE!</v>
      </c>
      <c r="CJ39" s="16" t="e">
        <f aca="false">SUMIF(MatchData[team],MatchData[[#this row],[team]],MatchData[cheval teleop crossings])+SUMIF(MatchData[team],MatchData[[#this row],[team]],MatchData[cheval scored crossings])</f>
        <v>#VALUE!</v>
      </c>
      <c r="CK39" s="16" t="e">
        <f aca="false">SUMIF(MatchData[team],MatchData[[#this row],[team]],MatchData[moat teleop crossings])+SUMIF(MatchData[team],MatchData[[#this row],[team]],MatchData[moat scored crosings])</f>
        <v>#VALUE!</v>
      </c>
      <c r="CL39" s="16" t="e">
        <f aca="false">SUMIF(MatchData[team],MatchData[[#this row],[team]],MatchData[ramparts teleop crossings])+SUMIF(MatchData[team],MatchData[[#this row],[team]],MatchData[ramparts scored crossings])</f>
        <v>#VALUE!</v>
      </c>
      <c r="CM39" s="16" t="e">
        <f aca="false">SUMIF(MatchData[team],MatchData[[#this row],[team]],MatchData[drawbridge teleop crossings])+SUMIF(MatchData[team],MatchData[[#this row],[team]],MatchData[drawbridge scored crossings])</f>
        <v>#VALUE!</v>
      </c>
      <c r="CN39" s="16" t="e">
        <f aca="false">SUMIF(MatchData[team],MatchData[[#this row],[team]],MatchData[sally port teleop crossings])+SUMIF(MatchData[team],MatchData[[#this row],[team]],MatchData[sally port scored crossings])</f>
        <v>#VALUE!</v>
      </c>
      <c r="CO39" s="16" t="e">
        <f aca="false">SUMIF(MatchData[team],MatchData[[#this row],[team]],MatchData[rock wall teleop crossings])+SUMIF(MatchData[team],MatchData[[#this row],[team]],MatchData[rock wall scored crossings])</f>
        <v>#VALUE!</v>
      </c>
      <c r="CP39" s="16" t="e">
        <f aca="false">SUMIF(MatchData[team],MatchData[[#this row],[team]],MatchData[rough terrain teleop crossings])+SUMIF(MatchData[team],MatchData[[#this row],[team]],MatchData[rough terrain scored crossings])</f>
        <v>#VALUE!</v>
      </c>
      <c r="CQ39" s="16" t="e">
        <f aca="false">SUMIF(MatchData[team],MatchData[[#this row],[team]],MatchData[low bar teleop crossings])+SUMIF(MatchData[team],MatchData[[#this row],[team]],MatchData[low bar scored crossings])</f>
        <v>#VALUE!</v>
      </c>
      <c r="CR39" s="16" t="e">
        <f aca="false">IFERROR(ROUND(MatchData[[#this row],[portcullis sum]]/MatchData[[#this row],[portcullis avail count]],2),0)</f>
        <v>#VALUE!</v>
      </c>
      <c r="CS39" s="5" t="e">
        <f aca="false">IFERROR(ROUND(MatchData[[#this row],[cheval sum]]/MatchData[[#this row],[cheval avail count]],2),0)</f>
        <v>#VALUE!</v>
      </c>
      <c r="CT39" s="5" t="e">
        <f aca="false">IFERROR(ROUND(MatchData[[#this row],[moat sum]]/MatchData[[#this row],[moat avail count]],2),0)</f>
        <v>#VALUE!</v>
      </c>
      <c r="CU39" s="5" t="e">
        <f aca="false">IFERROR(ROUND(MatchData[[#this row],[ramparts sum]]/MatchData[[#this row],[ramparts avail count]],2),0)</f>
        <v>#VALUE!</v>
      </c>
      <c r="CV39" s="5" t="e">
        <f aca="false">IFERROR(ROUND(MatchData[[#this row],[drawbridge sum]]/MatchData[[#this row],[drawbridge avail countigh6]],2),0)</f>
        <v>#VALUE!</v>
      </c>
      <c r="CW39" s="5" t="e">
        <f aca="false">IFERROR(ROUND(MatchData[[#this row],[sally port sum]]/MatchData[[#this row],[sally port avail count]],2),0)</f>
        <v>#VALUE!</v>
      </c>
      <c r="CX39" s="5" t="e">
        <f aca="false">IFERROR(ROUND(MatchData[[#this row],[rock wall sum]]/MatchData[[#this row],[rock wall avail count]],2),0)</f>
        <v>#VALUE!</v>
      </c>
      <c r="CY39" s="5" t="e">
        <f aca="false">IFERROR(ROUND(MatchData[[#this row],[rough terrain sum]]/MatchData[[#this row],[rough terrain avail count]],2),0)</f>
        <v>#VALUE!</v>
      </c>
      <c r="CZ39" s="5" t="e">
        <f aca="false">IFERROR(ROUND(MatchData[[#this row],[low bar sum]]/MatchData[[#this row],[low bar avail count]],2),0)</f>
        <v>#VALUE!</v>
      </c>
      <c r="DA39" s="5" t="e">
        <f aca="false">SUM(MatchData[[#this row],[cheval sum]:[low bar sum]])/MatchData[match count]</f>
        <v>#VALUE!</v>
      </c>
      <c r="DB39" s="16" t="n">
        <f aca="false">MAX(IF(C$2:C$74=C39,BP$2:BP$74))</f>
        <v>-1.79769313486232E+308</v>
      </c>
      <c r="DC39" s="16" t="e">
        <f aca="false">AVERAGEIF(MatchData[team],MatchData[[#this row],[team]],MatchData[total score])</f>
        <v>#VALUE!</v>
      </c>
      <c r="DD39" s="16" t="e">
        <f aca="false">ROUND(AVERAGEIF(MatchData[team],MatchData[team],MatchData[climb or challenge flag]),2)</f>
        <v>#VALUE!</v>
      </c>
    </row>
    <row r="40" customFormat="false" ht="14.5" hidden="false" customHeight="false" outlineLevel="0" collapsed="false">
      <c r="A40" s="17" t="s">
        <v>108</v>
      </c>
      <c r="B40" s="14" t="n">
        <v>7</v>
      </c>
      <c r="C40" s="15" t="n">
        <v>5977</v>
      </c>
      <c r="D40" s="5" t="s">
        <v>109</v>
      </c>
      <c r="E40" s="5" t="s">
        <v>122</v>
      </c>
      <c r="H40" s="5"/>
      <c r="J40" s="5" t="n">
        <v>1</v>
      </c>
      <c r="K40" s="5"/>
      <c r="L40" s="5" t="n">
        <v>1</v>
      </c>
      <c r="M40" s="5"/>
      <c r="N40" s="5" t="n">
        <v>1</v>
      </c>
      <c r="O40" s="5"/>
      <c r="P40" s="5" t="n">
        <v>1</v>
      </c>
      <c r="Q40" s="5" t="n">
        <v>1</v>
      </c>
      <c r="R40" s="0"/>
      <c r="T40" s="0"/>
      <c r="V40" s="0"/>
      <c r="W40" s="0"/>
      <c r="X40" s="0"/>
      <c r="AR40" s="5" t="n">
        <v>1</v>
      </c>
      <c r="BC40" s="5" t="e">
        <f aca="false">MatchData[cheval scored crossings]*5</f>
        <v>#VALUE!</v>
      </c>
      <c r="BD40" s="5" t="e">
        <f aca="false">MatchData[moat scored crosings]*5</f>
        <v>#VALUE!</v>
      </c>
      <c r="BE40" s="5" t="e">
        <f aca="false">MatchData[ramparts scored crossings]*5</f>
        <v>#VALUE!</v>
      </c>
      <c r="BF40" s="5" t="e">
        <f aca="false">MatchData[drawbridge scored crossings]*5</f>
        <v>#VALUE!</v>
      </c>
      <c r="BG40" s="5" t="e">
        <f aca="false">MatchData[sally port scored crossings]*5</f>
        <v>#VALUE!</v>
      </c>
      <c r="BH40" s="5" t="e">
        <f aca="false">MatchData[rock wall scored crossings]*5</f>
        <v>#VALUE!</v>
      </c>
      <c r="BI40" s="5" t="e">
        <f aca="false">MatchData[rough terrain scored crossings]*5</f>
        <v>#VALUE!</v>
      </c>
      <c r="BJ40" s="5" t="e">
        <f aca="false">MatchData[low bar scored crossings]*5</f>
        <v>#VALUE!</v>
      </c>
      <c r="BK40" s="5" t="e">
        <f aca="false">SUM(MatchData[[#this row],[low bar teleop crossings]:[rough terrain scored crossings]])</f>
        <v>#VALUE!</v>
      </c>
      <c r="BL40" s="5" t="e">
        <f aca="false">IFERROR(IF(OR(MatchData[[#this row],[challenge flag]],MatchData[[#this row],[climb flag]]),1,0),0)</f>
        <v>#VALUE!</v>
      </c>
      <c r="BM40" s="5" t="e">
        <f aca="false">MatchData[auto high goals]*10+MatchData[teleop high goals]*5</f>
        <v>#VALUE!</v>
      </c>
      <c r="BN40" s="5" t="e">
        <f aca="false">MatchData[auto low goals]*5+MatchData[teleop low goals]*2</f>
        <v>#VALUE!</v>
      </c>
      <c r="BO40" s="5" t="e">
        <f aca="false">MatchData[high goal score]+MatchData[low goal score]</f>
        <v>#VALUE!</v>
      </c>
      <c r="BP40" s="5" t="e">
        <f aca="false">MatchData[teleop high goals]+MatchData[teleop low goals]</f>
        <v>#VALUE!</v>
      </c>
      <c r="BQ40" s="5" t="e">
        <f aca="false">MatchData[[#this row],[auto reach flag]]*2+SUM(MatchData[[#this row],[portcullis auto crossings]:[low bar auto crossings]])*10+MatchData[[#this row],[auto low goals]]*5+MatchData[auto high goals]*10</f>
        <v>#VALUE!</v>
      </c>
      <c r="BR40" s="5" t="e">
        <f aca="false">SUM(MatchData[[#this row],[cheval teleop crossing score]:[low bar teleop crossing score]])</f>
        <v>#VALUE!</v>
      </c>
      <c r="BS40" s="5" t="e">
        <f aca="false">SUMIF(MatchData[team],MatchData[[#this row],[team]],MatchData[total auto score])/MatchData[match count]</f>
        <v>#VALUE!</v>
      </c>
      <c r="BT40" s="5" t="e">
        <f aca="false">MatchData[challenge flag]*5</f>
        <v>#VALUE!</v>
      </c>
      <c r="BU40" s="5" t="e">
        <f aca="false">MatchData[climb flag]*15</f>
        <v>#VALUE!</v>
      </c>
      <c r="BV40" s="5" t="e">
        <f aca="false">SUM(MatchData[[#this row],[total goal score]],MatchData[[#this row],[crossing score]],MatchData[[#this row],[challenge score]],MatchData[[#this row],[climb score]],MatchData[[#this row],[total auto score]])</f>
        <v>#VALUE!</v>
      </c>
      <c r="BW40" s="16" t="e">
        <f aca="false">ROUND(SUMIF(MatchData[team],MatchData[[#this row],[team]],MatchData[teleop low goals])/COUNTIF(MatchData[team],MatchData[[#this row],[team]]),2)</f>
        <v>#VALUE!</v>
      </c>
      <c r="BX40" s="16" t="e">
        <f aca="false">ROUND(SUMIF(MatchData[team],MatchData[[#this row],[team]],MatchData[teleop high goals])/COUNTIF(MatchData[team],MatchData[[#this row],[team]]),2)</f>
        <v>#VALUE!</v>
      </c>
      <c r="BY40" s="16" t="e">
        <f aca="false">COUNTIF(MatchData[team],MatchData[[#this row],[team]])</f>
        <v>#VALUE!</v>
      </c>
      <c r="BZ40" s="16" t="e">
        <f aca="false">SUMIF(MatchData[team],MatchData[[#this row],[team]],MatchData[portcullis available])</f>
        <v>#VALUE!</v>
      </c>
      <c r="CA40" s="16" t="e">
        <f aca="false">SUMIF(MatchData[team],MatchData[[#this row],[team]],MatchData[cheval available])</f>
        <v>#VALUE!</v>
      </c>
      <c r="CB40" s="16" t="e">
        <f aca="false">SUMIF(MatchData[team],MatchData[[#this row],[team]],MatchData[moat available])</f>
        <v>#VALUE!</v>
      </c>
      <c r="CC40" s="16" t="e">
        <f aca="false">SUMIF(MatchData[team],MatchData[[#this row],[team]],MatchData[ramparts available])</f>
        <v>#VALUE!</v>
      </c>
      <c r="CD40" s="16" t="e">
        <f aca="false">SUMIF(MatchData[team],MatchData[[#this row],[team]],MatchData[drawbridge available])</f>
        <v>#VALUE!</v>
      </c>
      <c r="CE40" s="16" t="e">
        <f aca="false">SUMIF(MatchData[team],MatchData[[#this row],[team]],MatchData[sally port available])</f>
        <v>#VALUE!</v>
      </c>
      <c r="CF40" s="16" t="e">
        <f aca="false">SUMIF(MatchData[team],MatchData[[#this row],[team]],MatchData[rock wall available])</f>
        <v>#VALUE!</v>
      </c>
      <c r="CG40" s="16" t="e">
        <f aca="false">SUMIF(MatchData[team],MatchData[[#this row],[team]],MatchData[rough terrain available])</f>
        <v>#VALUE!</v>
      </c>
      <c r="CH40" s="16" t="e">
        <f aca="false">SUMIF(MatchData[team],MatchData[[#this row],[team]],MatchData[low bar available])</f>
        <v>#VALUE!</v>
      </c>
      <c r="CI40" s="16" t="e">
        <f aca="false">SUMIF(MatchData[team],MatchData[[#this row],[team]],MatchData[portcullis teleop crossings]:MatchData[portcullis scored crossings])</f>
        <v>#VALUE!</v>
      </c>
      <c r="CJ40" s="16" t="e">
        <f aca="false">SUMIF(MatchData[team],MatchData[[#this row],[team]],MatchData[cheval teleop crossings])+SUMIF(MatchData[team],MatchData[[#this row],[team]],MatchData[cheval scored crossings])</f>
        <v>#VALUE!</v>
      </c>
      <c r="CK40" s="16" t="e">
        <f aca="false">SUMIF(MatchData[team],MatchData[[#this row],[team]],MatchData[moat teleop crossings])+SUMIF(MatchData[team],MatchData[[#this row],[team]],MatchData[moat scored crosings])</f>
        <v>#VALUE!</v>
      </c>
      <c r="CL40" s="16" t="e">
        <f aca="false">SUMIF(MatchData[team],MatchData[[#this row],[team]],MatchData[ramparts teleop crossings])+SUMIF(MatchData[team],MatchData[[#this row],[team]],MatchData[ramparts scored crossings])</f>
        <v>#VALUE!</v>
      </c>
      <c r="CM40" s="16" t="e">
        <f aca="false">SUMIF(MatchData[team],MatchData[[#this row],[team]],MatchData[drawbridge teleop crossings])+SUMIF(MatchData[team],MatchData[[#this row],[team]],MatchData[drawbridge scored crossings])</f>
        <v>#VALUE!</v>
      </c>
      <c r="CN40" s="16" t="e">
        <f aca="false">SUMIF(MatchData[team],MatchData[[#this row],[team]],MatchData[sally port teleop crossings])+SUMIF(MatchData[team],MatchData[[#this row],[team]],MatchData[sally port scored crossings])</f>
        <v>#VALUE!</v>
      </c>
      <c r="CO40" s="16" t="e">
        <f aca="false">SUMIF(MatchData[team],MatchData[[#this row],[team]],MatchData[rock wall teleop crossings])+SUMIF(MatchData[team],MatchData[[#this row],[team]],MatchData[rock wall scored crossings])</f>
        <v>#VALUE!</v>
      </c>
      <c r="CP40" s="16" t="e">
        <f aca="false">SUMIF(MatchData[team],MatchData[[#this row],[team]],MatchData[rough terrain teleop crossings])+SUMIF(MatchData[team],MatchData[[#this row],[team]],MatchData[rough terrain scored crossings])</f>
        <v>#VALUE!</v>
      </c>
      <c r="CQ40" s="16" t="e">
        <f aca="false">SUMIF(MatchData[team],MatchData[[#this row],[team]],MatchData[low bar teleop crossings])+SUMIF(MatchData[team],MatchData[[#this row],[team]],MatchData[low bar scored crossings])</f>
        <v>#VALUE!</v>
      </c>
      <c r="CR40" s="16" t="e">
        <f aca="false">IFERROR(ROUND(MatchData[[#this row],[portcullis sum]]/MatchData[[#this row],[portcullis avail count]],2),0)</f>
        <v>#VALUE!</v>
      </c>
      <c r="CS40" s="5" t="e">
        <f aca="false">IFERROR(ROUND(MatchData[[#this row],[cheval sum]]/MatchData[[#this row],[cheval avail count]],2),0)</f>
        <v>#VALUE!</v>
      </c>
      <c r="CT40" s="5" t="e">
        <f aca="false">IFERROR(ROUND(MatchData[[#this row],[moat sum]]/MatchData[[#this row],[moat avail count]],2),0)</f>
        <v>#VALUE!</v>
      </c>
      <c r="CU40" s="5" t="e">
        <f aca="false">IFERROR(ROUND(MatchData[[#this row],[ramparts sum]]/MatchData[[#this row],[ramparts avail count]],2),0)</f>
        <v>#VALUE!</v>
      </c>
      <c r="CV40" s="5" t="e">
        <f aca="false">IFERROR(ROUND(MatchData[[#this row],[drawbridge sum]]/MatchData[[#this row],[drawbridge avail countigh6]],2),0)</f>
        <v>#VALUE!</v>
      </c>
      <c r="CW40" s="5" t="e">
        <f aca="false">IFERROR(ROUND(MatchData[[#this row],[sally port sum]]/MatchData[[#this row],[sally port avail count]],2),0)</f>
        <v>#VALUE!</v>
      </c>
      <c r="CX40" s="5" t="e">
        <f aca="false">IFERROR(ROUND(MatchData[[#this row],[rock wall sum]]/MatchData[[#this row],[rock wall avail count]],2),0)</f>
        <v>#VALUE!</v>
      </c>
      <c r="CY40" s="5" t="e">
        <f aca="false">IFERROR(ROUND(MatchData[[#this row],[rough terrain sum]]/MatchData[[#this row],[rough terrain avail count]],2),0)</f>
        <v>#VALUE!</v>
      </c>
      <c r="CZ40" s="5" t="e">
        <f aca="false">IFERROR(ROUND(MatchData[[#this row],[low bar sum]]/MatchData[[#this row],[low bar avail count]],2),0)</f>
        <v>#VALUE!</v>
      </c>
      <c r="DA40" s="5" t="e">
        <f aca="false">SUM(MatchData[[#this row],[cheval sum]:[low bar sum]])/MatchData[match count]</f>
        <v>#VALUE!</v>
      </c>
      <c r="DB40" s="16" t="n">
        <f aca="false">MAX(IF(C$2:C$74=C40,BP$2:BP$74))</f>
        <v>-1.79769313486232E+308</v>
      </c>
      <c r="DC40" s="16" t="e">
        <f aca="false">AVERAGEIF(MatchData[team],MatchData[[#this row],[team]],MatchData[total score])</f>
        <v>#VALUE!</v>
      </c>
      <c r="DD40" s="16" t="e">
        <f aca="false">ROUND(AVERAGEIF(MatchData[team],MatchData[team],MatchData[climb or challenge flag]),2)</f>
        <v>#VALUE!</v>
      </c>
    </row>
    <row r="41" customFormat="false" ht="14.5" hidden="false" customHeight="false" outlineLevel="0" collapsed="false">
      <c r="A41" s="13" t="s">
        <v>108</v>
      </c>
      <c r="B41" s="14" t="n">
        <v>7</v>
      </c>
      <c r="C41" s="15" t="n">
        <v>2990</v>
      </c>
      <c r="D41" s="5" t="s">
        <v>113</v>
      </c>
      <c r="E41" s="5" t="s">
        <v>124</v>
      </c>
      <c r="H41" s="5"/>
      <c r="I41" s="5" t="n">
        <v>1</v>
      </c>
      <c r="J41" s="5" t="n">
        <v>1</v>
      </c>
      <c r="K41" s="5" t="n">
        <v>1</v>
      </c>
      <c r="L41" s="5"/>
      <c r="M41" s="5"/>
      <c r="N41" s="5" t="n">
        <v>1</v>
      </c>
      <c r="O41" s="5" t="n">
        <v>1</v>
      </c>
      <c r="P41" s="5"/>
      <c r="Q41" s="5" t="n">
        <v>1</v>
      </c>
      <c r="R41" s="0"/>
      <c r="T41" s="0"/>
      <c r="V41" s="0"/>
      <c r="W41" s="0"/>
      <c r="X41" s="0"/>
      <c r="Z41" s="5" t="n">
        <v>1</v>
      </c>
      <c r="AF41" s="5" t="n">
        <v>2</v>
      </c>
      <c r="AR41" s="5" t="n">
        <v>1</v>
      </c>
      <c r="BC41" s="5" t="e">
        <f aca="false">MatchData[cheval scored crossings]*5</f>
        <v>#VALUE!</v>
      </c>
      <c r="BD41" s="5" t="e">
        <f aca="false">MatchData[moat scored crosings]*5</f>
        <v>#VALUE!</v>
      </c>
      <c r="BE41" s="5" t="e">
        <f aca="false">MatchData[ramparts scored crossings]*5</f>
        <v>#VALUE!</v>
      </c>
      <c r="BF41" s="5" t="e">
        <f aca="false">MatchData[drawbridge scored crossings]*5</f>
        <v>#VALUE!</v>
      </c>
      <c r="BG41" s="5" t="e">
        <f aca="false">MatchData[sally port scored crossings]*5</f>
        <v>#VALUE!</v>
      </c>
      <c r="BH41" s="5" t="e">
        <f aca="false">MatchData[rock wall scored crossings]*5</f>
        <v>#VALUE!</v>
      </c>
      <c r="BI41" s="5" t="e">
        <f aca="false">MatchData[rough terrain scored crossings]*5</f>
        <v>#VALUE!</v>
      </c>
      <c r="BJ41" s="5" t="e">
        <f aca="false">MatchData[low bar scored crossings]*5</f>
        <v>#VALUE!</v>
      </c>
      <c r="BK41" s="5" t="e">
        <f aca="false">SUM(MatchData[[#this row],[low bar teleop crossings]:[rough terrain scored crossings]])</f>
        <v>#VALUE!</v>
      </c>
      <c r="BL41" s="5" t="e">
        <f aca="false">IFERROR(IF(OR(MatchData[[#this row],[challenge flag]],MatchData[[#this row],[climb flag]]),1,0),0)</f>
        <v>#VALUE!</v>
      </c>
      <c r="BM41" s="5" t="e">
        <f aca="false">MatchData[auto high goals]*10+MatchData[teleop high goals]*5</f>
        <v>#VALUE!</v>
      </c>
      <c r="BN41" s="5" t="e">
        <f aca="false">MatchData[auto low goals]*5+MatchData[teleop low goals]*2</f>
        <v>#VALUE!</v>
      </c>
      <c r="BO41" s="5" t="e">
        <f aca="false">MatchData[high goal score]+MatchData[low goal score]</f>
        <v>#VALUE!</v>
      </c>
      <c r="BP41" s="5" t="e">
        <f aca="false">MatchData[teleop high goals]+MatchData[teleop low goals]</f>
        <v>#VALUE!</v>
      </c>
      <c r="BQ41" s="5" t="e">
        <f aca="false">MatchData[[#this row],[auto reach flag]]*2+SUM(MatchData[[#this row],[portcullis auto crossings]:[low bar auto crossings]])*10+MatchData[[#this row],[auto low goals]]*5+MatchData[auto high goals]*10</f>
        <v>#VALUE!</v>
      </c>
      <c r="BR41" s="5" t="e">
        <f aca="false">SUM(MatchData[[#this row],[cheval teleop crossing score]:[low bar teleop crossing score]])</f>
        <v>#VALUE!</v>
      </c>
      <c r="BS41" s="5" t="e">
        <f aca="false">SUMIF(MatchData[team],MatchData[[#this row],[team]],MatchData[total auto score])/MatchData[match count]</f>
        <v>#VALUE!</v>
      </c>
      <c r="BT41" s="5" t="e">
        <f aca="false">MatchData[challenge flag]*5</f>
        <v>#VALUE!</v>
      </c>
      <c r="BU41" s="5" t="e">
        <f aca="false">MatchData[climb flag]*15</f>
        <v>#VALUE!</v>
      </c>
      <c r="BV41" s="5" t="e">
        <f aca="false">SUM(MatchData[[#this row],[total goal score]],MatchData[[#this row],[crossing score]],MatchData[[#this row],[challenge score]],MatchData[[#this row],[climb score]],MatchData[[#this row],[total auto score]])</f>
        <v>#VALUE!</v>
      </c>
      <c r="BW41" s="16" t="e">
        <f aca="false">ROUND(SUMIF(MatchData[team],MatchData[[#this row],[team]],MatchData[teleop low goals])/COUNTIF(MatchData[team],MatchData[[#this row],[team]]),2)</f>
        <v>#VALUE!</v>
      </c>
      <c r="BX41" s="16" t="e">
        <f aca="false">ROUND(SUMIF(MatchData[team],MatchData[[#this row],[team]],MatchData[teleop high goals])/COUNTIF(MatchData[team],MatchData[[#this row],[team]]),2)</f>
        <v>#VALUE!</v>
      </c>
      <c r="BY41" s="16" t="e">
        <f aca="false">COUNTIF(MatchData[team],MatchData[[#this row],[team]])</f>
        <v>#VALUE!</v>
      </c>
      <c r="BZ41" s="16" t="e">
        <f aca="false">SUMIF(MatchData[team],MatchData[[#this row],[team]],MatchData[portcullis available])</f>
        <v>#VALUE!</v>
      </c>
      <c r="CA41" s="16" t="e">
        <f aca="false">SUMIF(MatchData[team],MatchData[[#this row],[team]],MatchData[cheval available])</f>
        <v>#VALUE!</v>
      </c>
      <c r="CB41" s="16" t="e">
        <f aca="false">SUMIF(MatchData[team],MatchData[[#this row],[team]],MatchData[moat available])</f>
        <v>#VALUE!</v>
      </c>
      <c r="CC41" s="16" t="e">
        <f aca="false">SUMIF(MatchData[team],MatchData[[#this row],[team]],MatchData[ramparts available])</f>
        <v>#VALUE!</v>
      </c>
      <c r="CD41" s="16" t="e">
        <f aca="false">SUMIF(MatchData[team],MatchData[[#this row],[team]],MatchData[drawbridge available])</f>
        <v>#VALUE!</v>
      </c>
      <c r="CE41" s="16" t="e">
        <f aca="false">SUMIF(MatchData[team],MatchData[[#this row],[team]],MatchData[sally port available])</f>
        <v>#VALUE!</v>
      </c>
      <c r="CF41" s="16" t="e">
        <f aca="false">SUMIF(MatchData[team],MatchData[[#this row],[team]],MatchData[rock wall available])</f>
        <v>#VALUE!</v>
      </c>
      <c r="CG41" s="16" t="e">
        <f aca="false">SUMIF(MatchData[team],MatchData[[#this row],[team]],MatchData[rough terrain available])</f>
        <v>#VALUE!</v>
      </c>
      <c r="CH41" s="16" t="e">
        <f aca="false">SUMIF(MatchData[team],MatchData[[#this row],[team]],MatchData[low bar available])</f>
        <v>#VALUE!</v>
      </c>
      <c r="CI41" s="16" t="e">
        <f aca="false">SUMIF(MatchData[team],MatchData[[#this row],[team]],MatchData[portcullis teleop crossings]:MatchData[portcullis scored crossings])</f>
        <v>#VALUE!</v>
      </c>
      <c r="CJ41" s="16" t="e">
        <f aca="false">SUMIF(MatchData[team],MatchData[[#this row],[team]],MatchData[cheval teleop crossings])+SUMIF(MatchData[team],MatchData[[#this row],[team]],MatchData[cheval scored crossings])</f>
        <v>#VALUE!</v>
      </c>
      <c r="CK41" s="16" t="e">
        <f aca="false">SUMIF(MatchData[team],MatchData[[#this row],[team]],MatchData[moat teleop crossings])+SUMIF(MatchData[team],MatchData[[#this row],[team]],MatchData[moat scored crosings])</f>
        <v>#VALUE!</v>
      </c>
      <c r="CL41" s="16" t="e">
        <f aca="false">SUMIF(MatchData[team],MatchData[[#this row],[team]],MatchData[ramparts teleop crossings])+SUMIF(MatchData[team],MatchData[[#this row],[team]],MatchData[ramparts scored crossings])</f>
        <v>#VALUE!</v>
      </c>
      <c r="CM41" s="16" t="e">
        <f aca="false">SUMIF(MatchData[team],MatchData[[#this row],[team]],MatchData[drawbridge teleop crossings])+SUMIF(MatchData[team],MatchData[[#this row],[team]],MatchData[drawbridge scored crossings])</f>
        <v>#VALUE!</v>
      </c>
      <c r="CN41" s="16" t="e">
        <f aca="false">SUMIF(MatchData[team],MatchData[[#this row],[team]],MatchData[sally port teleop crossings])+SUMIF(MatchData[team],MatchData[[#this row],[team]],MatchData[sally port scored crossings])</f>
        <v>#VALUE!</v>
      </c>
      <c r="CO41" s="16" t="e">
        <f aca="false">SUMIF(MatchData[team],MatchData[[#this row],[team]],MatchData[rock wall teleop crossings])+SUMIF(MatchData[team],MatchData[[#this row],[team]],MatchData[rock wall scored crossings])</f>
        <v>#VALUE!</v>
      </c>
      <c r="CP41" s="16" t="e">
        <f aca="false">SUMIF(MatchData[team],MatchData[[#this row],[team]],MatchData[rough terrain teleop crossings])+SUMIF(MatchData[team],MatchData[[#this row],[team]],MatchData[rough terrain scored crossings])</f>
        <v>#VALUE!</v>
      </c>
      <c r="CQ41" s="16" t="e">
        <f aca="false">SUMIF(MatchData[team],MatchData[[#this row],[team]],MatchData[low bar teleop crossings])+SUMIF(MatchData[team],MatchData[[#this row],[team]],MatchData[low bar scored crossings])</f>
        <v>#VALUE!</v>
      </c>
      <c r="CR41" s="16" t="e">
        <f aca="false">IFERROR(ROUND(MatchData[[#this row],[portcullis sum]]/MatchData[[#this row],[portcullis avail count]],2),0)</f>
        <v>#VALUE!</v>
      </c>
      <c r="CS41" s="5" t="e">
        <f aca="false">IFERROR(ROUND(MatchData[[#this row],[cheval sum]]/MatchData[[#this row],[cheval avail count]],2),0)</f>
        <v>#VALUE!</v>
      </c>
      <c r="CT41" s="5" t="e">
        <f aca="false">IFERROR(ROUND(MatchData[[#this row],[moat sum]]/MatchData[[#this row],[moat avail count]],2),0)</f>
        <v>#VALUE!</v>
      </c>
      <c r="CU41" s="5" t="e">
        <f aca="false">IFERROR(ROUND(MatchData[[#this row],[ramparts sum]]/MatchData[[#this row],[ramparts avail count]],2),0)</f>
        <v>#VALUE!</v>
      </c>
      <c r="CV41" s="5" t="e">
        <f aca="false">IFERROR(ROUND(MatchData[[#this row],[drawbridge sum]]/MatchData[[#this row],[drawbridge avail countigh6]],2),0)</f>
        <v>#VALUE!</v>
      </c>
      <c r="CW41" s="5" t="e">
        <f aca="false">IFERROR(ROUND(MatchData[[#this row],[sally port sum]]/MatchData[[#this row],[sally port avail count]],2),0)</f>
        <v>#VALUE!</v>
      </c>
      <c r="CX41" s="5" t="e">
        <f aca="false">IFERROR(ROUND(MatchData[[#this row],[rock wall sum]]/MatchData[[#this row],[rock wall avail count]],2),0)</f>
        <v>#VALUE!</v>
      </c>
      <c r="CY41" s="5" t="e">
        <f aca="false">IFERROR(ROUND(MatchData[[#this row],[rough terrain sum]]/MatchData[[#this row],[rough terrain avail count]],2),0)</f>
        <v>#VALUE!</v>
      </c>
      <c r="CZ41" s="5" t="e">
        <f aca="false">IFERROR(ROUND(MatchData[[#this row],[low bar sum]]/MatchData[[#this row],[low bar avail count]],2),0)</f>
        <v>#VALUE!</v>
      </c>
      <c r="DA41" s="5" t="e">
        <f aca="false">SUM(MatchData[[#this row],[cheval sum]:[low bar sum]])/MatchData[match count]</f>
        <v>#VALUE!</v>
      </c>
      <c r="DB41" s="16" t="n">
        <f aca="false">MAX(IF(C$2:C$74=C41,BP$2:BP$74))</f>
        <v>-1.79769313486232E+308</v>
      </c>
      <c r="DC41" s="16" t="e">
        <f aca="false">AVERAGEIF(MatchData[team],MatchData[[#this row],[team]],MatchData[total score])</f>
        <v>#VALUE!</v>
      </c>
      <c r="DD41" s="16" t="e">
        <f aca="false">ROUND(AVERAGEIF(MatchData[team],MatchData[team],MatchData[climb or challenge flag]),2)</f>
        <v>#VALUE!</v>
      </c>
    </row>
    <row r="42" customFormat="false" ht="14.5" hidden="false" customHeight="false" outlineLevel="0" collapsed="false">
      <c r="A42" s="13" t="s">
        <v>108</v>
      </c>
      <c r="B42" s="14" t="n">
        <v>7</v>
      </c>
      <c r="C42" s="15" t="n">
        <v>3673</v>
      </c>
      <c r="D42" s="5" t="s">
        <v>113</v>
      </c>
      <c r="E42" s="5" t="s">
        <v>128</v>
      </c>
      <c r="H42" s="5"/>
      <c r="J42" s="5" t="n">
        <v>1</v>
      </c>
      <c r="K42" s="5" t="n">
        <v>1</v>
      </c>
      <c r="L42" s="5"/>
      <c r="M42" s="5"/>
      <c r="N42" s="5" t="n">
        <v>1</v>
      </c>
      <c r="O42" s="5" t="n">
        <v>1</v>
      </c>
      <c r="P42" s="5"/>
      <c r="Q42" s="5" t="n">
        <v>1</v>
      </c>
      <c r="R42" s="0"/>
      <c r="S42" s="5" t="n">
        <v>1</v>
      </c>
      <c r="T42" s="0"/>
      <c r="V42" s="0"/>
      <c r="W42" s="0"/>
      <c r="X42" s="0"/>
      <c r="AL42" s="5" t="n">
        <v>1</v>
      </c>
      <c r="AR42" s="5" t="n">
        <v>1</v>
      </c>
      <c r="BC42" s="5" t="e">
        <f aca="false">MatchData[cheval scored crossings]*5</f>
        <v>#VALUE!</v>
      </c>
      <c r="BD42" s="5" t="e">
        <f aca="false">MatchData[moat scored crosings]*5</f>
        <v>#VALUE!</v>
      </c>
      <c r="BE42" s="5" t="e">
        <f aca="false">MatchData[ramparts scored crossings]*5</f>
        <v>#VALUE!</v>
      </c>
      <c r="BF42" s="5" t="e">
        <f aca="false">MatchData[drawbridge scored crossings]*5</f>
        <v>#VALUE!</v>
      </c>
      <c r="BG42" s="5" t="e">
        <f aca="false">MatchData[sally port scored crossings]*5</f>
        <v>#VALUE!</v>
      </c>
      <c r="BH42" s="5" t="e">
        <f aca="false">MatchData[rock wall scored crossings]*5</f>
        <v>#VALUE!</v>
      </c>
      <c r="BI42" s="5" t="e">
        <f aca="false">MatchData[rough terrain scored crossings]*5</f>
        <v>#VALUE!</v>
      </c>
      <c r="BJ42" s="5" t="e">
        <f aca="false">MatchData[low bar scored crossings]*5</f>
        <v>#VALUE!</v>
      </c>
      <c r="BK42" s="5" t="e">
        <f aca="false">SUM(MatchData[[#this row],[low bar teleop crossings]:[rough terrain scored crossings]])</f>
        <v>#VALUE!</v>
      </c>
      <c r="BL42" s="5" t="e">
        <f aca="false">IFERROR(IF(OR(MatchData[[#this row],[challenge flag]],MatchData[[#this row],[climb flag]]),1,0),0)</f>
        <v>#VALUE!</v>
      </c>
      <c r="BM42" s="5" t="e">
        <f aca="false">MatchData[auto high goals]*10+MatchData[teleop high goals]*5</f>
        <v>#VALUE!</v>
      </c>
      <c r="BN42" s="5" t="e">
        <f aca="false">MatchData[auto low goals]*5+MatchData[teleop low goals]*2</f>
        <v>#VALUE!</v>
      </c>
      <c r="BO42" s="5" t="e">
        <f aca="false">MatchData[high goal score]+MatchData[low goal score]</f>
        <v>#VALUE!</v>
      </c>
      <c r="BP42" s="5" t="e">
        <f aca="false">MatchData[teleop high goals]+MatchData[teleop low goals]</f>
        <v>#VALUE!</v>
      </c>
      <c r="BQ42" s="5" t="e">
        <f aca="false">MatchData[[#this row],[auto reach flag]]*2+SUM(MatchData[[#this row],[portcullis auto crossings]:[low bar auto crossings]])*10+MatchData[[#this row],[auto low goals]]*5+MatchData[auto high goals]*10</f>
        <v>#VALUE!</v>
      </c>
      <c r="BR42" s="5" t="e">
        <f aca="false">SUM(MatchData[[#this row],[cheval teleop crossing score]:[low bar teleop crossing score]])</f>
        <v>#VALUE!</v>
      </c>
      <c r="BS42" s="5" t="e">
        <f aca="false">SUMIF(MatchData[team],MatchData[[#this row],[team]],MatchData[total auto score])/MatchData[match count]</f>
        <v>#VALUE!</v>
      </c>
      <c r="BT42" s="5" t="e">
        <f aca="false">MatchData[challenge flag]*5</f>
        <v>#VALUE!</v>
      </c>
      <c r="BU42" s="5" t="e">
        <f aca="false">MatchData[climb flag]*15</f>
        <v>#VALUE!</v>
      </c>
      <c r="BV42" s="5" t="e">
        <f aca="false">SUM(MatchData[[#this row],[total goal score]],MatchData[[#this row],[crossing score]],MatchData[[#this row],[challenge score]],MatchData[[#this row],[climb score]],MatchData[[#this row],[total auto score]])</f>
        <v>#VALUE!</v>
      </c>
      <c r="BW42" s="16" t="e">
        <f aca="false">ROUND(SUMIF(MatchData[team],MatchData[[#this row],[team]],MatchData[teleop low goals])/COUNTIF(MatchData[team],MatchData[[#this row],[team]]),2)</f>
        <v>#VALUE!</v>
      </c>
      <c r="BX42" s="16" t="e">
        <f aca="false">ROUND(SUMIF(MatchData[team],MatchData[[#this row],[team]],MatchData[teleop high goals])/COUNTIF(MatchData[team],MatchData[[#this row],[team]]),2)</f>
        <v>#VALUE!</v>
      </c>
      <c r="BY42" s="16" t="e">
        <f aca="false">COUNTIF(MatchData[team],MatchData[[#this row],[team]])</f>
        <v>#VALUE!</v>
      </c>
      <c r="BZ42" s="16" t="e">
        <f aca="false">SUMIF(MatchData[team],MatchData[[#this row],[team]],MatchData[portcullis available])</f>
        <v>#VALUE!</v>
      </c>
      <c r="CA42" s="16" t="e">
        <f aca="false">SUMIF(MatchData[team],MatchData[[#this row],[team]],MatchData[cheval available])</f>
        <v>#VALUE!</v>
      </c>
      <c r="CB42" s="16" t="e">
        <f aca="false">SUMIF(MatchData[team],MatchData[[#this row],[team]],MatchData[moat available])</f>
        <v>#VALUE!</v>
      </c>
      <c r="CC42" s="16" t="e">
        <f aca="false">SUMIF(MatchData[team],MatchData[[#this row],[team]],MatchData[ramparts available])</f>
        <v>#VALUE!</v>
      </c>
      <c r="CD42" s="16" t="e">
        <f aca="false">SUMIF(MatchData[team],MatchData[[#this row],[team]],MatchData[drawbridge available])</f>
        <v>#VALUE!</v>
      </c>
      <c r="CE42" s="16" t="e">
        <f aca="false">SUMIF(MatchData[team],MatchData[[#this row],[team]],MatchData[sally port available])</f>
        <v>#VALUE!</v>
      </c>
      <c r="CF42" s="16" t="e">
        <f aca="false">SUMIF(MatchData[team],MatchData[[#this row],[team]],MatchData[rock wall available])</f>
        <v>#VALUE!</v>
      </c>
      <c r="CG42" s="16" t="e">
        <f aca="false">SUMIF(MatchData[team],MatchData[[#this row],[team]],MatchData[rough terrain available])</f>
        <v>#VALUE!</v>
      </c>
      <c r="CH42" s="16" t="e">
        <f aca="false">SUMIF(MatchData[team],MatchData[[#this row],[team]],MatchData[low bar available])</f>
        <v>#VALUE!</v>
      </c>
      <c r="CI42" s="16" t="e">
        <f aca="false">SUMIF(MatchData[team],MatchData[[#this row],[team]],MatchData[portcullis teleop crossings]:MatchData[portcullis scored crossings])</f>
        <v>#VALUE!</v>
      </c>
      <c r="CJ42" s="16" t="e">
        <f aca="false">SUMIF(MatchData[team],MatchData[[#this row],[team]],MatchData[cheval teleop crossings])+SUMIF(MatchData[team],MatchData[[#this row],[team]],MatchData[cheval scored crossings])</f>
        <v>#VALUE!</v>
      </c>
      <c r="CK42" s="16" t="e">
        <f aca="false">SUMIF(MatchData[team],MatchData[[#this row],[team]],MatchData[moat teleop crossings])+SUMIF(MatchData[team],MatchData[[#this row],[team]],MatchData[moat scored crosings])</f>
        <v>#VALUE!</v>
      </c>
      <c r="CL42" s="16" t="e">
        <f aca="false">SUMIF(MatchData[team],MatchData[[#this row],[team]],MatchData[ramparts teleop crossings])+SUMIF(MatchData[team],MatchData[[#this row],[team]],MatchData[ramparts scored crossings])</f>
        <v>#VALUE!</v>
      </c>
      <c r="CM42" s="16" t="e">
        <f aca="false">SUMIF(MatchData[team],MatchData[[#this row],[team]],MatchData[drawbridge teleop crossings])+SUMIF(MatchData[team],MatchData[[#this row],[team]],MatchData[drawbridge scored crossings])</f>
        <v>#VALUE!</v>
      </c>
      <c r="CN42" s="16" t="e">
        <f aca="false">SUMIF(MatchData[team],MatchData[[#this row],[team]],MatchData[sally port teleop crossings])+SUMIF(MatchData[team],MatchData[[#this row],[team]],MatchData[sally port scored crossings])</f>
        <v>#VALUE!</v>
      </c>
      <c r="CO42" s="16" t="e">
        <f aca="false">SUMIF(MatchData[team],MatchData[[#this row],[team]],MatchData[rock wall teleop crossings])+SUMIF(MatchData[team],MatchData[[#this row],[team]],MatchData[rock wall scored crossings])</f>
        <v>#VALUE!</v>
      </c>
      <c r="CP42" s="16" t="e">
        <f aca="false">SUMIF(MatchData[team],MatchData[[#this row],[team]],MatchData[rough terrain teleop crossings])+SUMIF(MatchData[team],MatchData[[#this row],[team]],MatchData[rough terrain scored crossings])</f>
        <v>#VALUE!</v>
      </c>
      <c r="CQ42" s="16" t="e">
        <f aca="false">SUMIF(MatchData[team],MatchData[[#this row],[team]],MatchData[low bar teleop crossings])+SUMIF(MatchData[team],MatchData[[#this row],[team]],MatchData[low bar scored crossings])</f>
        <v>#VALUE!</v>
      </c>
      <c r="CR42" s="16" t="e">
        <f aca="false">IFERROR(ROUND(MatchData[[#this row],[portcullis sum]]/MatchData[[#this row],[portcullis avail count]],2),0)</f>
        <v>#VALUE!</v>
      </c>
      <c r="CS42" s="5" t="e">
        <f aca="false">IFERROR(ROUND(MatchData[[#this row],[cheval sum]]/MatchData[[#this row],[cheval avail count]],2),0)</f>
        <v>#VALUE!</v>
      </c>
      <c r="CT42" s="5" t="e">
        <f aca="false">IFERROR(ROUND(MatchData[[#this row],[moat sum]]/MatchData[[#this row],[moat avail count]],2),0)</f>
        <v>#VALUE!</v>
      </c>
      <c r="CU42" s="5" t="e">
        <f aca="false">IFERROR(ROUND(MatchData[[#this row],[ramparts sum]]/MatchData[[#this row],[ramparts avail count]],2),0)</f>
        <v>#VALUE!</v>
      </c>
      <c r="CV42" s="5" t="e">
        <f aca="false">IFERROR(ROUND(MatchData[[#this row],[drawbridge sum]]/MatchData[[#this row],[drawbridge avail countigh6]],2),0)</f>
        <v>#VALUE!</v>
      </c>
      <c r="CW42" s="5" t="e">
        <f aca="false">IFERROR(ROUND(MatchData[[#this row],[sally port sum]]/MatchData[[#this row],[sally port avail count]],2),0)</f>
        <v>#VALUE!</v>
      </c>
      <c r="CX42" s="5" t="e">
        <f aca="false">IFERROR(ROUND(MatchData[[#this row],[rock wall sum]]/MatchData[[#this row],[rock wall avail count]],2),0)</f>
        <v>#VALUE!</v>
      </c>
      <c r="CY42" s="5" t="e">
        <f aca="false">IFERROR(ROUND(MatchData[[#this row],[rough terrain sum]]/MatchData[[#this row],[rough terrain avail count]],2),0)</f>
        <v>#VALUE!</v>
      </c>
      <c r="CZ42" s="5" t="e">
        <f aca="false">IFERROR(ROUND(MatchData[[#this row],[low bar sum]]/MatchData[[#this row],[low bar avail count]],2),0)</f>
        <v>#VALUE!</v>
      </c>
      <c r="DA42" s="5" t="e">
        <f aca="false">SUM(MatchData[[#this row],[cheval sum]:[low bar sum]])/MatchData[match count]</f>
        <v>#VALUE!</v>
      </c>
      <c r="DB42" s="16" t="n">
        <f aca="false">MAX(IF(C$2:C$74=C42,BP$2:BP$74))</f>
        <v>-1.79769313486232E+308</v>
      </c>
      <c r="DC42" s="16" t="e">
        <f aca="false">AVERAGEIF(MatchData[team],MatchData[[#this row],[team]],MatchData[total score])</f>
        <v>#VALUE!</v>
      </c>
      <c r="DD42" s="16" t="e">
        <f aca="false">ROUND(AVERAGEIF(MatchData[team],MatchData[team],MatchData[climb or challenge flag]),2)</f>
        <v>#VALUE!</v>
      </c>
    </row>
    <row r="43" customFormat="false" ht="14.5" hidden="false" customHeight="false" outlineLevel="0" collapsed="false">
      <c r="A43" s="17" t="s">
        <v>108</v>
      </c>
      <c r="B43" s="18" t="n">
        <v>7</v>
      </c>
      <c r="C43" s="15" t="n">
        <v>4051</v>
      </c>
      <c r="D43" s="5" t="s">
        <v>113</v>
      </c>
      <c r="E43" s="5" t="s">
        <v>123</v>
      </c>
      <c r="H43" s="5"/>
      <c r="J43" s="5" t="n">
        <v>1</v>
      </c>
      <c r="K43" s="5" t="n">
        <v>1</v>
      </c>
      <c r="L43" s="5"/>
      <c r="M43" s="5"/>
      <c r="N43" s="5" t="n">
        <v>1</v>
      </c>
      <c r="O43" s="5"/>
      <c r="P43" s="5" t="n">
        <v>1</v>
      </c>
      <c r="Q43" s="5" t="n">
        <v>1</v>
      </c>
      <c r="R43" s="0"/>
      <c r="T43" s="0"/>
      <c r="V43" s="0"/>
      <c r="W43" s="0"/>
      <c r="X43" s="0"/>
      <c r="AZ43" s="5" t="n">
        <v>1</v>
      </c>
      <c r="BC43" s="5" t="e">
        <f aca="false">MatchData[cheval scored crossings]*5</f>
        <v>#VALUE!</v>
      </c>
      <c r="BD43" s="5" t="e">
        <f aca="false">MatchData[moat scored crosings]*5</f>
        <v>#VALUE!</v>
      </c>
      <c r="BE43" s="5" t="e">
        <f aca="false">MatchData[ramparts scored crossings]*5</f>
        <v>#VALUE!</v>
      </c>
      <c r="BF43" s="5" t="e">
        <f aca="false">MatchData[drawbridge scored crossings]*5</f>
        <v>#VALUE!</v>
      </c>
      <c r="BG43" s="5" t="e">
        <f aca="false">MatchData[sally port scored crossings]*5</f>
        <v>#VALUE!</v>
      </c>
      <c r="BH43" s="5" t="e">
        <f aca="false">MatchData[rock wall scored crossings]*5</f>
        <v>#VALUE!</v>
      </c>
      <c r="BI43" s="5" t="e">
        <f aca="false">MatchData[rough terrain scored crossings]*5</f>
        <v>#VALUE!</v>
      </c>
      <c r="BJ43" s="5" t="e">
        <f aca="false">MatchData[low bar scored crossings]*5</f>
        <v>#VALUE!</v>
      </c>
      <c r="BK43" s="5" t="e">
        <f aca="false">SUM(MatchData[[#this row],[low bar teleop crossings]:[rough terrain scored crossings]])</f>
        <v>#VALUE!</v>
      </c>
      <c r="BL43" s="5" t="e">
        <f aca="false">IFERROR(IF(OR(MatchData[[#this row],[challenge flag]],MatchData[[#this row],[climb flag]]),1,0),0)</f>
        <v>#VALUE!</v>
      </c>
      <c r="BM43" s="5" t="e">
        <f aca="false">MatchData[auto high goals]*10+MatchData[teleop high goals]*5</f>
        <v>#VALUE!</v>
      </c>
      <c r="BN43" s="5" t="e">
        <f aca="false">MatchData[auto low goals]*5+MatchData[teleop low goals]*2</f>
        <v>#VALUE!</v>
      </c>
      <c r="BO43" s="5" t="e">
        <f aca="false">MatchData[high goal score]+MatchData[low goal score]</f>
        <v>#VALUE!</v>
      </c>
      <c r="BP43" s="5" t="e">
        <f aca="false">MatchData[teleop high goals]+MatchData[teleop low goals]</f>
        <v>#VALUE!</v>
      </c>
      <c r="BQ43" s="5" t="e">
        <f aca="false">MatchData[[#this row],[auto reach flag]]*2+SUM(MatchData[[#this row],[portcullis auto crossings]:[low bar auto crossings]])*10+MatchData[[#this row],[auto low goals]]*5+MatchData[auto high goals]*10</f>
        <v>#VALUE!</v>
      </c>
      <c r="BR43" s="5" t="e">
        <f aca="false">SUM(MatchData[[#this row],[cheval teleop crossing score]:[low bar teleop crossing score]])</f>
        <v>#VALUE!</v>
      </c>
      <c r="BS43" s="5" t="e">
        <f aca="false">SUMIF(MatchData[team],MatchData[[#this row],[team]],MatchData[total auto score])/MatchData[match count]</f>
        <v>#VALUE!</v>
      </c>
      <c r="BT43" s="5" t="e">
        <f aca="false">MatchData[challenge flag]*5</f>
        <v>#VALUE!</v>
      </c>
      <c r="BU43" s="5" t="e">
        <f aca="false">MatchData[climb flag]*15</f>
        <v>#VALUE!</v>
      </c>
      <c r="BV43" s="5" t="e">
        <f aca="false">SUM(MatchData[[#this row],[total goal score]],MatchData[[#this row],[crossing score]],MatchData[[#this row],[challenge score]],MatchData[[#this row],[climb score]],MatchData[[#this row],[total auto score]])</f>
        <v>#VALUE!</v>
      </c>
      <c r="BW43" s="16" t="e">
        <f aca="false">ROUND(SUMIF(MatchData[team],MatchData[[#this row],[team]],MatchData[teleop low goals])/COUNTIF(MatchData[team],MatchData[[#this row],[team]]),2)</f>
        <v>#VALUE!</v>
      </c>
      <c r="BX43" s="16" t="e">
        <f aca="false">ROUND(SUMIF(MatchData[team],MatchData[[#this row],[team]],MatchData[teleop high goals])/COUNTIF(MatchData[team],MatchData[[#this row],[team]]),2)</f>
        <v>#VALUE!</v>
      </c>
      <c r="BY43" s="16" t="e">
        <f aca="false">COUNTIF(MatchData[team],MatchData[[#this row],[team]])</f>
        <v>#VALUE!</v>
      </c>
      <c r="BZ43" s="16" t="e">
        <f aca="false">SUMIF(MatchData[team],MatchData[[#this row],[team]],MatchData[portcullis available])</f>
        <v>#VALUE!</v>
      </c>
      <c r="CA43" s="16" t="e">
        <f aca="false">SUMIF(MatchData[team],MatchData[[#this row],[team]],MatchData[cheval available])</f>
        <v>#VALUE!</v>
      </c>
      <c r="CB43" s="16" t="e">
        <f aca="false">SUMIF(MatchData[team],MatchData[[#this row],[team]],MatchData[moat available])</f>
        <v>#VALUE!</v>
      </c>
      <c r="CC43" s="16" t="e">
        <f aca="false">SUMIF(MatchData[team],MatchData[[#this row],[team]],MatchData[ramparts available])</f>
        <v>#VALUE!</v>
      </c>
      <c r="CD43" s="16" t="e">
        <f aca="false">SUMIF(MatchData[team],MatchData[[#this row],[team]],MatchData[drawbridge available])</f>
        <v>#VALUE!</v>
      </c>
      <c r="CE43" s="16" t="e">
        <f aca="false">SUMIF(MatchData[team],MatchData[[#this row],[team]],MatchData[sally port available])</f>
        <v>#VALUE!</v>
      </c>
      <c r="CF43" s="16" t="e">
        <f aca="false">SUMIF(MatchData[team],MatchData[[#this row],[team]],MatchData[rock wall available])</f>
        <v>#VALUE!</v>
      </c>
      <c r="CG43" s="16" t="e">
        <f aca="false">SUMIF(MatchData[team],MatchData[[#this row],[team]],MatchData[rough terrain available])</f>
        <v>#VALUE!</v>
      </c>
      <c r="CH43" s="16" t="e">
        <f aca="false">SUMIF(MatchData[team],MatchData[[#this row],[team]],MatchData[low bar available])</f>
        <v>#VALUE!</v>
      </c>
      <c r="CI43" s="16" t="e">
        <f aca="false">SUMIF(MatchData[team],MatchData[[#this row],[team]],MatchData[portcullis teleop crossings]:MatchData[portcullis scored crossings])</f>
        <v>#VALUE!</v>
      </c>
      <c r="CJ43" s="16" t="e">
        <f aca="false">SUMIF(MatchData[team],MatchData[[#this row],[team]],MatchData[cheval teleop crossings])+SUMIF(MatchData[team],MatchData[[#this row],[team]],MatchData[cheval scored crossings])</f>
        <v>#VALUE!</v>
      </c>
      <c r="CK43" s="16" t="e">
        <f aca="false">SUMIF(MatchData[team],MatchData[[#this row],[team]],MatchData[moat teleop crossings])+SUMIF(MatchData[team],MatchData[[#this row],[team]],MatchData[moat scored crosings])</f>
        <v>#VALUE!</v>
      </c>
      <c r="CL43" s="16" t="e">
        <f aca="false">SUMIF(MatchData[team],MatchData[[#this row],[team]],MatchData[ramparts teleop crossings])+SUMIF(MatchData[team],MatchData[[#this row],[team]],MatchData[ramparts scored crossings])</f>
        <v>#VALUE!</v>
      </c>
      <c r="CM43" s="16" t="e">
        <f aca="false">SUMIF(MatchData[team],MatchData[[#this row],[team]],MatchData[drawbridge teleop crossings])+SUMIF(MatchData[team],MatchData[[#this row],[team]],MatchData[drawbridge scored crossings])</f>
        <v>#VALUE!</v>
      </c>
      <c r="CN43" s="16" t="e">
        <f aca="false">SUMIF(MatchData[team],MatchData[[#this row],[team]],MatchData[sally port teleop crossings])+SUMIF(MatchData[team],MatchData[[#this row],[team]],MatchData[sally port scored crossings])</f>
        <v>#VALUE!</v>
      </c>
      <c r="CO43" s="16" t="e">
        <f aca="false">SUMIF(MatchData[team],MatchData[[#this row],[team]],MatchData[rock wall teleop crossings])+SUMIF(MatchData[team],MatchData[[#this row],[team]],MatchData[rock wall scored crossings])</f>
        <v>#VALUE!</v>
      </c>
      <c r="CP43" s="16" t="e">
        <f aca="false">SUMIF(MatchData[team],MatchData[[#this row],[team]],MatchData[rough terrain teleop crossings])+SUMIF(MatchData[team],MatchData[[#this row],[team]],MatchData[rough terrain scored crossings])</f>
        <v>#VALUE!</v>
      </c>
      <c r="CQ43" s="16" t="e">
        <f aca="false">SUMIF(MatchData[team],MatchData[[#this row],[team]],MatchData[low bar teleop crossings])+SUMIF(MatchData[team],MatchData[[#this row],[team]],MatchData[low bar scored crossings])</f>
        <v>#VALUE!</v>
      </c>
      <c r="CR43" s="16" t="e">
        <f aca="false">IFERROR(ROUND(MatchData[[#this row],[portcullis sum]]/MatchData[[#this row],[portcullis avail count]],2),0)</f>
        <v>#VALUE!</v>
      </c>
      <c r="CS43" s="5" t="e">
        <f aca="false">IFERROR(ROUND(MatchData[[#this row],[cheval sum]]/MatchData[[#this row],[cheval avail count]],2),0)</f>
        <v>#VALUE!</v>
      </c>
      <c r="CT43" s="5" t="e">
        <f aca="false">IFERROR(ROUND(MatchData[[#this row],[moat sum]]/MatchData[[#this row],[moat avail count]],2),0)</f>
        <v>#VALUE!</v>
      </c>
      <c r="CU43" s="5" t="e">
        <f aca="false">IFERROR(ROUND(MatchData[[#this row],[ramparts sum]]/MatchData[[#this row],[ramparts avail count]],2),0)</f>
        <v>#VALUE!</v>
      </c>
      <c r="CV43" s="5" t="e">
        <f aca="false">IFERROR(ROUND(MatchData[[#this row],[drawbridge sum]]/MatchData[[#this row],[drawbridge avail countigh6]],2),0)</f>
        <v>#VALUE!</v>
      </c>
      <c r="CW43" s="5" t="e">
        <f aca="false">IFERROR(ROUND(MatchData[[#this row],[sally port sum]]/MatchData[[#this row],[sally port avail count]],2),0)</f>
        <v>#VALUE!</v>
      </c>
      <c r="CX43" s="5" t="e">
        <f aca="false">IFERROR(ROUND(MatchData[[#this row],[rock wall sum]]/MatchData[[#this row],[rock wall avail count]],2),0)</f>
        <v>#VALUE!</v>
      </c>
      <c r="CY43" s="5" t="e">
        <f aca="false">IFERROR(ROUND(MatchData[[#this row],[rough terrain sum]]/MatchData[[#this row],[rough terrain avail count]],2),0)</f>
        <v>#VALUE!</v>
      </c>
      <c r="CZ43" s="5" t="e">
        <f aca="false">IFERROR(ROUND(MatchData[[#this row],[low bar sum]]/MatchData[[#this row],[low bar avail count]],2),0)</f>
        <v>#VALUE!</v>
      </c>
      <c r="DA43" s="5" t="e">
        <f aca="false">SUM(MatchData[[#this row],[cheval sum]:[low bar sum]])/MatchData[match count]</f>
        <v>#VALUE!</v>
      </c>
      <c r="DB43" s="16" t="n">
        <f aca="false">MAX(IF(C$2:C$74=C43,BP$2:BP$74))</f>
        <v>-1.79769313486232E+308</v>
      </c>
      <c r="DC43" s="16" t="e">
        <f aca="false">AVERAGEIF(MatchData[team],MatchData[[#this row],[team]],MatchData[total score])</f>
        <v>#VALUE!</v>
      </c>
      <c r="DD43" s="16" t="e">
        <f aca="false">ROUND(AVERAGEIF(MatchData[team],MatchData[team],MatchData[climb or challenge flag]),2)</f>
        <v>#VALUE!</v>
      </c>
    </row>
    <row r="44" customFormat="false" ht="14.5" hidden="false" customHeight="false" outlineLevel="0" collapsed="false">
      <c r="A44" s="13" t="s">
        <v>108</v>
      </c>
      <c r="B44" s="14" t="n">
        <v>8</v>
      </c>
      <c r="C44" s="15" t="n">
        <v>997</v>
      </c>
      <c r="D44" s="5" t="s">
        <v>109</v>
      </c>
      <c r="E44" s="5" t="s">
        <v>129</v>
      </c>
      <c r="H44" s="5"/>
      <c r="I44" s="5" t="n">
        <v>2</v>
      </c>
      <c r="J44" s="5" t="n">
        <v>1</v>
      </c>
      <c r="K44" s="5" t="n">
        <v>1</v>
      </c>
      <c r="L44" s="5"/>
      <c r="M44" s="5"/>
      <c r="N44" s="5" t="n">
        <v>1</v>
      </c>
      <c r="O44" s="5"/>
      <c r="P44" s="5" t="n">
        <v>1</v>
      </c>
      <c r="Q44" s="5" t="n">
        <v>1</v>
      </c>
      <c r="R44" s="0"/>
      <c r="T44" s="0"/>
      <c r="V44" s="0"/>
      <c r="W44" s="0"/>
      <c r="X44" s="0"/>
      <c r="AF44" s="5" t="n">
        <v>1</v>
      </c>
      <c r="AQ44" s="5" t="n">
        <v>1</v>
      </c>
      <c r="AR44" s="5" t="n">
        <v>2</v>
      </c>
      <c r="AW44" s="5" t="n">
        <v>1</v>
      </c>
      <c r="BC44" s="5" t="e">
        <f aca="false">MatchData[cheval scored crossings]*5</f>
        <v>#VALUE!</v>
      </c>
      <c r="BD44" s="5" t="e">
        <f aca="false">MatchData[moat scored crosings]*5</f>
        <v>#VALUE!</v>
      </c>
      <c r="BE44" s="5" t="e">
        <f aca="false">MatchData[ramparts scored crossings]*5</f>
        <v>#VALUE!</v>
      </c>
      <c r="BF44" s="5" t="e">
        <f aca="false">MatchData[drawbridge scored crossings]*5</f>
        <v>#VALUE!</v>
      </c>
      <c r="BG44" s="5" t="e">
        <f aca="false">MatchData[sally port scored crossings]*5</f>
        <v>#VALUE!</v>
      </c>
      <c r="BH44" s="5" t="e">
        <f aca="false">MatchData[rock wall scored crossings]*5</f>
        <v>#VALUE!</v>
      </c>
      <c r="BI44" s="5" t="e">
        <f aca="false">MatchData[rough terrain scored crossings]*5</f>
        <v>#VALUE!</v>
      </c>
      <c r="BJ44" s="5" t="e">
        <f aca="false">MatchData[low bar scored crossings]*5</f>
        <v>#VALUE!</v>
      </c>
      <c r="BK44" s="5" t="e">
        <f aca="false">SUM(MatchData[[#this row],[low bar teleop crossings]:[rough terrain scored crossings]])</f>
        <v>#VALUE!</v>
      </c>
      <c r="BL44" s="5" t="e">
        <f aca="false">IFERROR(IF(OR(MatchData[[#this row],[challenge flag]],MatchData[[#this row],[climb flag]]),1,0),0)</f>
        <v>#VALUE!</v>
      </c>
      <c r="BM44" s="5" t="e">
        <f aca="false">MatchData[auto high goals]*10+MatchData[teleop high goals]*5</f>
        <v>#VALUE!</v>
      </c>
      <c r="BN44" s="5" t="e">
        <f aca="false">MatchData[auto low goals]*5+MatchData[teleop low goals]*2</f>
        <v>#VALUE!</v>
      </c>
      <c r="BO44" s="5" t="e">
        <f aca="false">MatchData[high goal score]+MatchData[low goal score]</f>
        <v>#VALUE!</v>
      </c>
      <c r="BP44" s="5" t="e">
        <f aca="false">MatchData[teleop high goals]+MatchData[teleop low goals]</f>
        <v>#VALUE!</v>
      </c>
      <c r="BQ44" s="5" t="e">
        <f aca="false">MatchData[[#this row],[auto reach flag]]*2+SUM(MatchData[[#this row],[portcullis auto crossings]:[low bar auto crossings]])*10+MatchData[[#this row],[auto low goals]]*5+MatchData[auto high goals]*10</f>
        <v>#VALUE!</v>
      </c>
      <c r="BR44" s="5" t="e">
        <f aca="false">SUM(MatchData[[#this row],[cheval teleop crossing score]:[low bar teleop crossing score]])</f>
        <v>#VALUE!</v>
      </c>
      <c r="BS44" s="5" t="e">
        <f aca="false">SUMIF(MatchData[team],MatchData[[#this row],[team]],MatchData[total auto score])/MatchData[match count]</f>
        <v>#VALUE!</v>
      </c>
      <c r="BT44" s="5" t="e">
        <f aca="false">MatchData[challenge flag]*5</f>
        <v>#VALUE!</v>
      </c>
      <c r="BU44" s="5" t="e">
        <f aca="false">MatchData[climb flag]*15</f>
        <v>#VALUE!</v>
      </c>
      <c r="BV44" s="5" t="e">
        <f aca="false">SUM(MatchData[[#this row],[total goal score]],MatchData[[#this row],[crossing score]],MatchData[[#this row],[challenge score]],MatchData[[#this row],[climb score]],MatchData[[#this row],[total auto score]])</f>
        <v>#VALUE!</v>
      </c>
      <c r="BW44" s="16" t="e">
        <f aca="false">ROUND(SUMIF(MatchData[team],MatchData[[#this row],[team]],MatchData[teleop low goals])/COUNTIF(MatchData[team],MatchData[[#this row],[team]]),2)</f>
        <v>#VALUE!</v>
      </c>
      <c r="BX44" s="16" t="e">
        <f aca="false">ROUND(SUMIF(MatchData[team],MatchData[[#this row],[team]],MatchData[teleop high goals])/COUNTIF(MatchData[team],MatchData[[#this row],[team]]),2)</f>
        <v>#VALUE!</v>
      </c>
      <c r="BY44" s="16" t="e">
        <f aca="false">COUNTIF(MatchData[team],MatchData[[#this row],[team]])</f>
        <v>#VALUE!</v>
      </c>
      <c r="BZ44" s="16" t="e">
        <f aca="false">SUMIF(MatchData[team],MatchData[[#this row],[team]],MatchData[portcullis available])</f>
        <v>#VALUE!</v>
      </c>
      <c r="CA44" s="16" t="e">
        <f aca="false">SUMIF(MatchData[team],MatchData[[#this row],[team]],MatchData[cheval available])</f>
        <v>#VALUE!</v>
      </c>
      <c r="CB44" s="16" t="e">
        <f aca="false">SUMIF(MatchData[team],MatchData[[#this row],[team]],MatchData[moat available])</f>
        <v>#VALUE!</v>
      </c>
      <c r="CC44" s="16" t="e">
        <f aca="false">SUMIF(MatchData[team],MatchData[[#this row],[team]],MatchData[ramparts available])</f>
        <v>#VALUE!</v>
      </c>
      <c r="CD44" s="16" t="e">
        <f aca="false">SUMIF(MatchData[team],MatchData[[#this row],[team]],MatchData[drawbridge available])</f>
        <v>#VALUE!</v>
      </c>
      <c r="CE44" s="16" t="e">
        <f aca="false">SUMIF(MatchData[team],MatchData[[#this row],[team]],MatchData[sally port available])</f>
        <v>#VALUE!</v>
      </c>
      <c r="CF44" s="16" t="e">
        <f aca="false">SUMIF(MatchData[team],MatchData[[#this row],[team]],MatchData[rock wall available])</f>
        <v>#VALUE!</v>
      </c>
      <c r="CG44" s="16" t="e">
        <f aca="false">SUMIF(MatchData[team],MatchData[[#this row],[team]],MatchData[rough terrain available])</f>
        <v>#VALUE!</v>
      </c>
      <c r="CH44" s="16" t="e">
        <f aca="false">SUMIF(MatchData[team],MatchData[[#this row],[team]],MatchData[low bar available])</f>
        <v>#VALUE!</v>
      </c>
      <c r="CI44" s="16" t="e">
        <f aca="false">SUMIF(MatchData[team],MatchData[[#this row],[team]],MatchData[portcullis teleop crossings]:MatchData[portcullis scored crossings])</f>
        <v>#VALUE!</v>
      </c>
      <c r="CJ44" s="16" t="e">
        <f aca="false">SUMIF(MatchData[team],MatchData[[#this row],[team]],MatchData[cheval teleop crossings])+SUMIF(MatchData[team],MatchData[[#this row],[team]],MatchData[cheval scored crossings])</f>
        <v>#VALUE!</v>
      </c>
      <c r="CK44" s="16" t="e">
        <f aca="false">SUMIF(MatchData[team],MatchData[[#this row],[team]],MatchData[moat teleop crossings])+SUMIF(MatchData[team],MatchData[[#this row],[team]],MatchData[moat scored crosings])</f>
        <v>#VALUE!</v>
      </c>
      <c r="CL44" s="16" t="e">
        <f aca="false">SUMIF(MatchData[team],MatchData[[#this row],[team]],MatchData[ramparts teleop crossings])+SUMIF(MatchData[team],MatchData[[#this row],[team]],MatchData[ramparts scored crossings])</f>
        <v>#VALUE!</v>
      </c>
      <c r="CM44" s="16" t="e">
        <f aca="false">SUMIF(MatchData[team],MatchData[[#this row],[team]],MatchData[drawbridge teleop crossings])+SUMIF(MatchData[team],MatchData[[#this row],[team]],MatchData[drawbridge scored crossings])</f>
        <v>#VALUE!</v>
      </c>
      <c r="CN44" s="16" t="e">
        <f aca="false">SUMIF(MatchData[team],MatchData[[#this row],[team]],MatchData[sally port teleop crossings])+SUMIF(MatchData[team],MatchData[[#this row],[team]],MatchData[sally port scored crossings])</f>
        <v>#VALUE!</v>
      </c>
      <c r="CO44" s="16" t="e">
        <f aca="false">SUMIF(MatchData[team],MatchData[[#this row],[team]],MatchData[rock wall teleop crossings])+SUMIF(MatchData[team],MatchData[[#this row],[team]],MatchData[rock wall scored crossings])</f>
        <v>#VALUE!</v>
      </c>
      <c r="CP44" s="16" t="e">
        <f aca="false">SUMIF(MatchData[team],MatchData[[#this row],[team]],MatchData[rough terrain teleop crossings])+SUMIF(MatchData[team],MatchData[[#this row],[team]],MatchData[rough terrain scored crossings])</f>
        <v>#VALUE!</v>
      </c>
      <c r="CQ44" s="16" t="e">
        <f aca="false">SUMIF(MatchData[team],MatchData[[#this row],[team]],MatchData[low bar teleop crossings])+SUMIF(MatchData[team],MatchData[[#this row],[team]],MatchData[low bar scored crossings])</f>
        <v>#VALUE!</v>
      </c>
      <c r="CR44" s="16" t="e">
        <f aca="false">IFERROR(ROUND(MatchData[[#this row],[portcullis sum]]/MatchData[[#this row],[portcullis avail count]],2),0)</f>
        <v>#VALUE!</v>
      </c>
      <c r="CS44" s="5" t="e">
        <f aca="false">IFERROR(ROUND(MatchData[[#this row],[cheval sum]]/MatchData[[#this row],[cheval avail count]],2),0)</f>
        <v>#VALUE!</v>
      </c>
      <c r="CT44" s="5" t="e">
        <f aca="false">IFERROR(ROUND(MatchData[[#this row],[moat sum]]/MatchData[[#this row],[moat avail count]],2),0)</f>
        <v>#VALUE!</v>
      </c>
      <c r="CU44" s="5" t="e">
        <f aca="false">IFERROR(ROUND(MatchData[[#this row],[ramparts sum]]/MatchData[[#this row],[ramparts avail count]],2),0)</f>
        <v>#VALUE!</v>
      </c>
      <c r="CV44" s="5" t="e">
        <f aca="false">IFERROR(ROUND(MatchData[[#this row],[drawbridge sum]]/MatchData[[#this row],[drawbridge avail countigh6]],2),0)</f>
        <v>#VALUE!</v>
      </c>
      <c r="CW44" s="5" t="e">
        <f aca="false">IFERROR(ROUND(MatchData[[#this row],[sally port sum]]/MatchData[[#this row],[sally port avail count]],2),0)</f>
        <v>#VALUE!</v>
      </c>
      <c r="CX44" s="5" t="e">
        <f aca="false">IFERROR(ROUND(MatchData[[#this row],[rock wall sum]]/MatchData[[#this row],[rock wall avail count]],2),0)</f>
        <v>#VALUE!</v>
      </c>
      <c r="CY44" s="5" t="e">
        <f aca="false">IFERROR(ROUND(MatchData[[#this row],[rough terrain sum]]/MatchData[[#this row],[rough terrain avail count]],2),0)</f>
        <v>#VALUE!</v>
      </c>
      <c r="CZ44" s="5" t="e">
        <f aca="false">IFERROR(ROUND(MatchData[[#this row],[low bar sum]]/MatchData[[#this row],[low bar avail count]],2),0)</f>
        <v>#VALUE!</v>
      </c>
      <c r="DA44" s="5" t="e">
        <f aca="false">SUM(MatchData[[#this row],[cheval sum]:[low bar sum]])/MatchData[match count]</f>
        <v>#VALUE!</v>
      </c>
      <c r="DB44" s="16" t="n">
        <f aca="false">MAX(IF(C$2:C$74=C44,BP$2:BP$74))</f>
        <v>-1.79769313486232E+308</v>
      </c>
      <c r="DC44" s="16" t="e">
        <f aca="false">AVERAGEIF(MatchData[team],MatchData[[#this row],[team]],MatchData[total score])</f>
        <v>#VALUE!</v>
      </c>
      <c r="DD44" s="16" t="e">
        <f aca="false">ROUND(AVERAGEIF(MatchData[team],MatchData[team],MatchData[climb or challenge flag]),2)</f>
        <v>#VALUE!</v>
      </c>
    </row>
    <row r="45" customFormat="false" ht="14.5" hidden="false" customHeight="false" outlineLevel="0" collapsed="false">
      <c r="A45" s="17" t="s">
        <v>108</v>
      </c>
      <c r="B45" s="18" t="n">
        <v>8</v>
      </c>
      <c r="C45" s="15" t="n">
        <v>4110</v>
      </c>
      <c r="D45" s="5" t="s">
        <v>109</v>
      </c>
      <c r="E45" s="5" t="s">
        <v>123</v>
      </c>
      <c r="H45" s="5"/>
      <c r="J45" s="5" t="n">
        <v>1</v>
      </c>
      <c r="K45" s="5" t="n">
        <v>1</v>
      </c>
      <c r="L45" s="5"/>
      <c r="M45" s="5"/>
      <c r="N45" s="5" t="n">
        <v>1</v>
      </c>
      <c r="O45" s="5"/>
      <c r="P45" s="5" t="n">
        <v>1</v>
      </c>
      <c r="Q45" s="5" t="n">
        <v>1</v>
      </c>
      <c r="R45" s="0"/>
      <c r="T45" s="0"/>
      <c r="V45" s="0"/>
      <c r="W45" s="0"/>
      <c r="X45" s="0"/>
      <c r="AC45" s="5" t="n">
        <v>1</v>
      </c>
      <c r="AD45" s="5" t="n">
        <v>1</v>
      </c>
      <c r="AL45" s="5" t="n">
        <v>2</v>
      </c>
      <c r="AW45" s="5" t="n">
        <v>1</v>
      </c>
      <c r="BB45" s="5" t="n">
        <v>1</v>
      </c>
      <c r="BC45" s="5" t="e">
        <f aca="false">MatchData[cheval scored crossings]*5</f>
        <v>#VALUE!</v>
      </c>
      <c r="BD45" s="5" t="e">
        <f aca="false">MatchData[moat scored crosings]*5</f>
        <v>#VALUE!</v>
      </c>
      <c r="BE45" s="5" t="e">
        <f aca="false">MatchData[ramparts scored crossings]*5</f>
        <v>#VALUE!</v>
      </c>
      <c r="BF45" s="5" t="e">
        <f aca="false">MatchData[drawbridge scored crossings]*5</f>
        <v>#VALUE!</v>
      </c>
      <c r="BG45" s="5" t="e">
        <f aca="false">MatchData[sally port scored crossings]*5</f>
        <v>#VALUE!</v>
      </c>
      <c r="BH45" s="5" t="e">
        <f aca="false">MatchData[rock wall scored crossings]*5</f>
        <v>#VALUE!</v>
      </c>
      <c r="BI45" s="5" t="e">
        <f aca="false">MatchData[rough terrain scored crossings]*5</f>
        <v>#VALUE!</v>
      </c>
      <c r="BJ45" s="5" t="e">
        <f aca="false">MatchData[low bar scored crossings]*5</f>
        <v>#VALUE!</v>
      </c>
      <c r="BK45" s="5" t="e">
        <f aca="false">SUM(MatchData[[#this row],[low bar teleop crossings]:[rough terrain scored crossings]])</f>
        <v>#VALUE!</v>
      </c>
      <c r="BL45" s="5" t="e">
        <f aca="false">IFERROR(IF(OR(MatchData[[#this row],[challenge flag]],MatchData[[#this row],[climb flag]]),1,0),0)</f>
        <v>#VALUE!</v>
      </c>
      <c r="BM45" s="5" t="e">
        <f aca="false">MatchData[auto high goals]*10+MatchData[teleop high goals]*5</f>
        <v>#VALUE!</v>
      </c>
      <c r="BN45" s="5" t="e">
        <f aca="false">MatchData[auto low goals]*5+MatchData[teleop low goals]*2</f>
        <v>#VALUE!</v>
      </c>
      <c r="BO45" s="5" t="e">
        <f aca="false">MatchData[high goal score]+MatchData[low goal score]</f>
        <v>#VALUE!</v>
      </c>
      <c r="BP45" s="5" t="e">
        <f aca="false">MatchData[teleop high goals]+MatchData[teleop low goals]</f>
        <v>#VALUE!</v>
      </c>
      <c r="BQ45" s="5" t="e">
        <f aca="false">MatchData[[#this row],[auto reach flag]]*2+SUM(MatchData[[#this row],[portcullis auto crossings]:[low bar auto crossings]])*10+MatchData[[#this row],[auto low goals]]*5+MatchData[auto high goals]*10</f>
        <v>#VALUE!</v>
      </c>
      <c r="BR45" s="5" t="e">
        <f aca="false">SUM(MatchData[[#this row],[cheval teleop crossing score]:[low bar teleop crossing score]])</f>
        <v>#VALUE!</v>
      </c>
      <c r="BS45" s="5" t="e">
        <f aca="false">SUMIF(MatchData[team],MatchData[[#this row],[team]],MatchData[total auto score])/MatchData[match count]</f>
        <v>#VALUE!</v>
      </c>
      <c r="BT45" s="5" t="e">
        <f aca="false">MatchData[challenge flag]*5</f>
        <v>#VALUE!</v>
      </c>
      <c r="BU45" s="5" t="e">
        <f aca="false">MatchData[climb flag]*15</f>
        <v>#VALUE!</v>
      </c>
      <c r="BV45" s="5" t="e">
        <f aca="false">SUM(MatchData[[#this row],[total goal score]],MatchData[[#this row],[crossing score]],MatchData[[#this row],[challenge score]],MatchData[[#this row],[climb score]],MatchData[[#this row],[total auto score]])</f>
        <v>#VALUE!</v>
      </c>
      <c r="BW45" s="16" t="e">
        <f aca="false">ROUND(SUMIF(MatchData[team],MatchData[[#this row],[team]],MatchData[teleop low goals])/COUNTIF(MatchData[team],MatchData[[#this row],[team]]),2)</f>
        <v>#VALUE!</v>
      </c>
      <c r="BX45" s="16" t="e">
        <f aca="false">ROUND(SUMIF(MatchData[team],MatchData[[#this row],[team]],MatchData[teleop high goals])/COUNTIF(MatchData[team],MatchData[[#this row],[team]]),2)</f>
        <v>#VALUE!</v>
      </c>
      <c r="BY45" s="16" t="e">
        <f aca="false">COUNTIF(MatchData[team],MatchData[[#this row],[team]])</f>
        <v>#VALUE!</v>
      </c>
      <c r="BZ45" s="16" t="e">
        <f aca="false">SUMIF(MatchData[team],MatchData[[#this row],[team]],MatchData[portcullis available])</f>
        <v>#VALUE!</v>
      </c>
      <c r="CA45" s="16" t="e">
        <f aca="false">SUMIF(MatchData[team],MatchData[[#this row],[team]],MatchData[cheval available])</f>
        <v>#VALUE!</v>
      </c>
      <c r="CB45" s="16" t="e">
        <f aca="false">SUMIF(MatchData[team],MatchData[[#this row],[team]],MatchData[moat available])</f>
        <v>#VALUE!</v>
      </c>
      <c r="CC45" s="16" t="e">
        <f aca="false">SUMIF(MatchData[team],MatchData[[#this row],[team]],MatchData[ramparts available])</f>
        <v>#VALUE!</v>
      </c>
      <c r="CD45" s="16" t="e">
        <f aca="false">SUMIF(MatchData[team],MatchData[[#this row],[team]],MatchData[drawbridge available])</f>
        <v>#VALUE!</v>
      </c>
      <c r="CE45" s="16" t="e">
        <f aca="false">SUMIF(MatchData[team],MatchData[[#this row],[team]],MatchData[sally port available])</f>
        <v>#VALUE!</v>
      </c>
      <c r="CF45" s="16" t="e">
        <f aca="false">SUMIF(MatchData[team],MatchData[[#this row],[team]],MatchData[rock wall available])</f>
        <v>#VALUE!</v>
      </c>
      <c r="CG45" s="16" t="e">
        <f aca="false">SUMIF(MatchData[team],MatchData[[#this row],[team]],MatchData[rough terrain available])</f>
        <v>#VALUE!</v>
      </c>
      <c r="CH45" s="16" t="e">
        <f aca="false">SUMIF(MatchData[team],MatchData[[#this row],[team]],MatchData[low bar available])</f>
        <v>#VALUE!</v>
      </c>
      <c r="CI45" s="16" t="e">
        <f aca="false">SUMIF(MatchData[team],MatchData[[#this row],[team]],MatchData[portcullis teleop crossings]:MatchData[portcullis scored crossings])</f>
        <v>#VALUE!</v>
      </c>
      <c r="CJ45" s="16" t="e">
        <f aca="false">SUMIF(MatchData[team],MatchData[[#this row],[team]],MatchData[cheval teleop crossings])+SUMIF(MatchData[team],MatchData[[#this row],[team]],MatchData[cheval scored crossings])</f>
        <v>#VALUE!</v>
      </c>
      <c r="CK45" s="16" t="e">
        <f aca="false">SUMIF(MatchData[team],MatchData[[#this row],[team]],MatchData[moat teleop crossings])+SUMIF(MatchData[team],MatchData[[#this row],[team]],MatchData[moat scored crosings])</f>
        <v>#VALUE!</v>
      </c>
      <c r="CL45" s="16" t="e">
        <f aca="false">SUMIF(MatchData[team],MatchData[[#this row],[team]],MatchData[ramparts teleop crossings])+SUMIF(MatchData[team],MatchData[[#this row],[team]],MatchData[ramparts scored crossings])</f>
        <v>#VALUE!</v>
      </c>
      <c r="CM45" s="16" t="e">
        <f aca="false">SUMIF(MatchData[team],MatchData[[#this row],[team]],MatchData[drawbridge teleop crossings])+SUMIF(MatchData[team],MatchData[[#this row],[team]],MatchData[drawbridge scored crossings])</f>
        <v>#VALUE!</v>
      </c>
      <c r="CN45" s="16" t="e">
        <f aca="false">SUMIF(MatchData[team],MatchData[[#this row],[team]],MatchData[sally port teleop crossings])+SUMIF(MatchData[team],MatchData[[#this row],[team]],MatchData[sally port scored crossings])</f>
        <v>#VALUE!</v>
      </c>
      <c r="CO45" s="16" t="e">
        <f aca="false">SUMIF(MatchData[team],MatchData[[#this row],[team]],MatchData[rock wall teleop crossings])+SUMIF(MatchData[team],MatchData[[#this row],[team]],MatchData[rock wall scored crossings])</f>
        <v>#VALUE!</v>
      </c>
      <c r="CP45" s="16" t="e">
        <f aca="false">SUMIF(MatchData[team],MatchData[[#this row],[team]],MatchData[rough terrain teleop crossings])+SUMIF(MatchData[team],MatchData[[#this row],[team]],MatchData[rough terrain scored crossings])</f>
        <v>#VALUE!</v>
      </c>
      <c r="CQ45" s="16" t="e">
        <f aca="false">SUMIF(MatchData[team],MatchData[[#this row],[team]],MatchData[low bar teleop crossings])+SUMIF(MatchData[team],MatchData[[#this row],[team]],MatchData[low bar scored crossings])</f>
        <v>#VALUE!</v>
      </c>
      <c r="CR45" s="16" t="e">
        <f aca="false">IFERROR(ROUND(MatchData[[#this row],[portcullis sum]]/MatchData[[#this row],[portcullis avail count]],2),0)</f>
        <v>#VALUE!</v>
      </c>
      <c r="CS45" s="5" t="e">
        <f aca="false">IFERROR(ROUND(MatchData[[#this row],[cheval sum]]/MatchData[[#this row],[cheval avail count]],2),0)</f>
        <v>#VALUE!</v>
      </c>
      <c r="CT45" s="5" t="e">
        <f aca="false">IFERROR(ROUND(MatchData[[#this row],[moat sum]]/MatchData[[#this row],[moat avail count]],2),0)</f>
        <v>#VALUE!</v>
      </c>
      <c r="CU45" s="5" t="e">
        <f aca="false">IFERROR(ROUND(MatchData[[#this row],[ramparts sum]]/MatchData[[#this row],[ramparts avail count]],2),0)</f>
        <v>#VALUE!</v>
      </c>
      <c r="CV45" s="5" t="e">
        <f aca="false">IFERROR(ROUND(MatchData[[#this row],[drawbridge sum]]/MatchData[[#this row],[drawbridge avail countigh6]],2),0)</f>
        <v>#VALUE!</v>
      </c>
      <c r="CW45" s="5" t="e">
        <f aca="false">IFERROR(ROUND(MatchData[[#this row],[sally port sum]]/MatchData[[#this row],[sally port avail count]],2),0)</f>
        <v>#VALUE!</v>
      </c>
      <c r="CX45" s="5" t="e">
        <f aca="false">IFERROR(ROUND(MatchData[[#this row],[rock wall sum]]/MatchData[[#this row],[rock wall avail count]],2),0)</f>
        <v>#VALUE!</v>
      </c>
      <c r="CY45" s="5" t="e">
        <f aca="false">IFERROR(ROUND(MatchData[[#this row],[rough terrain sum]]/MatchData[[#this row],[rough terrain avail count]],2),0)</f>
        <v>#VALUE!</v>
      </c>
      <c r="CZ45" s="5" t="e">
        <f aca="false">IFERROR(ROUND(MatchData[[#this row],[low bar sum]]/MatchData[[#this row],[low bar avail count]],2),0)</f>
        <v>#VALUE!</v>
      </c>
      <c r="DA45" s="5" t="e">
        <f aca="false">SUM(MatchData[[#this row],[cheval sum]:[low bar sum]])/MatchData[match count]</f>
        <v>#VALUE!</v>
      </c>
      <c r="DB45" s="16" t="n">
        <f aca="false">MAX(IF(C$2:C$74=C45,BP$2:BP$74))</f>
        <v>-1.79769313486232E+308</v>
      </c>
      <c r="DC45" s="16" t="e">
        <f aca="false">AVERAGEIF(MatchData[team],MatchData[[#this row],[team]],MatchData[total score])</f>
        <v>#VALUE!</v>
      </c>
      <c r="DD45" s="16" t="e">
        <f aca="false">ROUND(AVERAGEIF(MatchData[team],MatchData[team],MatchData[climb or challenge flag]),2)</f>
        <v>#VALUE!</v>
      </c>
    </row>
    <row r="46" customFormat="false" ht="14.5" hidden="false" customHeight="false" outlineLevel="0" collapsed="false">
      <c r="A46" s="17" t="s">
        <v>108</v>
      </c>
      <c r="B46" s="14" t="n">
        <v>8</v>
      </c>
      <c r="C46" s="15" t="n">
        <v>5975</v>
      </c>
      <c r="D46" s="5" t="s">
        <v>109</v>
      </c>
      <c r="E46" s="5" t="s">
        <v>127</v>
      </c>
      <c r="H46" s="5"/>
      <c r="J46" s="5" t="n">
        <v>1</v>
      </c>
      <c r="K46" s="5" t="n">
        <v>1</v>
      </c>
      <c r="L46" s="5"/>
      <c r="M46" s="5"/>
      <c r="N46" s="5" t="n">
        <v>1</v>
      </c>
      <c r="O46" s="5"/>
      <c r="P46" s="5" t="n">
        <v>1</v>
      </c>
      <c r="Q46" s="5" t="n">
        <v>1</v>
      </c>
      <c r="R46" s="0"/>
      <c r="T46" s="0"/>
      <c r="V46" s="0"/>
      <c r="W46" s="0"/>
      <c r="X46" s="0"/>
      <c r="AD46" s="5" t="n">
        <v>1</v>
      </c>
      <c r="AF46" s="5" t="n">
        <v>1</v>
      </c>
      <c r="AW46" s="5" t="n">
        <v>1</v>
      </c>
      <c r="AY46" s="5" t="n">
        <v>1</v>
      </c>
      <c r="BB46" s="5" t="n">
        <v>1</v>
      </c>
      <c r="BC46" s="5" t="e">
        <f aca="false">MatchData[cheval scored crossings]*5</f>
        <v>#VALUE!</v>
      </c>
      <c r="BD46" s="5" t="e">
        <f aca="false">MatchData[moat scored crosings]*5</f>
        <v>#VALUE!</v>
      </c>
      <c r="BE46" s="5" t="e">
        <f aca="false">MatchData[ramparts scored crossings]*5</f>
        <v>#VALUE!</v>
      </c>
      <c r="BF46" s="5" t="e">
        <f aca="false">MatchData[drawbridge scored crossings]*5</f>
        <v>#VALUE!</v>
      </c>
      <c r="BG46" s="5" t="e">
        <f aca="false">MatchData[sally port scored crossings]*5</f>
        <v>#VALUE!</v>
      </c>
      <c r="BH46" s="5" t="e">
        <f aca="false">MatchData[rock wall scored crossings]*5</f>
        <v>#VALUE!</v>
      </c>
      <c r="BI46" s="5" t="e">
        <f aca="false">MatchData[rough terrain scored crossings]*5</f>
        <v>#VALUE!</v>
      </c>
      <c r="BJ46" s="5" t="e">
        <f aca="false">MatchData[low bar scored crossings]*5</f>
        <v>#VALUE!</v>
      </c>
      <c r="BK46" s="5" t="e">
        <f aca="false">SUM(MatchData[[#this row],[low bar teleop crossings]:[rough terrain scored crossings]])</f>
        <v>#VALUE!</v>
      </c>
      <c r="BL46" s="5" t="e">
        <f aca="false">IFERROR(IF(OR(MatchData[[#this row],[challenge flag]],MatchData[[#this row],[climb flag]]),1,0),0)</f>
        <v>#VALUE!</v>
      </c>
      <c r="BM46" s="5" t="e">
        <f aca="false">MatchData[auto high goals]*10+MatchData[teleop high goals]*5</f>
        <v>#VALUE!</v>
      </c>
      <c r="BN46" s="5" t="e">
        <f aca="false">MatchData[auto low goals]*5+MatchData[teleop low goals]*2</f>
        <v>#VALUE!</v>
      </c>
      <c r="BO46" s="5" t="e">
        <f aca="false">MatchData[high goal score]+MatchData[low goal score]</f>
        <v>#VALUE!</v>
      </c>
      <c r="BP46" s="5" t="e">
        <f aca="false">MatchData[teleop high goals]+MatchData[teleop low goals]</f>
        <v>#VALUE!</v>
      </c>
      <c r="BQ46" s="5" t="e">
        <f aca="false">MatchData[[#this row],[auto reach flag]]*2+SUM(MatchData[[#this row],[portcullis auto crossings]:[low bar auto crossings]])*10+MatchData[[#this row],[auto low goals]]*5+MatchData[auto high goals]*10</f>
        <v>#VALUE!</v>
      </c>
      <c r="BR46" s="5" t="e">
        <f aca="false">SUM(MatchData[[#this row],[cheval teleop crossing score]:[low bar teleop crossing score]])</f>
        <v>#VALUE!</v>
      </c>
      <c r="BS46" s="5" t="e">
        <f aca="false">SUMIF(MatchData[team],MatchData[[#this row],[team]],MatchData[total auto score])/MatchData[match count]</f>
        <v>#VALUE!</v>
      </c>
      <c r="BT46" s="5" t="e">
        <f aca="false">MatchData[challenge flag]*5</f>
        <v>#VALUE!</v>
      </c>
      <c r="BU46" s="5" t="e">
        <f aca="false">MatchData[climb flag]*15</f>
        <v>#VALUE!</v>
      </c>
      <c r="BV46" s="5" t="e">
        <f aca="false">SUM(MatchData[[#this row],[total goal score]],MatchData[[#this row],[crossing score]],MatchData[[#this row],[challenge score]],MatchData[[#this row],[climb score]],MatchData[[#this row],[total auto score]])</f>
        <v>#VALUE!</v>
      </c>
      <c r="BW46" s="16" t="e">
        <f aca="false">ROUND(SUMIF(MatchData[team],MatchData[[#this row],[team]],MatchData[teleop low goals])/COUNTIF(MatchData[team],MatchData[[#this row],[team]]),2)</f>
        <v>#VALUE!</v>
      </c>
      <c r="BX46" s="16" t="e">
        <f aca="false">ROUND(SUMIF(MatchData[team],MatchData[[#this row],[team]],MatchData[teleop high goals])/COUNTIF(MatchData[team],MatchData[[#this row],[team]]),2)</f>
        <v>#VALUE!</v>
      </c>
      <c r="BY46" s="16" t="e">
        <f aca="false">COUNTIF(MatchData[team],MatchData[[#this row],[team]])</f>
        <v>#VALUE!</v>
      </c>
      <c r="BZ46" s="16" t="e">
        <f aca="false">SUMIF(MatchData[team],MatchData[[#this row],[team]],MatchData[portcullis available])</f>
        <v>#VALUE!</v>
      </c>
      <c r="CA46" s="16" t="e">
        <f aca="false">SUMIF(MatchData[team],MatchData[[#this row],[team]],MatchData[cheval available])</f>
        <v>#VALUE!</v>
      </c>
      <c r="CB46" s="16" t="e">
        <f aca="false">SUMIF(MatchData[team],MatchData[[#this row],[team]],MatchData[moat available])</f>
        <v>#VALUE!</v>
      </c>
      <c r="CC46" s="16" t="e">
        <f aca="false">SUMIF(MatchData[team],MatchData[[#this row],[team]],MatchData[ramparts available])</f>
        <v>#VALUE!</v>
      </c>
      <c r="CD46" s="16" t="e">
        <f aca="false">SUMIF(MatchData[team],MatchData[[#this row],[team]],MatchData[drawbridge available])</f>
        <v>#VALUE!</v>
      </c>
      <c r="CE46" s="16" t="e">
        <f aca="false">SUMIF(MatchData[team],MatchData[[#this row],[team]],MatchData[sally port available])</f>
        <v>#VALUE!</v>
      </c>
      <c r="CF46" s="16" t="e">
        <f aca="false">SUMIF(MatchData[team],MatchData[[#this row],[team]],MatchData[rock wall available])</f>
        <v>#VALUE!</v>
      </c>
      <c r="CG46" s="16" t="e">
        <f aca="false">SUMIF(MatchData[team],MatchData[[#this row],[team]],MatchData[rough terrain available])</f>
        <v>#VALUE!</v>
      </c>
      <c r="CH46" s="16" t="e">
        <f aca="false">SUMIF(MatchData[team],MatchData[[#this row],[team]],MatchData[low bar available])</f>
        <v>#VALUE!</v>
      </c>
      <c r="CI46" s="16" t="e">
        <f aca="false">SUMIF(MatchData[team],MatchData[[#this row],[team]],MatchData[portcullis teleop crossings]:MatchData[portcullis scored crossings])</f>
        <v>#VALUE!</v>
      </c>
      <c r="CJ46" s="16" t="e">
        <f aca="false">SUMIF(MatchData[team],MatchData[[#this row],[team]],MatchData[cheval teleop crossings])+SUMIF(MatchData[team],MatchData[[#this row],[team]],MatchData[cheval scored crossings])</f>
        <v>#VALUE!</v>
      </c>
      <c r="CK46" s="16" t="e">
        <f aca="false">SUMIF(MatchData[team],MatchData[[#this row],[team]],MatchData[moat teleop crossings])+SUMIF(MatchData[team],MatchData[[#this row],[team]],MatchData[moat scored crosings])</f>
        <v>#VALUE!</v>
      </c>
      <c r="CL46" s="16" t="e">
        <f aca="false">SUMIF(MatchData[team],MatchData[[#this row],[team]],MatchData[ramparts teleop crossings])+SUMIF(MatchData[team],MatchData[[#this row],[team]],MatchData[ramparts scored crossings])</f>
        <v>#VALUE!</v>
      </c>
      <c r="CM46" s="16" t="e">
        <f aca="false">SUMIF(MatchData[team],MatchData[[#this row],[team]],MatchData[drawbridge teleop crossings])+SUMIF(MatchData[team],MatchData[[#this row],[team]],MatchData[drawbridge scored crossings])</f>
        <v>#VALUE!</v>
      </c>
      <c r="CN46" s="16" t="e">
        <f aca="false">SUMIF(MatchData[team],MatchData[[#this row],[team]],MatchData[sally port teleop crossings])+SUMIF(MatchData[team],MatchData[[#this row],[team]],MatchData[sally port scored crossings])</f>
        <v>#VALUE!</v>
      </c>
      <c r="CO46" s="16" t="e">
        <f aca="false">SUMIF(MatchData[team],MatchData[[#this row],[team]],MatchData[rock wall teleop crossings])+SUMIF(MatchData[team],MatchData[[#this row],[team]],MatchData[rock wall scored crossings])</f>
        <v>#VALUE!</v>
      </c>
      <c r="CP46" s="16" t="e">
        <f aca="false">SUMIF(MatchData[team],MatchData[[#this row],[team]],MatchData[rough terrain teleop crossings])+SUMIF(MatchData[team],MatchData[[#this row],[team]],MatchData[rough terrain scored crossings])</f>
        <v>#VALUE!</v>
      </c>
      <c r="CQ46" s="16" t="e">
        <f aca="false">SUMIF(MatchData[team],MatchData[[#this row],[team]],MatchData[low bar teleop crossings])+SUMIF(MatchData[team],MatchData[[#this row],[team]],MatchData[low bar scored crossings])</f>
        <v>#VALUE!</v>
      </c>
      <c r="CR46" s="16" t="e">
        <f aca="false">IFERROR(ROUND(MatchData[[#this row],[portcullis sum]]/MatchData[[#this row],[portcullis avail count]],2),0)</f>
        <v>#VALUE!</v>
      </c>
      <c r="CS46" s="5" t="e">
        <f aca="false">IFERROR(ROUND(MatchData[[#this row],[cheval sum]]/MatchData[[#this row],[cheval avail count]],2),0)</f>
        <v>#VALUE!</v>
      </c>
      <c r="CT46" s="5" t="e">
        <f aca="false">IFERROR(ROUND(MatchData[[#this row],[moat sum]]/MatchData[[#this row],[moat avail count]],2),0)</f>
        <v>#VALUE!</v>
      </c>
      <c r="CU46" s="5" t="e">
        <f aca="false">IFERROR(ROUND(MatchData[[#this row],[ramparts sum]]/MatchData[[#this row],[ramparts avail count]],2),0)</f>
        <v>#VALUE!</v>
      </c>
      <c r="CV46" s="5" t="e">
        <f aca="false">IFERROR(ROUND(MatchData[[#this row],[drawbridge sum]]/MatchData[[#this row],[drawbridge avail countigh6]],2),0)</f>
        <v>#VALUE!</v>
      </c>
      <c r="CW46" s="5" t="e">
        <f aca="false">IFERROR(ROUND(MatchData[[#this row],[sally port sum]]/MatchData[[#this row],[sally port avail count]],2),0)</f>
        <v>#VALUE!</v>
      </c>
      <c r="CX46" s="5" t="e">
        <f aca="false">IFERROR(ROUND(MatchData[[#this row],[rock wall sum]]/MatchData[[#this row],[rock wall avail count]],2),0)</f>
        <v>#VALUE!</v>
      </c>
      <c r="CY46" s="5" t="e">
        <f aca="false">IFERROR(ROUND(MatchData[[#this row],[rough terrain sum]]/MatchData[[#this row],[rough terrain avail count]],2),0)</f>
        <v>#VALUE!</v>
      </c>
      <c r="CZ46" s="5" t="e">
        <f aca="false">IFERROR(ROUND(MatchData[[#this row],[low bar sum]]/MatchData[[#this row],[low bar avail count]],2),0)</f>
        <v>#VALUE!</v>
      </c>
      <c r="DA46" s="5" t="e">
        <f aca="false">SUM(MatchData[[#this row],[cheval sum]:[low bar sum]])/MatchData[match count]</f>
        <v>#VALUE!</v>
      </c>
      <c r="DB46" s="16" t="n">
        <f aca="false">MAX(IF(C$2:C$74=C46,BP$2:BP$74))</f>
        <v>-1.79769313486232E+308</v>
      </c>
      <c r="DC46" s="16" t="e">
        <f aca="false">AVERAGEIF(MatchData[team],MatchData[[#this row],[team]],MatchData[total score])</f>
        <v>#VALUE!</v>
      </c>
      <c r="DD46" s="16" t="e">
        <f aca="false">ROUND(AVERAGEIF(MatchData[team],MatchData[team],MatchData[climb or challenge flag]),2)</f>
        <v>#VALUE!</v>
      </c>
    </row>
    <row r="47" customFormat="false" ht="14.5" hidden="false" customHeight="false" outlineLevel="0" collapsed="false">
      <c r="A47" s="13" t="s">
        <v>108</v>
      </c>
      <c r="B47" s="14" t="n">
        <v>8</v>
      </c>
      <c r="C47" s="15" t="n">
        <v>2635</v>
      </c>
      <c r="D47" s="5" t="s">
        <v>113</v>
      </c>
      <c r="E47" s="5" t="s">
        <v>130</v>
      </c>
      <c r="H47" s="5"/>
      <c r="J47" s="5" t="n">
        <v>1</v>
      </c>
      <c r="K47" s="5"/>
      <c r="L47" s="5" t="n">
        <v>1</v>
      </c>
      <c r="M47" s="5"/>
      <c r="N47" s="5" t="n">
        <v>1</v>
      </c>
      <c r="O47" s="5"/>
      <c r="P47" s="5" t="n">
        <v>1</v>
      </c>
      <c r="Q47" s="5"/>
      <c r="R47" s="5" t="n">
        <v>1</v>
      </c>
      <c r="T47" s="0"/>
      <c r="V47" s="0"/>
      <c r="W47" s="0"/>
      <c r="X47" s="0"/>
      <c r="AZ47" s="5" t="n">
        <v>1</v>
      </c>
      <c r="BC47" s="5" t="e">
        <f aca="false">MatchData[cheval scored crossings]*5</f>
        <v>#VALUE!</v>
      </c>
      <c r="BD47" s="5" t="e">
        <f aca="false">MatchData[moat scored crosings]*5</f>
        <v>#VALUE!</v>
      </c>
      <c r="BE47" s="5" t="e">
        <f aca="false">MatchData[ramparts scored crossings]*5</f>
        <v>#VALUE!</v>
      </c>
      <c r="BF47" s="5" t="e">
        <f aca="false">MatchData[drawbridge scored crossings]*5</f>
        <v>#VALUE!</v>
      </c>
      <c r="BG47" s="5" t="e">
        <f aca="false">MatchData[sally port scored crossings]*5</f>
        <v>#VALUE!</v>
      </c>
      <c r="BH47" s="5" t="e">
        <f aca="false">MatchData[rock wall scored crossings]*5</f>
        <v>#VALUE!</v>
      </c>
      <c r="BI47" s="5" t="e">
        <f aca="false">MatchData[rough terrain scored crossings]*5</f>
        <v>#VALUE!</v>
      </c>
      <c r="BJ47" s="5" t="e">
        <f aca="false">MatchData[low bar scored crossings]*5</f>
        <v>#VALUE!</v>
      </c>
      <c r="BK47" s="5" t="e">
        <f aca="false">SUM(MatchData[[#this row],[low bar teleop crossings]:[rough terrain scored crossings]])</f>
        <v>#VALUE!</v>
      </c>
      <c r="BL47" s="5" t="e">
        <f aca="false">IFERROR(IF(OR(MatchData[[#this row],[challenge flag]],MatchData[[#this row],[climb flag]]),1,0),0)</f>
        <v>#VALUE!</v>
      </c>
      <c r="BM47" s="5" t="e">
        <f aca="false">MatchData[auto high goals]*10+MatchData[teleop high goals]*5</f>
        <v>#VALUE!</v>
      </c>
      <c r="BN47" s="5" t="e">
        <f aca="false">MatchData[auto low goals]*5+MatchData[teleop low goals]*2</f>
        <v>#VALUE!</v>
      </c>
      <c r="BO47" s="5" t="e">
        <f aca="false">MatchData[high goal score]+MatchData[low goal score]</f>
        <v>#VALUE!</v>
      </c>
      <c r="BP47" s="5" t="e">
        <f aca="false">MatchData[teleop high goals]+MatchData[teleop low goals]</f>
        <v>#VALUE!</v>
      </c>
      <c r="BQ47" s="5" t="e">
        <f aca="false">MatchData[[#this row],[auto reach flag]]*2+SUM(MatchData[[#this row],[portcullis auto crossings]:[low bar auto crossings]])*10+MatchData[[#this row],[auto low goals]]*5+MatchData[auto high goals]*10</f>
        <v>#VALUE!</v>
      </c>
      <c r="BR47" s="5" t="e">
        <f aca="false">SUM(MatchData[[#this row],[cheval teleop crossing score]:[low bar teleop crossing score]])</f>
        <v>#VALUE!</v>
      </c>
      <c r="BS47" s="5" t="e">
        <f aca="false">SUMIF(MatchData[team],MatchData[[#this row],[team]],MatchData[total auto score])/MatchData[match count]</f>
        <v>#VALUE!</v>
      </c>
      <c r="BT47" s="5" t="e">
        <f aca="false">MatchData[challenge flag]*5</f>
        <v>#VALUE!</v>
      </c>
      <c r="BU47" s="5" t="e">
        <f aca="false">MatchData[climb flag]*15</f>
        <v>#VALUE!</v>
      </c>
      <c r="BV47" s="5" t="e">
        <f aca="false">SUM(MatchData[[#this row],[total goal score]],MatchData[[#this row],[crossing score]],MatchData[[#this row],[challenge score]],MatchData[[#this row],[climb score]],MatchData[[#this row],[total auto score]])</f>
        <v>#VALUE!</v>
      </c>
      <c r="BW47" s="16" t="e">
        <f aca="false">ROUND(SUMIF(MatchData[team],MatchData[[#this row],[team]],MatchData[teleop low goals])/COUNTIF(MatchData[team],MatchData[[#this row],[team]]),2)</f>
        <v>#VALUE!</v>
      </c>
      <c r="BX47" s="16" t="e">
        <f aca="false">ROUND(SUMIF(MatchData[team],MatchData[[#this row],[team]],MatchData[teleop high goals])/COUNTIF(MatchData[team],MatchData[[#this row],[team]]),2)</f>
        <v>#VALUE!</v>
      </c>
      <c r="BY47" s="16" t="e">
        <f aca="false">COUNTIF(MatchData[team],MatchData[[#this row],[team]])</f>
        <v>#VALUE!</v>
      </c>
      <c r="BZ47" s="16" t="e">
        <f aca="false">SUMIF(MatchData[team],MatchData[[#this row],[team]],MatchData[portcullis available])</f>
        <v>#VALUE!</v>
      </c>
      <c r="CA47" s="16" t="e">
        <f aca="false">SUMIF(MatchData[team],MatchData[[#this row],[team]],MatchData[cheval available])</f>
        <v>#VALUE!</v>
      </c>
      <c r="CB47" s="16" t="e">
        <f aca="false">SUMIF(MatchData[team],MatchData[[#this row],[team]],MatchData[moat available])</f>
        <v>#VALUE!</v>
      </c>
      <c r="CC47" s="16" t="e">
        <f aca="false">SUMIF(MatchData[team],MatchData[[#this row],[team]],MatchData[ramparts available])</f>
        <v>#VALUE!</v>
      </c>
      <c r="CD47" s="16" t="e">
        <f aca="false">SUMIF(MatchData[team],MatchData[[#this row],[team]],MatchData[drawbridge available])</f>
        <v>#VALUE!</v>
      </c>
      <c r="CE47" s="16" t="e">
        <f aca="false">SUMIF(MatchData[team],MatchData[[#this row],[team]],MatchData[sally port available])</f>
        <v>#VALUE!</v>
      </c>
      <c r="CF47" s="16" t="e">
        <f aca="false">SUMIF(MatchData[team],MatchData[[#this row],[team]],MatchData[rock wall available])</f>
        <v>#VALUE!</v>
      </c>
      <c r="CG47" s="16" t="e">
        <f aca="false">SUMIF(MatchData[team],MatchData[[#this row],[team]],MatchData[rough terrain available])</f>
        <v>#VALUE!</v>
      </c>
      <c r="CH47" s="16" t="e">
        <f aca="false">SUMIF(MatchData[team],MatchData[[#this row],[team]],MatchData[low bar available])</f>
        <v>#VALUE!</v>
      </c>
      <c r="CI47" s="16" t="e">
        <f aca="false">SUMIF(MatchData[team],MatchData[[#this row],[team]],MatchData[portcullis teleop crossings]:MatchData[portcullis scored crossings])</f>
        <v>#VALUE!</v>
      </c>
      <c r="CJ47" s="16" t="e">
        <f aca="false">SUMIF(MatchData[team],MatchData[[#this row],[team]],MatchData[cheval teleop crossings])+SUMIF(MatchData[team],MatchData[[#this row],[team]],MatchData[cheval scored crossings])</f>
        <v>#VALUE!</v>
      </c>
      <c r="CK47" s="16" t="e">
        <f aca="false">SUMIF(MatchData[team],MatchData[[#this row],[team]],MatchData[moat teleop crossings])+SUMIF(MatchData[team],MatchData[[#this row],[team]],MatchData[moat scored crosings])</f>
        <v>#VALUE!</v>
      </c>
      <c r="CL47" s="16" t="e">
        <f aca="false">SUMIF(MatchData[team],MatchData[[#this row],[team]],MatchData[ramparts teleop crossings])+SUMIF(MatchData[team],MatchData[[#this row],[team]],MatchData[ramparts scored crossings])</f>
        <v>#VALUE!</v>
      </c>
      <c r="CM47" s="16" t="e">
        <f aca="false">SUMIF(MatchData[team],MatchData[[#this row],[team]],MatchData[drawbridge teleop crossings])+SUMIF(MatchData[team],MatchData[[#this row],[team]],MatchData[drawbridge scored crossings])</f>
        <v>#VALUE!</v>
      </c>
      <c r="CN47" s="16" t="e">
        <f aca="false">SUMIF(MatchData[team],MatchData[[#this row],[team]],MatchData[sally port teleop crossings])+SUMIF(MatchData[team],MatchData[[#this row],[team]],MatchData[sally port scored crossings])</f>
        <v>#VALUE!</v>
      </c>
      <c r="CO47" s="16" t="e">
        <f aca="false">SUMIF(MatchData[team],MatchData[[#this row],[team]],MatchData[rock wall teleop crossings])+SUMIF(MatchData[team],MatchData[[#this row],[team]],MatchData[rock wall scored crossings])</f>
        <v>#VALUE!</v>
      </c>
      <c r="CP47" s="16" t="e">
        <f aca="false">SUMIF(MatchData[team],MatchData[[#this row],[team]],MatchData[rough terrain teleop crossings])+SUMIF(MatchData[team],MatchData[[#this row],[team]],MatchData[rough terrain scored crossings])</f>
        <v>#VALUE!</v>
      </c>
      <c r="CQ47" s="16" t="e">
        <f aca="false">SUMIF(MatchData[team],MatchData[[#this row],[team]],MatchData[low bar teleop crossings])+SUMIF(MatchData[team],MatchData[[#this row],[team]],MatchData[low bar scored crossings])</f>
        <v>#VALUE!</v>
      </c>
      <c r="CR47" s="16" t="e">
        <f aca="false">IFERROR(ROUND(MatchData[[#this row],[portcullis sum]]/MatchData[[#this row],[portcullis avail count]],2),0)</f>
        <v>#VALUE!</v>
      </c>
      <c r="CS47" s="5" t="e">
        <f aca="false">IFERROR(ROUND(MatchData[[#this row],[cheval sum]]/MatchData[[#this row],[cheval avail count]],2),0)</f>
        <v>#VALUE!</v>
      </c>
      <c r="CT47" s="5" t="e">
        <f aca="false">IFERROR(ROUND(MatchData[[#this row],[moat sum]]/MatchData[[#this row],[moat avail count]],2),0)</f>
        <v>#VALUE!</v>
      </c>
      <c r="CU47" s="5" t="e">
        <f aca="false">IFERROR(ROUND(MatchData[[#this row],[ramparts sum]]/MatchData[[#this row],[ramparts avail count]],2),0)</f>
        <v>#VALUE!</v>
      </c>
      <c r="CV47" s="5" t="e">
        <f aca="false">IFERROR(ROUND(MatchData[[#this row],[drawbridge sum]]/MatchData[[#this row],[drawbridge avail countigh6]],2),0)</f>
        <v>#VALUE!</v>
      </c>
      <c r="CW47" s="5" t="e">
        <f aca="false">IFERROR(ROUND(MatchData[[#this row],[sally port sum]]/MatchData[[#this row],[sally port avail count]],2),0)</f>
        <v>#VALUE!</v>
      </c>
      <c r="CX47" s="5" t="e">
        <f aca="false">IFERROR(ROUND(MatchData[[#this row],[rock wall sum]]/MatchData[[#this row],[rock wall avail count]],2),0)</f>
        <v>#VALUE!</v>
      </c>
      <c r="CY47" s="5" t="e">
        <f aca="false">IFERROR(ROUND(MatchData[[#this row],[rough terrain sum]]/MatchData[[#this row],[rough terrain avail count]],2),0)</f>
        <v>#VALUE!</v>
      </c>
      <c r="CZ47" s="5" t="e">
        <f aca="false">IFERROR(ROUND(MatchData[[#this row],[low bar sum]]/MatchData[[#this row],[low bar avail count]],2),0)</f>
        <v>#VALUE!</v>
      </c>
      <c r="DA47" s="5" t="e">
        <f aca="false">SUM(MatchData[[#this row],[cheval sum]:[low bar sum]])/MatchData[match count]</f>
        <v>#VALUE!</v>
      </c>
      <c r="DB47" s="16" t="n">
        <f aca="false">MAX(IF(C$2:C$74=C47,BP$2:BP$74))</f>
        <v>-1.79769313486232E+308</v>
      </c>
      <c r="DC47" s="16" t="e">
        <f aca="false">AVERAGEIF(MatchData[team],MatchData[[#this row],[team]],MatchData[total score])</f>
        <v>#VALUE!</v>
      </c>
      <c r="DD47" s="16" t="e">
        <f aca="false">ROUND(AVERAGEIF(MatchData[team],MatchData[team],MatchData[climb or challenge flag]),2)</f>
        <v>#VALUE!</v>
      </c>
    </row>
    <row r="48" customFormat="false" ht="14.5" hidden="false" customHeight="false" outlineLevel="0" collapsed="false">
      <c r="A48" s="17" t="s">
        <v>108</v>
      </c>
      <c r="B48" s="18" t="n">
        <v>8</v>
      </c>
      <c r="C48" s="15" t="n">
        <v>4127</v>
      </c>
      <c r="D48" s="5" t="s">
        <v>113</v>
      </c>
      <c r="E48" s="5" t="s">
        <v>131</v>
      </c>
      <c r="H48" s="5"/>
      <c r="J48" s="5" t="n">
        <v>1</v>
      </c>
      <c r="K48" s="5"/>
      <c r="L48" s="5" t="n">
        <v>1</v>
      </c>
      <c r="M48" s="5"/>
      <c r="N48" s="5" t="n">
        <v>1</v>
      </c>
      <c r="O48" s="5"/>
      <c r="P48" s="5" t="n">
        <v>1</v>
      </c>
      <c r="Q48" s="5"/>
      <c r="R48" s="5" t="n">
        <v>1</v>
      </c>
      <c r="T48" s="0"/>
      <c r="V48" s="0"/>
      <c r="W48" s="0"/>
      <c r="X48" s="0"/>
      <c r="AL48" s="5" t="n">
        <v>1</v>
      </c>
      <c r="AZ48" s="5" t="n">
        <v>1</v>
      </c>
      <c r="BC48" s="5" t="e">
        <f aca="false">MatchData[cheval scored crossings]*5</f>
        <v>#VALUE!</v>
      </c>
      <c r="BD48" s="5" t="e">
        <f aca="false">MatchData[moat scored crosings]*5</f>
        <v>#VALUE!</v>
      </c>
      <c r="BE48" s="5" t="e">
        <f aca="false">MatchData[ramparts scored crossings]*5</f>
        <v>#VALUE!</v>
      </c>
      <c r="BF48" s="5" t="e">
        <f aca="false">MatchData[drawbridge scored crossings]*5</f>
        <v>#VALUE!</v>
      </c>
      <c r="BG48" s="5" t="e">
        <f aca="false">MatchData[sally port scored crossings]*5</f>
        <v>#VALUE!</v>
      </c>
      <c r="BH48" s="5" t="e">
        <f aca="false">MatchData[rock wall scored crossings]*5</f>
        <v>#VALUE!</v>
      </c>
      <c r="BI48" s="5" t="e">
        <f aca="false">MatchData[rough terrain scored crossings]*5</f>
        <v>#VALUE!</v>
      </c>
      <c r="BJ48" s="5" t="e">
        <f aca="false">MatchData[low bar scored crossings]*5</f>
        <v>#VALUE!</v>
      </c>
      <c r="BK48" s="5" t="e">
        <f aca="false">SUM(MatchData[[#this row],[low bar teleop crossings]:[rough terrain scored crossings]])</f>
        <v>#VALUE!</v>
      </c>
      <c r="BL48" s="5" t="e">
        <f aca="false">IFERROR(IF(OR(MatchData[[#this row],[challenge flag]],MatchData[[#this row],[climb flag]]),1,0),0)</f>
        <v>#VALUE!</v>
      </c>
      <c r="BM48" s="5" t="e">
        <f aca="false">MatchData[auto high goals]*10+MatchData[teleop high goals]*5</f>
        <v>#VALUE!</v>
      </c>
      <c r="BN48" s="5" t="e">
        <f aca="false">MatchData[auto low goals]*5+MatchData[teleop low goals]*2</f>
        <v>#VALUE!</v>
      </c>
      <c r="BO48" s="5" t="e">
        <f aca="false">MatchData[high goal score]+MatchData[low goal score]</f>
        <v>#VALUE!</v>
      </c>
      <c r="BP48" s="5" t="e">
        <f aca="false">MatchData[teleop high goals]+MatchData[teleop low goals]</f>
        <v>#VALUE!</v>
      </c>
      <c r="BQ48" s="5" t="e">
        <f aca="false">MatchData[[#this row],[auto reach flag]]*2+SUM(MatchData[[#this row],[portcullis auto crossings]:[low bar auto crossings]])*10+MatchData[[#this row],[auto low goals]]*5+MatchData[auto high goals]*10</f>
        <v>#VALUE!</v>
      </c>
      <c r="BR48" s="5" t="e">
        <f aca="false">SUM(MatchData[[#this row],[cheval teleop crossing score]:[low bar teleop crossing score]])</f>
        <v>#VALUE!</v>
      </c>
      <c r="BS48" s="5" t="e">
        <f aca="false">SUMIF(MatchData[team],MatchData[[#this row],[team]],MatchData[total auto score])/MatchData[match count]</f>
        <v>#VALUE!</v>
      </c>
      <c r="BT48" s="5" t="e">
        <f aca="false">MatchData[challenge flag]*5</f>
        <v>#VALUE!</v>
      </c>
      <c r="BU48" s="5" t="e">
        <f aca="false">MatchData[climb flag]*15</f>
        <v>#VALUE!</v>
      </c>
      <c r="BV48" s="5" t="e">
        <f aca="false">SUM(MatchData[[#this row],[total goal score]],MatchData[[#this row],[crossing score]],MatchData[[#this row],[challenge score]],MatchData[[#this row],[climb score]],MatchData[[#this row],[total auto score]])</f>
        <v>#VALUE!</v>
      </c>
      <c r="BW48" s="16" t="e">
        <f aca="false">ROUND(SUMIF(MatchData[team],MatchData[[#this row],[team]],MatchData[teleop low goals])/COUNTIF(MatchData[team],MatchData[[#this row],[team]]),2)</f>
        <v>#VALUE!</v>
      </c>
      <c r="BX48" s="16" t="e">
        <f aca="false">ROUND(SUMIF(MatchData[team],MatchData[[#this row],[team]],MatchData[teleop high goals])/COUNTIF(MatchData[team],MatchData[[#this row],[team]]),2)</f>
        <v>#VALUE!</v>
      </c>
      <c r="BY48" s="16" t="e">
        <f aca="false">COUNTIF(MatchData[team],MatchData[[#this row],[team]])</f>
        <v>#VALUE!</v>
      </c>
      <c r="BZ48" s="16" t="e">
        <f aca="false">SUMIF(MatchData[team],MatchData[[#this row],[team]],MatchData[portcullis available])</f>
        <v>#VALUE!</v>
      </c>
      <c r="CA48" s="16" t="e">
        <f aca="false">SUMIF(MatchData[team],MatchData[[#this row],[team]],MatchData[cheval available])</f>
        <v>#VALUE!</v>
      </c>
      <c r="CB48" s="16" t="e">
        <f aca="false">SUMIF(MatchData[team],MatchData[[#this row],[team]],MatchData[moat available])</f>
        <v>#VALUE!</v>
      </c>
      <c r="CC48" s="16" t="e">
        <f aca="false">SUMIF(MatchData[team],MatchData[[#this row],[team]],MatchData[ramparts available])</f>
        <v>#VALUE!</v>
      </c>
      <c r="CD48" s="16" t="e">
        <f aca="false">SUMIF(MatchData[team],MatchData[[#this row],[team]],MatchData[drawbridge available])</f>
        <v>#VALUE!</v>
      </c>
      <c r="CE48" s="16" t="e">
        <f aca="false">SUMIF(MatchData[team],MatchData[[#this row],[team]],MatchData[sally port available])</f>
        <v>#VALUE!</v>
      </c>
      <c r="CF48" s="16" t="e">
        <f aca="false">SUMIF(MatchData[team],MatchData[[#this row],[team]],MatchData[rock wall available])</f>
        <v>#VALUE!</v>
      </c>
      <c r="CG48" s="16" t="e">
        <f aca="false">SUMIF(MatchData[team],MatchData[[#this row],[team]],MatchData[rough terrain available])</f>
        <v>#VALUE!</v>
      </c>
      <c r="CH48" s="16" t="e">
        <f aca="false">SUMIF(MatchData[team],MatchData[[#this row],[team]],MatchData[low bar available])</f>
        <v>#VALUE!</v>
      </c>
      <c r="CI48" s="16" t="e">
        <f aca="false">SUMIF(MatchData[team],MatchData[[#this row],[team]],MatchData[portcullis teleop crossings]:MatchData[portcullis scored crossings])</f>
        <v>#VALUE!</v>
      </c>
      <c r="CJ48" s="16" t="e">
        <f aca="false">SUMIF(MatchData[team],MatchData[[#this row],[team]],MatchData[cheval teleop crossings])+SUMIF(MatchData[team],MatchData[[#this row],[team]],MatchData[cheval scored crossings])</f>
        <v>#VALUE!</v>
      </c>
      <c r="CK48" s="16" t="e">
        <f aca="false">SUMIF(MatchData[team],MatchData[[#this row],[team]],MatchData[moat teleop crossings])+SUMIF(MatchData[team],MatchData[[#this row],[team]],MatchData[moat scored crosings])</f>
        <v>#VALUE!</v>
      </c>
      <c r="CL48" s="16" t="e">
        <f aca="false">SUMIF(MatchData[team],MatchData[[#this row],[team]],MatchData[ramparts teleop crossings])+SUMIF(MatchData[team],MatchData[[#this row],[team]],MatchData[ramparts scored crossings])</f>
        <v>#VALUE!</v>
      </c>
      <c r="CM48" s="16" t="e">
        <f aca="false">SUMIF(MatchData[team],MatchData[[#this row],[team]],MatchData[drawbridge teleop crossings])+SUMIF(MatchData[team],MatchData[[#this row],[team]],MatchData[drawbridge scored crossings])</f>
        <v>#VALUE!</v>
      </c>
      <c r="CN48" s="16" t="e">
        <f aca="false">SUMIF(MatchData[team],MatchData[[#this row],[team]],MatchData[sally port teleop crossings])+SUMIF(MatchData[team],MatchData[[#this row],[team]],MatchData[sally port scored crossings])</f>
        <v>#VALUE!</v>
      </c>
      <c r="CO48" s="16" t="e">
        <f aca="false">SUMIF(MatchData[team],MatchData[[#this row],[team]],MatchData[rock wall teleop crossings])+SUMIF(MatchData[team],MatchData[[#this row],[team]],MatchData[rock wall scored crossings])</f>
        <v>#VALUE!</v>
      </c>
      <c r="CP48" s="16" t="e">
        <f aca="false">SUMIF(MatchData[team],MatchData[[#this row],[team]],MatchData[rough terrain teleop crossings])+SUMIF(MatchData[team],MatchData[[#this row],[team]],MatchData[rough terrain scored crossings])</f>
        <v>#VALUE!</v>
      </c>
      <c r="CQ48" s="16" t="e">
        <f aca="false">SUMIF(MatchData[team],MatchData[[#this row],[team]],MatchData[low bar teleop crossings])+SUMIF(MatchData[team],MatchData[[#this row],[team]],MatchData[low bar scored crossings])</f>
        <v>#VALUE!</v>
      </c>
      <c r="CR48" s="16" t="e">
        <f aca="false">IFERROR(ROUND(MatchData[[#this row],[portcullis sum]]/MatchData[[#this row],[portcullis avail count]],2),0)</f>
        <v>#VALUE!</v>
      </c>
      <c r="CS48" s="5" t="e">
        <f aca="false">IFERROR(ROUND(MatchData[[#this row],[cheval sum]]/MatchData[[#this row],[cheval avail count]],2),0)</f>
        <v>#VALUE!</v>
      </c>
      <c r="CT48" s="5" t="e">
        <f aca="false">IFERROR(ROUND(MatchData[[#this row],[moat sum]]/MatchData[[#this row],[moat avail count]],2),0)</f>
        <v>#VALUE!</v>
      </c>
      <c r="CU48" s="5" t="e">
        <f aca="false">IFERROR(ROUND(MatchData[[#this row],[ramparts sum]]/MatchData[[#this row],[ramparts avail count]],2),0)</f>
        <v>#VALUE!</v>
      </c>
      <c r="CV48" s="5" t="e">
        <f aca="false">IFERROR(ROUND(MatchData[[#this row],[drawbridge sum]]/MatchData[[#this row],[drawbridge avail countigh6]],2),0)</f>
        <v>#VALUE!</v>
      </c>
      <c r="CW48" s="5" t="e">
        <f aca="false">IFERROR(ROUND(MatchData[[#this row],[sally port sum]]/MatchData[[#this row],[sally port avail count]],2),0)</f>
        <v>#VALUE!</v>
      </c>
      <c r="CX48" s="5" t="e">
        <f aca="false">IFERROR(ROUND(MatchData[[#this row],[rock wall sum]]/MatchData[[#this row],[rock wall avail count]],2),0)</f>
        <v>#VALUE!</v>
      </c>
      <c r="CY48" s="5" t="e">
        <f aca="false">IFERROR(ROUND(MatchData[[#this row],[rough terrain sum]]/MatchData[[#this row],[rough terrain avail count]],2),0)</f>
        <v>#VALUE!</v>
      </c>
      <c r="CZ48" s="5" t="e">
        <f aca="false">IFERROR(ROUND(MatchData[[#this row],[low bar sum]]/MatchData[[#this row],[low bar avail count]],2),0)</f>
        <v>#VALUE!</v>
      </c>
      <c r="DA48" s="5" t="e">
        <f aca="false">SUM(MatchData[[#this row],[cheval sum]:[low bar sum]])/MatchData[match count]</f>
        <v>#VALUE!</v>
      </c>
      <c r="DB48" s="16" t="n">
        <f aca="false">MAX(IF(C$2:C$74=C48,BP$2:BP$74))</f>
        <v>-1.79769313486232E+308</v>
      </c>
      <c r="DC48" s="16" t="e">
        <f aca="false">AVERAGEIF(MatchData[team],MatchData[[#this row],[team]],MatchData[total score])</f>
        <v>#VALUE!</v>
      </c>
      <c r="DD48" s="16" t="e">
        <f aca="false">ROUND(AVERAGEIF(MatchData[team],MatchData[team],MatchData[climb or challenge flag]),2)</f>
        <v>#VALUE!</v>
      </c>
    </row>
    <row r="49" customFormat="false" ht="14.5" hidden="false" customHeight="false" outlineLevel="0" collapsed="false">
      <c r="A49" s="17" t="s">
        <v>108</v>
      </c>
      <c r="B49" s="14" t="n">
        <v>8</v>
      </c>
      <c r="C49" s="15" t="n">
        <v>5956</v>
      </c>
      <c r="D49" s="5" t="s">
        <v>113</v>
      </c>
      <c r="E49" s="5" t="s">
        <v>124</v>
      </c>
      <c r="H49" s="5"/>
      <c r="J49" s="5" t="n">
        <v>1</v>
      </c>
      <c r="K49" s="5"/>
      <c r="L49" s="5" t="n">
        <v>1</v>
      </c>
      <c r="M49" s="5"/>
      <c r="N49" s="5" t="n">
        <v>1</v>
      </c>
      <c r="O49" s="5"/>
      <c r="P49" s="5" t="n">
        <v>1</v>
      </c>
      <c r="Q49" s="5"/>
      <c r="R49" s="5" t="n">
        <v>1</v>
      </c>
      <c r="T49" s="0"/>
      <c r="V49" s="0"/>
      <c r="W49" s="0"/>
      <c r="X49" s="0"/>
      <c r="AD49" s="5" t="n">
        <v>1</v>
      </c>
      <c r="AZ49" s="5" t="n">
        <v>1</v>
      </c>
      <c r="BC49" s="5" t="e">
        <f aca="false">MatchData[cheval scored crossings]*5</f>
        <v>#VALUE!</v>
      </c>
      <c r="BD49" s="5" t="e">
        <f aca="false">MatchData[moat scored crosings]*5</f>
        <v>#VALUE!</v>
      </c>
      <c r="BE49" s="5" t="e">
        <f aca="false">MatchData[ramparts scored crossings]*5</f>
        <v>#VALUE!</v>
      </c>
      <c r="BF49" s="5" t="e">
        <f aca="false">MatchData[drawbridge scored crossings]*5</f>
        <v>#VALUE!</v>
      </c>
      <c r="BG49" s="5" t="e">
        <f aca="false">MatchData[sally port scored crossings]*5</f>
        <v>#VALUE!</v>
      </c>
      <c r="BH49" s="5" t="e">
        <f aca="false">MatchData[rock wall scored crossings]*5</f>
        <v>#VALUE!</v>
      </c>
      <c r="BI49" s="5" t="e">
        <f aca="false">MatchData[rough terrain scored crossings]*5</f>
        <v>#VALUE!</v>
      </c>
      <c r="BJ49" s="5" t="e">
        <f aca="false">MatchData[low bar scored crossings]*5</f>
        <v>#VALUE!</v>
      </c>
      <c r="BK49" s="5" t="e">
        <f aca="false">SUM(MatchData[[#this row],[low bar teleop crossings]:[rough terrain scored crossings]])</f>
        <v>#VALUE!</v>
      </c>
      <c r="BL49" s="5" t="e">
        <f aca="false">IFERROR(IF(OR(MatchData[[#this row],[challenge flag]],MatchData[[#this row],[climb flag]]),1,0),0)</f>
        <v>#VALUE!</v>
      </c>
      <c r="BM49" s="5" t="e">
        <f aca="false">MatchData[auto high goals]*10+MatchData[teleop high goals]*5</f>
        <v>#VALUE!</v>
      </c>
      <c r="BN49" s="5" t="e">
        <f aca="false">MatchData[auto low goals]*5+MatchData[teleop low goals]*2</f>
        <v>#VALUE!</v>
      </c>
      <c r="BO49" s="5" t="e">
        <f aca="false">MatchData[high goal score]+MatchData[low goal score]</f>
        <v>#VALUE!</v>
      </c>
      <c r="BP49" s="5" t="e">
        <f aca="false">MatchData[teleop high goals]+MatchData[teleop low goals]</f>
        <v>#VALUE!</v>
      </c>
      <c r="BQ49" s="5" t="e">
        <f aca="false">MatchData[[#this row],[auto reach flag]]*2+SUM(MatchData[[#this row],[portcullis auto crossings]:[low bar auto crossings]])*10+MatchData[[#this row],[auto low goals]]*5+MatchData[auto high goals]*10</f>
        <v>#VALUE!</v>
      </c>
      <c r="BR49" s="5" t="e">
        <f aca="false">SUM(MatchData[[#this row],[cheval teleop crossing score]:[low bar teleop crossing score]])</f>
        <v>#VALUE!</v>
      </c>
      <c r="BS49" s="5" t="e">
        <f aca="false">SUMIF(MatchData[team],MatchData[[#this row],[team]],MatchData[total auto score])/MatchData[match count]</f>
        <v>#VALUE!</v>
      </c>
      <c r="BT49" s="5" t="e">
        <f aca="false">MatchData[challenge flag]*5</f>
        <v>#VALUE!</v>
      </c>
      <c r="BU49" s="5" t="e">
        <f aca="false">MatchData[climb flag]*15</f>
        <v>#VALUE!</v>
      </c>
      <c r="BV49" s="5" t="e">
        <f aca="false">SUM(MatchData[[#this row],[total goal score]],MatchData[[#this row],[crossing score]],MatchData[[#this row],[challenge score]],MatchData[[#this row],[climb score]],MatchData[[#this row],[total auto score]])</f>
        <v>#VALUE!</v>
      </c>
      <c r="BW49" s="16" t="e">
        <f aca="false">ROUND(SUMIF(MatchData[team],MatchData[[#this row],[team]],MatchData[teleop low goals])/COUNTIF(MatchData[team],MatchData[[#this row],[team]]),2)</f>
        <v>#VALUE!</v>
      </c>
      <c r="BX49" s="16" t="e">
        <f aca="false">ROUND(SUMIF(MatchData[team],MatchData[[#this row],[team]],MatchData[teleop high goals])/COUNTIF(MatchData[team],MatchData[[#this row],[team]]),2)</f>
        <v>#VALUE!</v>
      </c>
      <c r="BY49" s="16" t="e">
        <f aca="false">COUNTIF(MatchData[team],MatchData[[#this row],[team]])</f>
        <v>#VALUE!</v>
      </c>
      <c r="BZ49" s="16" t="e">
        <f aca="false">SUMIF(MatchData[team],MatchData[[#this row],[team]],MatchData[portcullis available])</f>
        <v>#VALUE!</v>
      </c>
      <c r="CA49" s="16" t="e">
        <f aca="false">SUMIF(MatchData[team],MatchData[[#this row],[team]],MatchData[cheval available])</f>
        <v>#VALUE!</v>
      </c>
      <c r="CB49" s="16" t="e">
        <f aca="false">SUMIF(MatchData[team],MatchData[[#this row],[team]],MatchData[moat available])</f>
        <v>#VALUE!</v>
      </c>
      <c r="CC49" s="16" t="e">
        <f aca="false">SUMIF(MatchData[team],MatchData[[#this row],[team]],MatchData[ramparts available])</f>
        <v>#VALUE!</v>
      </c>
      <c r="CD49" s="16" t="e">
        <f aca="false">SUMIF(MatchData[team],MatchData[[#this row],[team]],MatchData[drawbridge available])</f>
        <v>#VALUE!</v>
      </c>
      <c r="CE49" s="16" t="e">
        <f aca="false">SUMIF(MatchData[team],MatchData[[#this row],[team]],MatchData[sally port available])</f>
        <v>#VALUE!</v>
      </c>
      <c r="CF49" s="16" t="e">
        <f aca="false">SUMIF(MatchData[team],MatchData[[#this row],[team]],MatchData[rock wall available])</f>
        <v>#VALUE!</v>
      </c>
      <c r="CG49" s="16" t="e">
        <f aca="false">SUMIF(MatchData[team],MatchData[[#this row],[team]],MatchData[rough terrain available])</f>
        <v>#VALUE!</v>
      </c>
      <c r="CH49" s="16" t="e">
        <f aca="false">SUMIF(MatchData[team],MatchData[[#this row],[team]],MatchData[low bar available])</f>
        <v>#VALUE!</v>
      </c>
      <c r="CI49" s="16" t="e">
        <f aca="false">SUMIF(MatchData[team],MatchData[[#this row],[team]],MatchData[portcullis teleop crossings]:MatchData[portcullis scored crossings])</f>
        <v>#VALUE!</v>
      </c>
      <c r="CJ49" s="16" t="e">
        <f aca="false">SUMIF(MatchData[team],MatchData[[#this row],[team]],MatchData[cheval teleop crossings])+SUMIF(MatchData[team],MatchData[[#this row],[team]],MatchData[cheval scored crossings])</f>
        <v>#VALUE!</v>
      </c>
      <c r="CK49" s="16" t="e">
        <f aca="false">SUMIF(MatchData[team],MatchData[[#this row],[team]],MatchData[moat teleop crossings])+SUMIF(MatchData[team],MatchData[[#this row],[team]],MatchData[moat scored crosings])</f>
        <v>#VALUE!</v>
      </c>
      <c r="CL49" s="16" t="e">
        <f aca="false">SUMIF(MatchData[team],MatchData[[#this row],[team]],MatchData[ramparts teleop crossings])+SUMIF(MatchData[team],MatchData[[#this row],[team]],MatchData[ramparts scored crossings])</f>
        <v>#VALUE!</v>
      </c>
      <c r="CM49" s="16" t="e">
        <f aca="false">SUMIF(MatchData[team],MatchData[[#this row],[team]],MatchData[drawbridge teleop crossings])+SUMIF(MatchData[team],MatchData[[#this row],[team]],MatchData[drawbridge scored crossings])</f>
        <v>#VALUE!</v>
      </c>
      <c r="CN49" s="16" t="e">
        <f aca="false">SUMIF(MatchData[team],MatchData[[#this row],[team]],MatchData[sally port teleop crossings])+SUMIF(MatchData[team],MatchData[[#this row],[team]],MatchData[sally port scored crossings])</f>
        <v>#VALUE!</v>
      </c>
      <c r="CO49" s="16" t="e">
        <f aca="false">SUMIF(MatchData[team],MatchData[[#this row],[team]],MatchData[rock wall teleop crossings])+SUMIF(MatchData[team],MatchData[[#this row],[team]],MatchData[rock wall scored crossings])</f>
        <v>#VALUE!</v>
      </c>
      <c r="CP49" s="16" t="e">
        <f aca="false">SUMIF(MatchData[team],MatchData[[#this row],[team]],MatchData[rough terrain teleop crossings])+SUMIF(MatchData[team],MatchData[[#this row],[team]],MatchData[rough terrain scored crossings])</f>
        <v>#VALUE!</v>
      </c>
      <c r="CQ49" s="16" t="e">
        <f aca="false">SUMIF(MatchData[team],MatchData[[#this row],[team]],MatchData[low bar teleop crossings])+SUMIF(MatchData[team],MatchData[[#this row],[team]],MatchData[low bar scored crossings])</f>
        <v>#VALUE!</v>
      </c>
      <c r="CR49" s="16" t="e">
        <f aca="false">IFERROR(ROUND(MatchData[[#this row],[portcullis sum]]/MatchData[[#this row],[portcullis avail count]],2),0)</f>
        <v>#VALUE!</v>
      </c>
      <c r="CS49" s="5" t="e">
        <f aca="false">IFERROR(ROUND(MatchData[[#this row],[cheval sum]]/MatchData[[#this row],[cheval avail count]],2),0)</f>
        <v>#VALUE!</v>
      </c>
      <c r="CT49" s="5" t="e">
        <f aca="false">IFERROR(ROUND(MatchData[[#this row],[moat sum]]/MatchData[[#this row],[moat avail count]],2),0)</f>
        <v>#VALUE!</v>
      </c>
      <c r="CU49" s="5" t="e">
        <f aca="false">IFERROR(ROUND(MatchData[[#this row],[ramparts sum]]/MatchData[[#this row],[ramparts avail count]],2),0)</f>
        <v>#VALUE!</v>
      </c>
      <c r="CV49" s="5" t="e">
        <f aca="false">IFERROR(ROUND(MatchData[[#this row],[drawbridge sum]]/MatchData[[#this row],[drawbridge avail countigh6]],2),0)</f>
        <v>#VALUE!</v>
      </c>
      <c r="CW49" s="5" t="e">
        <f aca="false">IFERROR(ROUND(MatchData[[#this row],[sally port sum]]/MatchData[[#this row],[sally port avail count]],2),0)</f>
        <v>#VALUE!</v>
      </c>
      <c r="CX49" s="5" t="e">
        <f aca="false">IFERROR(ROUND(MatchData[[#this row],[rock wall sum]]/MatchData[[#this row],[rock wall avail count]],2),0)</f>
        <v>#VALUE!</v>
      </c>
      <c r="CY49" s="5" t="e">
        <f aca="false">IFERROR(ROUND(MatchData[[#this row],[rough terrain sum]]/MatchData[[#this row],[rough terrain avail count]],2),0)</f>
        <v>#VALUE!</v>
      </c>
      <c r="CZ49" s="5" t="e">
        <f aca="false">IFERROR(ROUND(MatchData[[#this row],[low bar sum]]/MatchData[[#this row],[low bar avail count]],2),0)</f>
        <v>#VALUE!</v>
      </c>
      <c r="DA49" s="5" t="e">
        <f aca="false">SUM(MatchData[[#this row],[cheval sum]:[low bar sum]])/MatchData[match count]</f>
        <v>#VALUE!</v>
      </c>
      <c r="DB49" s="16" t="n">
        <f aca="false">MAX(IF(C$2:C$74=C49,BP$2:BP$74))</f>
        <v>-1.79769313486232E+308</v>
      </c>
      <c r="DC49" s="16" t="e">
        <f aca="false">AVERAGEIF(MatchData[team],MatchData[[#this row],[team]],MatchData[total score])</f>
        <v>#VALUE!</v>
      </c>
      <c r="DD49" s="16" t="e">
        <f aca="false">ROUND(AVERAGEIF(MatchData[team],MatchData[team],MatchData[climb or challenge flag]),2)</f>
        <v>#VALUE!</v>
      </c>
    </row>
    <row r="50" customFormat="false" ht="14.5" hidden="false" customHeight="false" outlineLevel="0" collapsed="false">
      <c r="A50" s="13" t="s">
        <v>108</v>
      </c>
      <c r="B50" s="14" t="n">
        <v>9</v>
      </c>
      <c r="C50" s="15" t="n">
        <v>2733</v>
      </c>
      <c r="D50" s="5" t="s">
        <v>109</v>
      </c>
      <c r="E50" s="5" t="s">
        <v>132</v>
      </c>
      <c r="H50" s="5"/>
      <c r="I50" s="5" t="n">
        <v>1</v>
      </c>
      <c r="J50" s="5" t="n">
        <v>1</v>
      </c>
      <c r="K50" s="5" t="n">
        <v>1</v>
      </c>
      <c r="L50" s="5"/>
      <c r="M50" s="5"/>
      <c r="N50" s="5" t="n">
        <v>1</v>
      </c>
      <c r="O50" s="5"/>
      <c r="P50" s="5" t="n">
        <v>1</v>
      </c>
      <c r="Q50" s="5" t="n">
        <v>1</v>
      </c>
      <c r="R50" s="0"/>
      <c r="T50" s="0"/>
      <c r="V50" s="0"/>
      <c r="W50" s="0"/>
      <c r="X50" s="0"/>
      <c r="AL50" s="5" t="n">
        <v>2</v>
      </c>
      <c r="AR50" s="5" t="n">
        <v>2</v>
      </c>
      <c r="AW50" s="5" t="n">
        <v>1</v>
      </c>
      <c r="BC50" s="5" t="e">
        <f aca="false">MatchData[cheval scored crossings]*5</f>
        <v>#VALUE!</v>
      </c>
      <c r="BD50" s="5" t="e">
        <f aca="false">MatchData[moat scored crosings]*5</f>
        <v>#VALUE!</v>
      </c>
      <c r="BE50" s="5" t="e">
        <f aca="false">MatchData[ramparts scored crossings]*5</f>
        <v>#VALUE!</v>
      </c>
      <c r="BF50" s="5" t="e">
        <f aca="false">MatchData[drawbridge scored crossings]*5</f>
        <v>#VALUE!</v>
      </c>
      <c r="BG50" s="5" t="e">
        <f aca="false">MatchData[sally port scored crossings]*5</f>
        <v>#VALUE!</v>
      </c>
      <c r="BH50" s="5" t="e">
        <f aca="false">MatchData[rock wall scored crossings]*5</f>
        <v>#VALUE!</v>
      </c>
      <c r="BI50" s="5" t="e">
        <f aca="false">MatchData[rough terrain scored crossings]*5</f>
        <v>#VALUE!</v>
      </c>
      <c r="BJ50" s="5" t="e">
        <f aca="false">MatchData[low bar scored crossings]*5</f>
        <v>#VALUE!</v>
      </c>
      <c r="BK50" s="5" t="e">
        <f aca="false">SUM(MatchData[[#this row],[low bar teleop crossings]:[rough terrain scored crossings]])</f>
        <v>#VALUE!</v>
      </c>
      <c r="BL50" s="5" t="e">
        <f aca="false">IFERROR(IF(OR(MatchData[[#this row],[challenge flag]],MatchData[[#this row],[climb flag]]),1,0),0)</f>
        <v>#VALUE!</v>
      </c>
      <c r="BM50" s="5" t="e">
        <f aca="false">MatchData[auto high goals]*10+MatchData[teleop high goals]*5</f>
        <v>#VALUE!</v>
      </c>
      <c r="BN50" s="5" t="e">
        <f aca="false">MatchData[auto low goals]*5+MatchData[teleop low goals]*2</f>
        <v>#VALUE!</v>
      </c>
      <c r="BO50" s="5" t="e">
        <f aca="false">MatchData[high goal score]+MatchData[low goal score]</f>
        <v>#VALUE!</v>
      </c>
      <c r="BP50" s="5" t="e">
        <f aca="false">MatchData[teleop high goals]+MatchData[teleop low goals]</f>
        <v>#VALUE!</v>
      </c>
      <c r="BQ50" s="5" t="e">
        <f aca="false">MatchData[[#this row],[auto reach flag]]*2+SUM(MatchData[[#this row],[portcullis auto crossings]:[low bar auto crossings]])*10+MatchData[[#this row],[auto low goals]]*5+MatchData[auto high goals]*10</f>
        <v>#VALUE!</v>
      </c>
      <c r="BR50" s="5" t="e">
        <f aca="false">SUM(MatchData[[#this row],[cheval teleop crossing score]:[low bar teleop crossing score]])</f>
        <v>#VALUE!</v>
      </c>
      <c r="BS50" s="5" t="e">
        <f aca="false">SUMIF(MatchData[team],MatchData[[#this row],[team]],MatchData[total auto score])/MatchData[match count]</f>
        <v>#VALUE!</v>
      </c>
      <c r="BT50" s="5" t="e">
        <f aca="false">MatchData[challenge flag]*5</f>
        <v>#VALUE!</v>
      </c>
      <c r="BU50" s="5" t="e">
        <f aca="false">MatchData[climb flag]*15</f>
        <v>#VALUE!</v>
      </c>
      <c r="BV50" s="5" t="e">
        <f aca="false">SUM(MatchData[[#this row],[total goal score]],MatchData[[#this row],[crossing score]],MatchData[[#this row],[challenge score]],MatchData[[#this row],[climb score]],MatchData[[#this row],[total auto score]])</f>
        <v>#VALUE!</v>
      </c>
      <c r="BW50" s="16" t="e">
        <f aca="false">ROUND(SUMIF(MatchData[team],MatchData[[#this row],[team]],MatchData[teleop low goals])/COUNTIF(MatchData[team],MatchData[[#this row],[team]]),2)</f>
        <v>#VALUE!</v>
      </c>
      <c r="BX50" s="16" t="e">
        <f aca="false">ROUND(SUMIF(MatchData[team],MatchData[[#this row],[team]],MatchData[teleop high goals])/COUNTIF(MatchData[team],MatchData[[#this row],[team]]),2)</f>
        <v>#VALUE!</v>
      </c>
      <c r="BY50" s="16" t="e">
        <f aca="false">COUNTIF(MatchData[team],MatchData[[#this row],[team]])</f>
        <v>#VALUE!</v>
      </c>
      <c r="BZ50" s="16" t="e">
        <f aca="false">SUMIF(MatchData[team],MatchData[[#this row],[team]],MatchData[portcullis available])</f>
        <v>#VALUE!</v>
      </c>
      <c r="CA50" s="16" t="e">
        <f aca="false">SUMIF(MatchData[team],MatchData[[#this row],[team]],MatchData[cheval available])</f>
        <v>#VALUE!</v>
      </c>
      <c r="CB50" s="16" t="e">
        <f aca="false">SUMIF(MatchData[team],MatchData[[#this row],[team]],MatchData[moat available])</f>
        <v>#VALUE!</v>
      </c>
      <c r="CC50" s="16" t="e">
        <f aca="false">SUMIF(MatchData[team],MatchData[[#this row],[team]],MatchData[ramparts available])</f>
        <v>#VALUE!</v>
      </c>
      <c r="CD50" s="16" t="e">
        <f aca="false">SUMIF(MatchData[team],MatchData[[#this row],[team]],MatchData[drawbridge available])</f>
        <v>#VALUE!</v>
      </c>
      <c r="CE50" s="16" t="e">
        <f aca="false">SUMIF(MatchData[team],MatchData[[#this row],[team]],MatchData[sally port available])</f>
        <v>#VALUE!</v>
      </c>
      <c r="CF50" s="16" t="e">
        <f aca="false">SUMIF(MatchData[team],MatchData[[#this row],[team]],MatchData[rock wall available])</f>
        <v>#VALUE!</v>
      </c>
      <c r="CG50" s="16" t="e">
        <f aca="false">SUMIF(MatchData[team],MatchData[[#this row],[team]],MatchData[rough terrain available])</f>
        <v>#VALUE!</v>
      </c>
      <c r="CH50" s="16" t="e">
        <f aca="false">SUMIF(MatchData[team],MatchData[[#this row],[team]],MatchData[low bar available])</f>
        <v>#VALUE!</v>
      </c>
      <c r="CI50" s="16" t="e">
        <f aca="false">SUMIF(MatchData[team],MatchData[[#this row],[team]],MatchData[portcullis teleop crossings]:MatchData[portcullis scored crossings])</f>
        <v>#VALUE!</v>
      </c>
      <c r="CJ50" s="16" t="e">
        <f aca="false">SUMIF(MatchData[team],MatchData[[#this row],[team]],MatchData[cheval teleop crossings])+SUMIF(MatchData[team],MatchData[[#this row],[team]],MatchData[cheval scored crossings])</f>
        <v>#VALUE!</v>
      </c>
      <c r="CK50" s="16" t="e">
        <f aca="false">SUMIF(MatchData[team],MatchData[[#this row],[team]],MatchData[moat teleop crossings])+SUMIF(MatchData[team],MatchData[[#this row],[team]],MatchData[moat scored crosings])</f>
        <v>#VALUE!</v>
      </c>
      <c r="CL50" s="16" t="e">
        <f aca="false">SUMIF(MatchData[team],MatchData[[#this row],[team]],MatchData[ramparts teleop crossings])+SUMIF(MatchData[team],MatchData[[#this row],[team]],MatchData[ramparts scored crossings])</f>
        <v>#VALUE!</v>
      </c>
      <c r="CM50" s="16" t="e">
        <f aca="false">SUMIF(MatchData[team],MatchData[[#this row],[team]],MatchData[drawbridge teleop crossings])+SUMIF(MatchData[team],MatchData[[#this row],[team]],MatchData[drawbridge scored crossings])</f>
        <v>#VALUE!</v>
      </c>
      <c r="CN50" s="16" t="e">
        <f aca="false">SUMIF(MatchData[team],MatchData[[#this row],[team]],MatchData[sally port teleop crossings])+SUMIF(MatchData[team],MatchData[[#this row],[team]],MatchData[sally port scored crossings])</f>
        <v>#VALUE!</v>
      </c>
      <c r="CO50" s="16" t="e">
        <f aca="false">SUMIF(MatchData[team],MatchData[[#this row],[team]],MatchData[rock wall teleop crossings])+SUMIF(MatchData[team],MatchData[[#this row],[team]],MatchData[rock wall scored crossings])</f>
        <v>#VALUE!</v>
      </c>
      <c r="CP50" s="16" t="e">
        <f aca="false">SUMIF(MatchData[team],MatchData[[#this row],[team]],MatchData[rough terrain teleop crossings])+SUMIF(MatchData[team],MatchData[[#this row],[team]],MatchData[rough terrain scored crossings])</f>
        <v>#VALUE!</v>
      </c>
      <c r="CQ50" s="16" t="e">
        <f aca="false">SUMIF(MatchData[team],MatchData[[#this row],[team]],MatchData[low bar teleop crossings])+SUMIF(MatchData[team],MatchData[[#this row],[team]],MatchData[low bar scored crossings])</f>
        <v>#VALUE!</v>
      </c>
      <c r="CR50" s="16" t="e">
        <f aca="false">IFERROR(ROUND(MatchData[[#this row],[portcullis sum]]/MatchData[[#this row],[portcullis avail count]],2),0)</f>
        <v>#VALUE!</v>
      </c>
      <c r="CS50" s="5" t="e">
        <f aca="false">IFERROR(ROUND(MatchData[[#this row],[cheval sum]]/MatchData[[#this row],[cheval avail count]],2),0)</f>
        <v>#VALUE!</v>
      </c>
      <c r="CT50" s="5" t="e">
        <f aca="false">IFERROR(ROUND(MatchData[[#this row],[moat sum]]/MatchData[[#this row],[moat avail count]],2),0)</f>
        <v>#VALUE!</v>
      </c>
      <c r="CU50" s="5" t="e">
        <f aca="false">IFERROR(ROUND(MatchData[[#this row],[ramparts sum]]/MatchData[[#this row],[ramparts avail count]],2),0)</f>
        <v>#VALUE!</v>
      </c>
      <c r="CV50" s="5" t="e">
        <f aca="false">IFERROR(ROUND(MatchData[[#this row],[drawbridge sum]]/MatchData[[#this row],[drawbridge avail countigh6]],2),0)</f>
        <v>#VALUE!</v>
      </c>
      <c r="CW50" s="5" t="e">
        <f aca="false">IFERROR(ROUND(MatchData[[#this row],[sally port sum]]/MatchData[[#this row],[sally port avail count]],2),0)</f>
        <v>#VALUE!</v>
      </c>
      <c r="CX50" s="5" t="e">
        <f aca="false">IFERROR(ROUND(MatchData[[#this row],[rock wall sum]]/MatchData[[#this row],[rock wall avail count]],2),0)</f>
        <v>#VALUE!</v>
      </c>
      <c r="CY50" s="5" t="e">
        <f aca="false">IFERROR(ROUND(MatchData[[#this row],[rough terrain sum]]/MatchData[[#this row],[rough terrain avail count]],2),0)</f>
        <v>#VALUE!</v>
      </c>
      <c r="CZ50" s="5" t="e">
        <f aca="false">IFERROR(ROUND(MatchData[[#this row],[low bar sum]]/MatchData[[#this row],[low bar avail count]],2),0)</f>
        <v>#VALUE!</v>
      </c>
      <c r="DA50" s="5" t="e">
        <f aca="false">SUM(MatchData[[#this row],[cheval sum]:[low bar sum]])/MatchData[match count]</f>
        <v>#VALUE!</v>
      </c>
      <c r="DB50" s="16" t="n">
        <f aca="false">MAX(IF(C$2:C$74=C50,BP$2:BP$74))</f>
        <v>-1.79769313486232E+308</v>
      </c>
      <c r="DC50" s="16" t="e">
        <f aca="false">AVERAGEIF(MatchData[team],MatchData[[#this row],[team]],MatchData[total score])</f>
        <v>#VALUE!</v>
      </c>
      <c r="DD50" s="16" t="e">
        <f aca="false">ROUND(AVERAGEIF(MatchData[team],MatchData[team],MatchData[climb or challenge flag]),2)</f>
        <v>#VALUE!</v>
      </c>
    </row>
    <row r="51" customFormat="false" ht="14.5" hidden="false" customHeight="false" outlineLevel="0" collapsed="false">
      <c r="A51" s="13" t="s">
        <v>108</v>
      </c>
      <c r="B51" s="14" t="n">
        <v>9</v>
      </c>
      <c r="C51" s="15" t="n">
        <v>3192</v>
      </c>
      <c r="D51" s="5" t="s">
        <v>109</v>
      </c>
      <c r="E51" s="5" t="s">
        <v>133</v>
      </c>
      <c r="H51" s="5"/>
      <c r="J51" s="5" t="n">
        <v>1</v>
      </c>
      <c r="K51" s="5" t="n">
        <v>1</v>
      </c>
      <c r="L51" s="5"/>
      <c r="M51" s="5"/>
      <c r="N51" s="5" t="n">
        <v>1</v>
      </c>
      <c r="O51" s="5"/>
      <c r="P51" s="5" t="n">
        <v>1</v>
      </c>
      <c r="Q51" s="5" t="n">
        <v>1</v>
      </c>
      <c r="R51" s="0"/>
      <c r="T51" s="0"/>
      <c r="V51" s="0"/>
      <c r="W51" s="0"/>
      <c r="X51" s="0"/>
      <c r="BC51" s="5" t="e">
        <f aca="false">MatchData[cheval scored crossings]*5</f>
        <v>#VALUE!</v>
      </c>
      <c r="BD51" s="5" t="e">
        <f aca="false">MatchData[moat scored crosings]*5</f>
        <v>#VALUE!</v>
      </c>
      <c r="BE51" s="5" t="e">
        <f aca="false">MatchData[ramparts scored crossings]*5</f>
        <v>#VALUE!</v>
      </c>
      <c r="BF51" s="5" t="e">
        <f aca="false">MatchData[drawbridge scored crossings]*5</f>
        <v>#VALUE!</v>
      </c>
      <c r="BG51" s="5" t="e">
        <f aca="false">MatchData[sally port scored crossings]*5</f>
        <v>#VALUE!</v>
      </c>
      <c r="BH51" s="5" t="e">
        <f aca="false">MatchData[rock wall scored crossings]*5</f>
        <v>#VALUE!</v>
      </c>
      <c r="BI51" s="5" t="e">
        <f aca="false">MatchData[rough terrain scored crossings]*5</f>
        <v>#VALUE!</v>
      </c>
      <c r="BJ51" s="5" t="e">
        <f aca="false">MatchData[low bar scored crossings]*5</f>
        <v>#VALUE!</v>
      </c>
      <c r="BK51" s="5" t="e">
        <f aca="false">SUM(MatchData[[#this row],[low bar teleop crossings]:[rough terrain scored crossings]])</f>
        <v>#VALUE!</v>
      </c>
      <c r="BL51" s="5" t="e">
        <f aca="false">IFERROR(IF(OR(MatchData[[#this row],[challenge flag]],MatchData[[#this row],[climb flag]]),1,0),0)</f>
        <v>#VALUE!</v>
      </c>
      <c r="BM51" s="5" t="e">
        <f aca="false">MatchData[auto high goals]*10+MatchData[teleop high goals]*5</f>
        <v>#VALUE!</v>
      </c>
      <c r="BN51" s="5" t="e">
        <f aca="false">MatchData[auto low goals]*5+MatchData[teleop low goals]*2</f>
        <v>#VALUE!</v>
      </c>
      <c r="BO51" s="5" t="e">
        <f aca="false">MatchData[high goal score]+MatchData[low goal score]</f>
        <v>#VALUE!</v>
      </c>
      <c r="BP51" s="5" t="e">
        <f aca="false">MatchData[teleop high goals]+MatchData[teleop low goals]</f>
        <v>#VALUE!</v>
      </c>
      <c r="BQ51" s="5" t="e">
        <f aca="false">MatchData[[#this row],[auto reach flag]]*2+SUM(MatchData[[#this row],[portcullis auto crossings]:[low bar auto crossings]])*10+MatchData[[#this row],[auto low goals]]*5+MatchData[auto high goals]*10</f>
        <v>#VALUE!</v>
      </c>
      <c r="BR51" s="5" t="e">
        <f aca="false">SUM(MatchData[[#this row],[cheval teleop crossing score]:[low bar teleop crossing score]])</f>
        <v>#VALUE!</v>
      </c>
      <c r="BS51" s="5" t="e">
        <f aca="false">SUMIF(MatchData[team],MatchData[[#this row],[team]],MatchData[total auto score])/MatchData[match count]</f>
        <v>#VALUE!</v>
      </c>
      <c r="BT51" s="5" t="e">
        <f aca="false">MatchData[challenge flag]*5</f>
        <v>#VALUE!</v>
      </c>
      <c r="BU51" s="5" t="e">
        <f aca="false">MatchData[climb flag]*15</f>
        <v>#VALUE!</v>
      </c>
      <c r="BV51" s="5" t="e">
        <f aca="false">SUM(MatchData[[#this row],[total goal score]],MatchData[[#this row],[crossing score]],MatchData[[#this row],[challenge score]],MatchData[[#this row],[climb score]],MatchData[[#this row],[total auto score]])</f>
        <v>#VALUE!</v>
      </c>
      <c r="BW51" s="16" t="e">
        <f aca="false">ROUND(SUMIF(MatchData[team],MatchData[[#this row],[team]],MatchData[teleop low goals])/COUNTIF(MatchData[team],MatchData[[#this row],[team]]),2)</f>
        <v>#VALUE!</v>
      </c>
      <c r="BX51" s="16" t="e">
        <f aca="false">ROUND(SUMIF(MatchData[team],MatchData[[#this row],[team]],MatchData[teleop high goals])/COUNTIF(MatchData[team],MatchData[[#this row],[team]]),2)</f>
        <v>#VALUE!</v>
      </c>
      <c r="BY51" s="16" t="e">
        <f aca="false">COUNTIF(MatchData[team],MatchData[[#this row],[team]])</f>
        <v>#VALUE!</v>
      </c>
      <c r="BZ51" s="16" t="e">
        <f aca="false">SUMIF(MatchData[team],MatchData[[#this row],[team]],MatchData[portcullis available])</f>
        <v>#VALUE!</v>
      </c>
      <c r="CA51" s="16" t="e">
        <f aca="false">SUMIF(MatchData[team],MatchData[[#this row],[team]],MatchData[cheval available])</f>
        <v>#VALUE!</v>
      </c>
      <c r="CB51" s="16" t="e">
        <f aca="false">SUMIF(MatchData[team],MatchData[[#this row],[team]],MatchData[moat available])</f>
        <v>#VALUE!</v>
      </c>
      <c r="CC51" s="16" t="e">
        <f aca="false">SUMIF(MatchData[team],MatchData[[#this row],[team]],MatchData[ramparts available])</f>
        <v>#VALUE!</v>
      </c>
      <c r="CD51" s="16" t="e">
        <f aca="false">SUMIF(MatchData[team],MatchData[[#this row],[team]],MatchData[drawbridge available])</f>
        <v>#VALUE!</v>
      </c>
      <c r="CE51" s="16" t="e">
        <f aca="false">SUMIF(MatchData[team],MatchData[[#this row],[team]],MatchData[sally port available])</f>
        <v>#VALUE!</v>
      </c>
      <c r="CF51" s="16" t="e">
        <f aca="false">SUMIF(MatchData[team],MatchData[[#this row],[team]],MatchData[rock wall available])</f>
        <v>#VALUE!</v>
      </c>
      <c r="CG51" s="16" t="e">
        <f aca="false">SUMIF(MatchData[team],MatchData[[#this row],[team]],MatchData[rough terrain available])</f>
        <v>#VALUE!</v>
      </c>
      <c r="CH51" s="16" t="e">
        <f aca="false">SUMIF(MatchData[team],MatchData[[#this row],[team]],MatchData[low bar available])</f>
        <v>#VALUE!</v>
      </c>
      <c r="CI51" s="16" t="e">
        <f aca="false">SUMIF(MatchData[team],MatchData[[#this row],[team]],MatchData[portcullis teleop crossings]:MatchData[portcullis scored crossings])</f>
        <v>#VALUE!</v>
      </c>
      <c r="CJ51" s="16" t="e">
        <f aca="false">SUMIF(MatchData[team],MatchData[[#this row],[team]],MatchData[cheval teleop crossings])+SUMIF(MatchData[team],MatchData[[#this row],[team]],MatchData[cheval scored crossings])</f>
        <v>#VALUE!</v>
      </c>
      <c r="CK51" s="16" t="e">
        <f aca="false">SUMIF(MatchData[team],MatchData[[#this row],[team]],MatchData[moat teleop crossings])+SUMIF(MatchData[team],MatchData[[#this row],[team]],MatchData[moat scored crosings])</f>
        <v>#VALUE!</v>
      </c>
      <c r="CL51" s="16" t="e">
        <f aca="false">SUMIF(MatchData[team],MatchData[[#this row],[team]],MatchData[ramparts teleop crossings])+SUMIF(MatchData[team],MatchData[[#this row],[team]],MatchData[ramparts scored crossings])</f>
        <v>#VALUE!</v>
      </c>
      <c r="CM51" s="16" t="e">
        <f aca="false">SUMIF(MatchData[team],MatchData[[#this row],[team]],MatchData[drawbridge teleop crossings])+SUMIF(MatchData[team],MatchData[[#this row],[team]],MatchData[drawbridge scored crossings])</f>
        <v>#VALUE!</v>
      </c>
      <c r="CN51" s="16" t="e">
        <f aca="false">SUMIF(MatchData[team],MatchData[[#this row],[team]],MatchData[sally port teleop crossings])+SUMIF(MatchData[team],MatchData[[#this row],[team]],MatchData[sally port scored crossings])</f>
        <v>#VALUE!</v>
      </c>
      <c r="CO51" s="16" t="e">
        <f aca="false">SUMIF(MatchData[team],MatchData[[#this row],[team]],MatchData[rock wall teleop crossings])+SUMIF(MatchData[team],MatchData[[#this row],[team]],MatchData[rock wall scored crossings])</f>
        <v>#VALUE!</v>
      </c>
      <c r="CP51" s="16" t="e">
        <f aca="false">SUMIF(MatchData[team],MatchData[[#this row],[team]],MatchData[rough terrain teleop crossings])+SUMIF(MatchData[team],MatchData[[#this row],[team]],MatchData[rough terrain scored crossings])</f>
        <v>#VALUE!</v>
      </c>
      <c r="CQ51" s="16" t="e">
        <f aca="false">SUMIF(MatchData[team],MatchData[[#this row],[team]],MatchData[low bar teleop crossings])+SUMIF(MatchData[team],MatchData[[#this row],[team]],MatchData[low bar scored crossings])</f>
        <v>#VALUE!</v>
      </c>
      <c r="CR51" s="16" t="e">
        <f aca="false">IFERROR(ROUND(MatchData[[#this row],[portcullis sum]]/MatchData[[#this row],[portcullis avail count]],2),0)</f>
        <v>#VALUE!</v>
      </c>
      <c r="CS51" s="5" t="e">
        <f aca="false">IFERROR(ROUND(MatchData[[#this row],[cheval sum]]/MatchData[[#this row],[cheval avail count]],2),0)</f>
        <v>#VALUE!</v>
      </c>
      <c r="CT51" s="5" t="e">
        <f aca="false">IFERROR(ROUND(MatchData[[#this row],[moat sum]]/MatchData[[#this row],[moat avail count]],2),0)</f>
        <v>#VALUE!</v>
      </c>
      <c r="CU51" s="5" t="e">
        <f aca="false">IFERROR(ROUND(MatchData[[#this row],[ramparts sum]]/MatchData[[#this row],[ramparts avail count]],2),0)</f>
        <v>#VALUE!</v>
      </c>
      <c r="CV51" s="5" t="e">
        <f aca="false">IFERROR(ROUND(MatchData[[#this row],[drawbridge sum]]/MatchData[[#this row],[drawbridge avail countigh6]],2),0)</f>
        <v>#VALUE!</v>
      </c>
      <c r="CW51" s="5" t="e">
        <f aca="false">IFERROR(ROUND(MatchData[[#this row],[sally port sum]]/MatchData[[#this row],[sally port avail count]],2),0)</f>
        <v>#VALUE!</v>
      </c>
      <c r="CX51" s="5" t="e">
        <f aca="false">IFERROR(ROUND(MatchData[[#this row],[rock wall sum]]/MatchData[[#this row],[rock wall avail count]],2),0)</f>
        <v>#VALUE!</v>
      </c>
      <c r="CY51" s="5" t="e">
        <f aca="false">IFERROR(ROUND(MatchData[[#this row],[rough terrain sum]]/MatchData[[#this row],[rough terrain avail count]],2),0)</f>
        <v>#VALUE!</v>
      </c>
      <c r="CZ51" s="5" t="e">
        <f aca="false">IFERROR(ROUND(MatchData[[#this row],[low bar sum]]/MatchData[[#this row],[low bar avail count]],2),0)</f>
        <v>#VALUE!</v>
      </c>
      <c r="DA51" s="5" t="e">
        <f aca="false">SUM(MatchData[[#this row],[cheval sum]:[low bar sum]])/MatchData[match count]</f>
        <v>#VALUE!</v>
      </c>
      <c r="DB51" s="16" t="n">
        <f aca="false">MAX(IF(C$2:C$74=C51,BP$2:BP$74))</f>
        <v>-1.79769313486232E+308</v>
      </c>
      <c r="DC51" s="16" t="e">
        <f aca="false">AVERAGEIF(MatchData[team],MatchData[[#this row],[team]],MatchData[total score])</f>
        <v>#VALUE!</v>
      </c>
      <c r="DD51" s="16" t="e">
        <f aca="false">ROUND(AVERAGEIF(MatchData[team],MatchData[team],MatchData[climb or challenge flag]),2)</f>
        <v>#VALUE!</v>
      </c>
    </row>
    <row r="52" customFormat="false" ht="14.5" hidden="false" customHeight="false" outlineLevel="0" collapsed="false">
      <c r="A52" s="17" t="s">
        <v>108</v>
      </c>
      <c r="B52" s="18" t="n">
        <v>9</v>
      </c>
      <c r="C52" s="15" t="n">
        <v>3711</v>
      </c>
      <c r="D52" s="5" t="s">
        <v>109</v>
      </c>
      <c r="E52" s="5" t="s">
        <v>119</v>
      </c>
      <c r="H52" s="5"/>
      <c r="J52" s="5" t="n">
        <v>1</v>
      </c>
      <c r="K52" s="5" t="n">
        <v>1</v>
      </c>
      <c r="L52" s="5"/>
      <c r="M52" s="5"/>
      <c r="N52" s="5" t="n">
        <v>1</v>
      </c>
      <c r="O52" s="5"/>
      <c r="P52" s="5" t="n">
        <v>1</v>
      </c>
      <c r="Q52" s="5" t="n">
        <v>1</v>
      </c>
      <c r="R52" s="0"/>
      <c r="T52" s="0"/>
      <c r="V52" s="0"/>
      <c r="W52" s="0"/>
      <c r="X52" s="0"/>
      <c r="AD52" s="5" t="n">
        <v>1</v>
      </c>
      <c r="AF52" s="5" t="n">
        <v>1</v>
      </c>
      <c r="AW52" s="5" t="n">
        <v>1</v>
      </c>
      <c r="BC52" s="5" t="e">
        <f aca="false">MatchData[cheval scored crossings]*5</f>
        <v>#VALUE!</v>
      </c>
      <c r="BD52" s="5" t="e">
        <f aca="false">MatchData[moat scored crosings]*5</f>
        <v>#VALUE!</v>
      </c>
      <c r="BE52" s="5" t="e">
        <f aca="false">MatchData[ramparts scored crossings]*5</f>
        <v>#VALUE!</v>
      </c>
      <c r="BF52" s="5" t="e">
        <f aca="false">MatchData[drawbridge scored crossings]*5</f>
        <v>#VALUE!</v>
      </c>
      <c r="BG52" s="5" t="e">
        <f aca="false">MatchData[sally port scored crossings]*5</f>
        <v>#VALUE!</v>
      </c>
      <c r="BH52" s="5" t="e">
        <f aca="false">MatchData[rock wall scored crossings]*5</f>
        <v>#VALUE!</v>
      </c>
      <c r="BI52" s="5" t="e">
        <f aca="false">MatchData[rough terrain scored crossings]*5</f>
        <v>#VALUE!</v>
      </c>
      <c r="BJ52" s="5" t="e">
        <f aca="false">MatchData[low bar scored crossings]*5</f>
        <v>#VALUE!</v>
      </c>
      <c r="BK52" s="5" t="e">
        <f aca="false">SUM(MatchData[[#this row],[low bar teleop crossings]:[rough terrain scored crossings]])</f>
        <v>#VALUE!</v>
      </c>
      <c r="BL52" s="5" t="e">
        <f aca="false">IFERROR(IF(OR(MatchData[[#this row],[challenge flag]],MatchData[[#this row],[climb flag]]),1,0),0)</f>
        <v>#VALUE!</v>
      </c>
      <c r="BM52" s="5" t="e">
        <f aca="false">MatchData[auto high goals]*10+MatchData[teleop high goals]*5</f>
        <v>#VALUE!</v>
      </c>
      <c r="BN52" s="5" t="e">
        <f aca="false">MatchData[auto low goals]*5+MatchData[teleop low goals]*2</f>
        <v>#VALUE!</v>
      </c>
      <c r="BO52" s="5" t="e">
        <f aca="false">MatchData[high goal score]+MatchData[low goal score]</f>
        <v>#VALUE!</v>
      </c>
      <c r="BP52" s="5" t="e">
        <f aca="false">MatchData[teleop high goals]+MatchData[teleop low goals]</f>
        <v>#VALUE!</v>
      </c>
      <c r="BQ52" s="5" t="e">
        <f aca="false">MatchData[[#this row],[auto reach flag]]*2+SUM(MatchData[[#this row],[portcullis auto crossings]:[low bar auto crossings]])*10+MatchData[[#this row],[auto low goals]]*5+MatchData[auto high goals]*10</f>
        <v>#VALUE!</v>
      </c>
      <c r="BR52" s="5" t="e">
        <f aca="false">SUM(MatchData[[#this row],[cheval teleop crossing score]:[low bar teleop crossing score]])</f>
        <v>#VALUE!</v>
      </c>
      <c r="BS52" s="5" t="e">
        <f aca="false">SUMIF(MatchData[team],MatchData[[#this row],[team]],MatchData[total auto score])/MatchData[match count]</f>
        <v>#VALUE!</v>
      </c>
      <c r="BT52" s="5" t="e">
        <f aca="false">MatchData[challenge flag]*5</f>
        <v>#VALUE!</v>
      </c>
      <c r="BU52" s="5" t="e">
        <f aca="false">MatchData[climb flag]*15</f>
        <v>#VALUE!</v>
      </c>
      <c r="BV52" s="5" t="e">
        <f aca="false">SUM(MatchData[[#this row],[total goal score]],MatchData[[#this row],[crossing score]],MatchData[[#this row],[challenge score]],MatchData[[#this row],[climb score]],MatchData[[#this row],[total auto score]])</f>
        <v>#VALUE!</v>
      </c>
      <c r="BW52" s="16" t="e">
        <f aca="false">ROUND(SUMIF(MatchData[team],MatchData[[#this row],[team]],MatchData[teleop low goals])/COUNTIF(MatchData[team],MatchData[[#this row],[team]]),2)</f>
        <v>#VALUE!</v>
      </c>
      <c r="BX52" s="16" t="e">
        <f aca="false">ROUND(SUMIF(MatchData[team],MatchData[[#this row],[team]],MatchData[teleop high goals])/COUNTIF(MatchData[team],MatchData[[#this row],[team]]),2)</f>
        <v>#VALUE!</v>
      </c>
      <c r="BY52" s="16" t="e">
        <f aca="false">COUNTIF(MatchData[team],MatchData[[#this row],[team]])</f>
        <v>#VALUE!</v>
      </c>
      <c r="BZ52" s="16" t="e">
        <f aca="false">SUMIF(MatchData[team],MatchData[[#this row],[team]],MatchData[portcullis available])</f>
        <v>#VALUE!</v>
      </c>
      <c r="CA52" s="16" t="e">
        <f aca="false">SUMIF(MatchData[team],MatchData[[#this row],[team]],MatchData[cheval available])</f>
        <v>#VALUE!</v>
      </c>
      <c r="CB52" s="16" t="e">
        <f aca="false">SUMIF(MatchData[team],MatchData[[#this row],[team]],MatchData[moat available])</f>
        <v>#VALUE!</v>
      </c>
      <c r="CC52" s="16" t="e">
        <f aca="false">SUMIF(MatchData[team],MatchData[[#this row],[team]],MatchData[ramparts available])</f>
        <v>#VALUE!</v>
      </c>
      <c r="CD52" s="16" t="e">
        <f aca="false">SUMIF(MatchData[team],MatchData[[#this row],[team]],MatchData[drawbridge available])</f>
        <v>#VALUE!</v>
      </c>
      <c r="CE52" s="16" t="e">
        <f aca="false">SUMIF(MatchData[team],MatchData[[#this row],[team]],MatchData[sally port available])</f>
        <v>#VALUE!</v>
      </c>
      <c r="CF52" s="16" t="e">
        <f aca="false">SUMIF(MatchData[team],MatchData[[#this row],[team]],MatchData[rock wall available])</f>
        <v>#VALUE!</v>
      </c>
      <c r="CG52" s="16" t="e">
        <f aca="false">SUMIF(MatchData[team],MatchData[[#this row],[team]],MatchData[rough terrain available])</f>
        <v>#VALUE!</v>
      </c>
      <c r="CH52" s="16" t="e">
        <f aca="false">SUMIF(MatchData[team],MatchData[[#this row],[team]],MatchData[low bar available])</f>
        <v>#VALUE!</v>
      </c>
      <c r="CI52" s="16" t="e">
        <f aca="false">SUMIF(MatchData[team],MatchData[[#this row],[team]],MatchData[portcullis teleop crossings]:MatchData[portcullis scored crossings])</f>
        <v>#VALUE!</v>
      </c>
      <c r="CJ52" s="16" t="e">
        <f aca="false">SUMIF(MatchData[team],MatchData[[#this row],[team]],MatchData[cheval teleop crossings])+SUMIF(MatchData[team],MatchData[[#this row],[team]],MatchData[cheval scored crossings])</f>
        <v>#VALUE!</v>
      </c>
      <c r="CK52" s="16" t="e">
        <f aca="false">SUMIF(MatchData[team],MatchData[[#this row],[team]],MatchData[moat teleop crossings])+SUMIF(MatchData[team],MatchData[[#this row],[team]],MatchData[moat scored crosings])</f>
        <v>#VALUE!</v>
      </c>
      <c r="CL52" s="16" t="e">
        <f aca="false">SUMIF(MatchData[team],MatchData[[#this row],[team]],MatchData[ramparts teleop crossings])+SUMIF(MatchData[team],MatchData[[#this row],[team]],MatchData[ramparts scored crossings])</f>
        <v>#VALUE!</v>
      </c>
      <c r="CM52" s="16" t="e">
        <f aca="false">SUMIF(MatchData[team],MatchData[[#this row],[team]],MatchData[drawbridge teleop crossings])+SUMIF(MatchData[team],MatchData[[#this row],[team]],MatchData[drawbridge scored crossings])</f>
        <v>#VALUE!</v>
      </c>
      <c r="CN52" s="16" t="e">
        <f aca="false">SUMIF(MatchData[team],MatchData[[#this row],[team]],MatchData[sally port teleop crossings])+SUMIF(MatchData[team],MatchData[[#this row],[team]],MatchData[sally port scored crossings])</f>
        <v>#VALUE!</v>
      </c>
      <c r="CO52" s="16" t="e">
        <f aca="false">SUMIF(MatchData[team],MatchData[[#this row],[team]],MatchData[rock wall teleop crossings])+SUMIF(MatchData[team],MatchData[[#this row],[team]],MatchData[rock wall scored crossings])</f>
        <v>#VALUE!</v>
      </c>
      <c r="CP52" s="16" t="e">
        <f aca="false">SUMIF(MatchData[team],MatchData[[#this row],[team]],MatchData[rough terrain teleop crossings])+SUMIF(MatchData[team],MatchData[[#this row],[team]],MatchData[rough terrain scored crossings])</f>
        <v>#VALUE!</v>
      </c>
      <c r="CQ52" s="16" t="e">
        <f aca="false">SUMIF(MatchData[team],MatchData[[#this row],[team]],MatchData[low bar teleop crossings])+SUMIF(MatchData[team],MatchData[[#this row],[team]],MatchData[low bar scored crossings])</f>
        <v>#VALUE!</v>
      </c>
      <c r="CR52" s="16" t="e">
        <f aca="false">IFERROR(ROUND(MatchData[[#this row],[portcullis sum]]/MatchData[[#this row],[portcullis avail count]],2),0)</f>
        <v>#VALUE!</v>
      </c>
      <c r="CS52" s="5" t="e">
        <f aca="false">IFERROR(ROUND(MatchData[[#this row],[cheval sum]]/MatchData[[#this row],[cheval avail count]],2),0)</f>
        <v>#VALUE!</v>
      </c>
      <c r="CT52" s="5" t="e">
        <f aca="false">IFERROR(ROUND(MatchData[[#this row],[moat sum]]/MatchData[[#this row],[moat avail count]],2),0)</f>
        <v>#VALUE!</v>
      </c>
      <c r="CU52" s="5" t="e">
        <f aca="false">IFERROR(ROUND(MatchData[[#this row],[ramparts sum]]/MatchData[[#this row],[ramparts avail count]],2),0)</f>
        <v>#VALUE!</v>
      </c>
      <c r="CV52" s="5" t="e">
        <f aca="false">IFERROR(ROUND(MatchData[[#this row],[drawbridge sum]]/MatchData[[#this row],[drawbridge avail countigh6]],2),0)</f>
        <v>#VALUE!</v>
      </c>
      <c r="CW52" s="5" t="e">
        <f aca="false">IFERROR(ROUND(MatchData[[#this row],[sally port sum]]/MatchData[[#this row],[sally port avail count]],2),0)</f>
        <v>#VALUE!</v>
      </c>
      <c r="CX52" s="5" t="e">
        <f aca="false">IFERROR(ROUND(MatchData[[#this row],[rock wall sum]]/MatchData[[#this row],[rock wall avail count]],2),0)</f>
        <v>#VALUE!</v>
      </c>
      <c r="CY52" s="5" t="e">
        <f aca="false">IFERROR(ROUND(MatchData[[#this row],[rough terrain sum]]/MatchData[[#this row],[rough terrain avail count]],2),0)</f>
        <v>#VALUE!</v>
      </c>
      <c r="CZ52" s="5" t="e">
        <f aca="false">IFERROR(ROUND(MatchData[[#this row],[low bar sum]]/MatchData[[#this row],[low bar avail count]],2),0)</f>
        <v>#VALUE!</v>
      </c>
      <c r="DA52" s="5" t="e">
        <f aca="false">SUM(MatchData[[#this row],[cheval sum]:[low bar sum]])/MatchData[match count]</f>
        <v>#VALUE!</v>
      </c>
      <c r="DB52" s="16" t="n">
        <f aca="false">MAX(IF(C$2:C$74=C52,BP$2:BP$74))</f>
        <v>-1.79769313486232E+308</v>
      </c>
      <c r="DC52" s="16" t="e">
        <f aca="false">AVERAGEIF(MatchData[team],MatchData[[#this row],[team]],MatchData[total score])</f>
        <v>#VALUE!</v>
      </c>
      <c r="DD52" s="16" t="e">
        <f aca="false">ROUND(AVERAGEIF(MatchData[team],MatchData[team],MatchData[climb or challenge flag]),2)</f>
        <v>#VALUE!</v>
      </c>
    </row>
    <row r="53" customFormat="false" ht="14.5" hidden="false" customHeight="false" outlineLevel="0" collapsed="false">
      <c r="A53" s="13" t="s">
        <v>108</v>
      </c>
      <c r="B53" s="14" t="n">
        <v>9</v>
      </c>
      <c r="C53" s="15" t="n">
        <v>2471</v>
      </c>
      <c r="D53" s="5" t="s">
        <v>113</v>
      </c>
      <c r="H53" s="5"/>
      <c r="J53" s="0"/>
      <c r="K53" s="5"/>
      <c r="L53" s="5"/>
      <c r="M53" s="5"/>
      <c r="N53" s="5"/>
      <c r="O53" s="5"/>
      <c r="P53" s="5"/>
      <c r="Q53" s="5"/>
      <c r="R53" s="0"/>
      <c r="T53" s="0"/>
      <c r="V53" s="0"/>
      <c r="W53" s="0"/>
      <c r="X53" s="0"/>
      <c r="BC53" s="5" t="e">
        <f aca="false">MatchData[cheval scored crossings]*5</f>
        <v>#VALUE!</v>
      </c>
      <c r="BD53" s="5" t="e">
        <f aca="false">MatchData[moat scored crosings]*5</f>
        <v>#VALUE!</v>
      </c>
      <c r="BE53" s="5" t="e">
        <f aca="false">MatchData[ramparts scored crossings]*5</f>
        <v>#VALUE!</v>
      </c>
      <c r="BF53" s="5" t="e">
        <f aca="false">MatchData[drawbridge scored crossings]*5</f>
        <v>#VALUE!</v>
      </c>
      <c r="BG53" s="5" t="e">
        <f aca="false">MatchData[sally port scored crossings]*5</f>
        <v>#VALUE!</v>
      </c>
      <c r="BH53" s="5" t="e">
        <f aca="false">MatchData[rock wall scored crossings]*5</f>
        <v>#VALUE!</v>
      </c>
      <c r="BI53" s="5" t="e">
        <f aca="false">MatchData[rough terrain scored crossings]*5</f>
        <v>#VALUE!</v>
      </c>
      <c r="BJ53" s="5" t="e">
        <f aca="false">MatchData[low bar scored crossings]*5</f>
        <v>#VALUE!</v>
      </c>
      <c r="BK53" s="5" t="e">
        <f aca="false">SUM(MatchData[[#this row],[low bar teleop crossings]:[rough terrain scored crossings]])</f>
        <v>#VALUE!</v>
      </c>
      <c r="BL53" s="5" t="e">
        <f aca="false">IFERROR(IF(OR(MatchData[[#this row],[challenge flag]],MatchData[[#this row],[climb flag]]),1,0),0)</f>
        <v>#VALUE!</v>
      </c>
      <c r="BM53" s="5" t="e">
        <f aca="false">MatchData[auto high goals]*10+MatchData[teleop high goals]*5</f>
        <v>#VALUE!</v>
      </c>
      <c r="BN53" s="5" t="e">
        <f aca="false">MatchData[auto low goals]*5+MatchData[teleop low goals]*2</f>
        <v>#VALUE!</v>
      </c>
      <c r="BO53" s="5" t="e">
        <f aca="false">MatchData[high goal score]+MatchData[low goal score]</f>
        <v>#VALUE!</v>
      </c>
      <c r="BP53" s="5" t="e">
        <f aca="false">MatchData[teleop high goals]+MatchData[teleop low goals]</f>
        <v>#VALUE!</v>
      </c>
      <c r="BQ53" s="5" t="e">
        <f aca="false">MatchData[[#this row],[auto reach flag]]*2+SUM(MatchData[[#this row],[portcullis auto crossings]:[low bar auto crossings]])*10+MatchData[[#this row],[auto low goals]]*5+MatchData[auto high goals]*10</f>
        <v>#VALUE!</v>
      </c>
      <c r="BR53" s="5" t="e">
        <f aca="false">SUM(MatchData[[#this row],[cheval teleop crossing score]:[low bar teleop crossing score]])</f>
        <v>#VALUE!</v>
      </c>
      <c r="BS53" s="5" t="e">
        <f aca="false">SUMIF(MatchData[team],MatchData[[#this row],[team]],MatchData[total auto score])/MatchData[match count]</f>
        <v>#VALUE!</v>
      </c>
      <c r="BT53" s="5" t="e">
        <f aca="false">MatchData[challenge flag]*5</f>
        <v>#VALUE!</v>
      </c>
      <c r="BU53" s="5" t="e">
        <f aca="false">MatchData[climb flag]*15</f>
        <v>#VALUE!</v>
      </c>
      <c r="BV53" s="5" t="e">
        <f aca="false">SUM(MatchData[[#this row],[total goal score]],MatchData[[#this row],[crossing score]],MatchData[[#this row],[challenge score]],MatchData[[#this row],[climb score]],MatchData[[#this row],[total auto score]])</f>
        <v>#VALUE!</v>
      </c>
      <c r="BW53" s="16" t="e">
        <f aca="false">ROUND(SUMIF(MatchData[team],MatchData[[#this row],[team]],MatchData[teleop low goals])/COUNTIF(MatchData[team],MatchData[[#this row],[team]]),2)</f>
        <v>#VALUE!</v>
      </c>
      <c r="BX53" s="16" t="e">
        <f aca="false">ROUND(SUMIF(MatchData[team],MatchData[[#this row],[team]],MatchData[teleop high goals])/COUNTIF(MatchData[team],MatchData[[#this row],[team]]),2)</f>
        <v>#VALUE!</v>
      </c>
      <c r="BY53" s="16" t="e">
        <f aca="false">COUNTIF(MatchData[team],MatchData[[#this row],[team]])</f>
        <v>#VALUE!</v>
      </c>
      <c r="BZ53" s="16" t="e">
        <f aca="false">SUMIF(MatchData[team],MatchData[[#this row],[team]],MatchData[portcullis available])</f>
        <v>#VALUE!</v>
      </c>
      <c r="CA53" s="16" t="e">
        <f aca="false">SUMIF(MatchData[team],MatchData[[#this row],[team]],MatchData[cheval available])</f>
        <v>#VALUE!</v>
      </c>
      <c r="CB53" s="16" t="e">
        <f aca="false">SUMIF(MatchData[team],MatchData[[#this row],[team]],MatchData[moat available])</f>
        <v>#VALUE!</v>
      </c>
      <c r="CC53" s="16" t="e">
        <f aca="false">SUMIF(MatchData[team],MatchData[[#this row],[team]],MatchData[ramparts available])</f>
        <v>#VALUE!</v>
      </c>
      <c r="CD53" s="16" t="e">
        <f aca="false">SUMIF(MatchData[team],MatchData[[#this row],[team]],MatchData[drawbridge available])</f>
        <v>#VALUE!</v>
      </c>
      <c r="CE53" s="16" t="e">
        <f aca="false">SUMIF(MatchData[team],MatchData[[#this row],[team]],MatchData[sally port available])</f>
        <v>#VALUE!</v>
      </c>
      <c r="CF53" s="16" t="e">
        <f aca="false">SUMIF(MatchData[team],MatchData[[#this row],[team]],MatchData[rock wall available])</f>
        <v>#VALUE!</v>
      </c>
      <c r="CG53" s="16" t="e">
        <f aca="false">SUMIF(MatchData[team],MatchData[[#this row],[team]],MatchData[rough terrain available])</f>
        <v>#VALUE!</v>
      </c>
      <c r="CH53" s="16" t="e">
        <f aca="false">SUMIF(MatchData[team],MatchData[[#this row],[team]],MatchData[low bar available])</f>
        <v>#VALUE!</v>
      </c>
      <c r="CI53" s="16" t="e">
        <f aca="false">SUMIF(MatchData[team],MatchData[[#this row],[team]],MatchData[portcullis teleop crossings]:MatchData[portcullis scored crossings])</f>
        <v>#VALUE!</v>
      </c>
      <c r="CJ53" s="16" t="e">
        <f aca="false">SUMIF(MatchData[team],MatchData[[#this row],[team]],MatchData[cheval teleop crossings])+SUMIF(MatchData[team],MatchData[[#this row],[team]],MatchData[cheval scored crossings])</f>
        <v>#VALUE!</v>
      </c>
      <c r="CK53" s="16" t="e">
        <f aca="false">SUMIF(MatchData[team],MatchData[[#this row],[team]],MatchData[moat teleop crossings])+SUMIF(MatchData[team],MatchData[[#this row],[team]],MatchData[moat scored crosings])</f>
        <v>#VALUE!</v>
      </c>
      <c r="CL53" s="16" t="e">
        <f aca="false">SUMIF(MatchData[team],MatchData[[#this row],[team]],MatchData[ramparts teleop crossings])+SUMIF(MatchData[team],MatchData[[#this row],[team]],MatchData[ramparts scored crossings])</f>
        <v>#VALUE!</v>
      </c>
      <c r="CM53" s="16" t="e">
        <f aca="false">SUMIF(MatchData[team],MatchData[[#this row],[team]],MatchData[drawbridge teleop crossings])+SUMIF(MatchData[team],MatchData[[#this row],[team]],MatchData[drawbridge scored crossings])</f>
        <v>#VALUE!</v>
      </c>
      <c r="CN53" s="16" t="e">
        <f aca="false">SUMIF(MatchData[team],MatchData[[#this row],[team]],MatchData[sally port teleop crossings])+SUMIF(MatchData[team],MatchData[[#this row],[team]],MatchData[sally port scored crossings])</f>
        <v>#VALUE!</v>
      </c>
      <c r="CO53" s="16" t="e">
        <f aca="false">SUMIF(MatchData[team],MatchData[[#this row],[team]],MatchData[rock wall teleop crossings])+SUMIF(MatchData[team],MatchData[[#this row],[team]],MatchData[rock wall scored crossings])</f>
        <v>#VALUE!</v>
      </c>
      <c r="CP53" s="16" t="e">
        <f aca="false">SUMIF(MatchData[team],MatchData[[#this row],[team]],MatchData[rough terrain teleop crossings])+SUMIF(MatchData[team],MatchData[[#this row],[team]],MatchData[rough terrain scored crossings])</f>
        <v>#VALUE!</v>
      </c>
      <c r="CQ53" s="16" t="e">
        <f aca="false">SUMIF(MatchData[team],MatchData[[#this row],[team]],MatchData[low bar teleop crossings])+SUMIF(MatchData[team],MatchData[[#this row],[team]],MatchData[low bar scored crossings])</f>
        <v>#VALUE!</v>
      </c>
      <c r="CR53" s="16" t="e">
        <f aca="false">IFERROR(ROUND(MatchData[[#this row],[portcullis sum]]/MatchData[[#this row],[portcullis avail count]],2),0)</f>
        <v>#VALUE!</v>
      </c>
      <c r="CS53" s="5" t="e">
        <f aca="false">IFERROR(ROUND(MatchData[[#this row],[cheval sum]]/MatchData[[#this row],[cheval avail count]],2),0)</f>
        <v>#VALUE!</v>
      </c>
      <c r="CT53" s="5" t="e">
        <f aca="false">IFERROR(ROUND(MatchData[[#this row],[moat sum]]/MatchData[[#this row],[moat avail count]],2),0)</f>
        <v>#VALUE!</v>
      </c>
      <c r="CU53" s="5" t="e">
        <f aca="false">IFERROR(ROUND(MatchData[[#this row],[ramparts sum]]/MatchData[[#this row],[ramparts avail count]],2),0)</f>
        <v>#VALUE!</v>
      </c>
      <c r="CV53" s="5" t="e">
        <f aca="false">IFERROR(ROUND(MatchData[[#this row],[drawbridge sum]]/MatchData[[#this row],[drawbridge avail countigh6]],2),0)</f>
        <v>#VALUE!</v>
      </c>
      <c r="CW53" s="5" t="e">
        <f aca="false">IFERROR(ROUND(MatchData[[#this row],[sally port sum]]/MatchData[[#this row],[sally port avail count]],2),0)</f>
        <v>#VALUE!</v>
      </c>
      <c r="CX53" s="5" t="e">
        <f aca="false">IFERROR(ROUND(MatchData[[#this row],[rock wall sum]]/MatchData[[#this row],[rock wall avail count]],2),0)</f>
        <v>#VALUE!</v>
      </c>
      <c r="CY53" s="5" t="e">
        <f aca="false">IFERROR(ROUND(MatchData[[#this row],[rough terrain sum]]/MatchData[[#this row],[rough terrain avail count]],2),0)</f>
        <v>#VALUE!</v>
      </c>
      <c r="CZ53" s="5" t="e">
        <f aca="false">IFERROR(ROUND(MatchData[[#this row],[low bar sum]]/MatchData[[#this row],[low bar avail count]],2),0)</f>
        <v>#VALUE!</v>
      </c>
      <c r="DA53" s="5" t="e">
        <f aca="false">SUM(MatchData[[#this row],[cheval sum]:[low bar sum]])/MatchData[match count]</f>
        <v>#VALUE!</v>
      </c>
      <c r="DB53" s="16" t="n">
        <f aca="false">MAX(IF(C$2:C$74=C53,BP$2:BP$74))</f>
        <v>-1.79769313486232E+308</v>
      </c>
      <c r="DC53" s="16" t="e">
        <f aca="false">AVERAGEIF(MatchData[team],MatchData[[#this row],[team]],MatchData[total score])</f>
        <v>#VALUE!</v>
      </c>
      <c r="DD53" s="16" t="e">
        <f aca="false">ROUND(AVERAGEIF(MatchData[team],MatchData[team],MatchData[climb or challenge flag]),2)</f>
        <v>#VALUE!</v>
      </c>
    </row>
    <row r="54" customFormat="false" ht="14.5" hidden="false" customHeight="false" outlineLevel="0" collapsed="false">
      <c r="A54" s="17" t="s">
        <v>108</v>
      </c>
      <c r="B54" s="18" t="n">
        <v>9</v>
      </c>
      <c r="C54" s="15" t="n">
        <v>5198</v>
      </c>
      <c r="D54" s="5" t="s">
        <v>113</v>
      </c>
      <c r="E54" s="5" t="s">
        <v>118</v>
      </c>
      <c r="H54" s="5"/>
      <c r="J54" s="0"/>
      <c r="K54" s="5"/>
      <c r="L54" s="5"/>
      <c r="M54" s="5"/>
      <c r="N54" s="5"/>
      <c r="O54" s="5"/>
      <c r="P54" s="5"/>
      <c r="Q54" s="5"/>
      <c r="R54" s="0"/>
      <c r="T54" s="0"/>
      <c r="V54" s="0"/>
      <c r="W54" s="0"/>
      <c r="X54" s="0"/>
      <c r="BC54" s="5" t="e">
        <f aca="false">MatchData[cheval scored crossings]*5</f>
        <v>#VALUE!</v>
      </c>
      <c r="BD54" s="5" t="e">
        <f aca="false">MatchData[moat scored crosings]*5</f>
        <v>#VALUE!</v>
      </c>
      <c r="BE54" s="5" t="e">
        <f aca="false">MatchData[ramparts scored crossings]*5</f>
        <v>#VALUE!</v>
      </c>
      <c r="BF54" s="5" t="e">
        <f aca="false">MatchData[drawbridge scored crossings]*5</f>
        <v>#VALUE!</v>
      </c>
      <c r="BG54" s="5" t="e">
        <f aca="false">MatchData[sally port scored crossings]*5</f>
        <v>#VALUE!</v>
      </c>
      <c r="BH54" s="5" t="e">
        <f aca="false">MatchData[rock wall scored crossings]*5</f>
        <v>#VALUE!</v>
      </c>
      <c r="BI54" s="5" t="e">
        <f aca="false">MatchData[rough terrain scored crossings]*5</f>
        <v>#VALUE!</v>
      </c>
      <c r="BJ54" s="5" t="e">
        <f aca="false">MatchData[low bar scored crossings]*5</f>
        <v>#VALUE!</v>
      </c>
      <c r="BK54" s="5" t="e">
        <f aca="false">SUM(MatchData[[#this row],[low bar teleop crossings]:[rough terrain scored crossings]])</f>
        <v>#VALUE!</v>
      </c>
      <c r="BL54" s="5" t="e">
        <f aca="false">IFERROR(IF(OR(MatchData[[#this row],[challenge flag]],MatchData[[#this row],[climb flag]]),1,0),0)</f>
        <v>#VALUE!</v>
      </c>
      <c r="BM54" s="5" t="e">
        <f aca="false">MatchData[auto high goals]*10+MatchData[teleop high goals]*5</f>
        <v>#VALUE!</v>
      </c>
      <c r="BN54" s="5" t="e">
        <f aca="false">MatchData[auto low goals]*5+MatchData[teleop low goals]*2</f>
        <v>#VALUE!</v>
      </c>
      <c r="BO54" s="5" t="e">
        <f aca="false">MatchData[high goal score]+MatchData[low goal score]</f>
        <v>#VALUE!</v>
      </c>
      <c r="BP54" s="5" t="e">
        <f aca="false">MatchData[teleop high goals]+MatchData[teleop low goals]</f>
        <v>#VALUE!</v>
      </c>
      <c r="BQ54" s="5" t="e">
        <f aca="false">MatchData[[#this row],[auto reach flag]]*2+SUM(MatchData[[#this row],[portcullis auto crossings]:[low bar auto crossings]])*10+MatchData[[#this row],[auto low goals]]*5+MatchData[auto high goals]*10</f>
        <v>#VALUE!</v>
      </c>
      <c r="BR54" s="5" t="e">
        <f aca="false">SUM(MatchData[[#this row],[cheval teleop crossing score]:[low bar teleop crossing score]])</f>
        <v>#VALUE!</v>
      </c>
      <c r="BS54" s="5" t="e">
        <f aca="false">SUMIF(MatchData[team],MatchData[[#this row],[team]],MatchData[total auto score])/MatchData[match count]</f>
        <v>#VALUE!</v>
      </c>
      <c r="BT54" s="5" t="e">
        <f aca="false">MatchData[challenge flag]*5</f>
        <v>#VALUE!</v>
      </c>
      <c r="BU54" s="5" t="e">
        <f aca="false">MatchData[climb flag]*15</f>
        <v>#VALUE!</v>
      </c>
      <c r="BV54" s="5" t="e">
        <f aca="false">SUM(MatchData[[#this row],[total goal score]],MatchData[[#this row],[crossing score]],MatchData[[#this row],[challenge score]],MatchData[[#this row],[climb score]],MatchData[[#this row],[total auto score]])</f>
        <v>#VALUE!</v>
      </c>
      <c r="BW54" s="16" t="e">
        <f aca="false">ROUND(SUMIF(MatchData[team],MatchData[[#this row],[team]],MatchData[teleop low goals])/COUNTIF(MatchData[team],MatchData[[#this row],[team]]),2)</f>
        <v>#VALUE!</v>
      </c>
      <c r="BX54" s="16" t="e">
        <f aca="false">ROUND(SUMIF(MatchData[team],MatchData[[#this row],[team]],MatchData[teleop high goals])/COUNTIF(MatchData[team],MatchData[[#this row],[team]]),2)</f>
        <v>#VALUE!</v>
      </c>
      <c r="BY54" s="16" t="e">
        <f aca="false">COUNTIF(MatchData[team],MatchData[[#this row],[team]])</f>
        <v>#VALUE!</v>
      </c>
      <c r="BZ54" s="16" t="e">
        <f aca="false">SUMIF(MatchData[team],MatchData[[#this row],[team]],MatchData[portcullis available])</f>
        <v>#VALUE!</v>
      </c>
      <c r="CA54" s="16" t="e">
        <f aca="false">SUMIF(MatchData[team],MatchData[[#this row],[team]],MatchData[cheval available])</f>
        <v>#VALUE!</v>
      </c>
      <c r="CB54" s="16" t="e">
        <f aca="false">SUMIF(MatchData[team],MatchData[[#this row],[team]],MatchData[moat available])</f>
        <v>#VALUE!</v>
      </c>
      <c r="CC54" s="16" t="e">
        <f aca="false">SUMIF(MatchData[team],MatchData[[#this row],[team]],MatchData[ramparts available])</f>
        <v>#VALUE!</v>
      </c>
      <c r="CD54" s="16" t="e">
        <f aca="false">SUMIF(MatchData[team],MatchData[[#this row],[team]],MatchData[drawbridge available])</f>
        <v>#VALUE!</v>
      </c>
      <c r="CE54" s="16" t="e">
        <f aca="false">SUMIF(MatchData[team],MatchData[[#this row],[team]],MatchData[sally port available])</f>
        <v>#VALUE!</v>
      </c>
      <c r="CF54" s="16" t="e">
        <f aca="false">SUMIF(MatchData[team],MatchData[[#this row],[team]],MatchData[rock wall available])</f>
        <v>#VALUE!</v>
      </c>
      <c r="CG54" s="16" t="e">
        <f aca="false">SUMIF(MatchData[team],MatchData[[#this row],[team]],MatchData[rough terrain available])</f>
        <v>#VALUE!</v>
      </c>
      <c r="CH54" s="16" t="e">
        <f aca="false">SUMIF(MatchData[team],MatchData[[#this row],[team]],MatchData[low bar available])</f>
        <v>#VALUE!</v>
      </c>
      <c r="CI54" s="16" t="e">
        <f aca="false">SUMIF(MatchData[team],MatchData[[#this row],[team]],MatchData[portcullis teleop crossings]:MatchData[portcullis scored crossings])</f>
        <v>#VALUE!</v>
      </c>
      <c r="CJ54" s="16" t="e">
        <f aca="false">SUMIF(MatchData[team],MatchData[[#this row],[team]],MatchData[cheval teleop crossings])+SUMIF(MatchData[team],MatchData[[#this row],[team]],MatchData[cheval scored crossings])</f>
        <v>#VALUE!</v>
      </c>
      <c r="CK54" s="16" t="e">
        <f aca="false">SUMIF(MatchData[team],MatchData[[#this row],[team]],MatchData[moat teleop crossings])+SUMIF(MatchData[team],MatchData[[#this row],[team]],MatchData[moat scored crosings])</f>
        <v>#VALUE!</v>
      </c>
      <c r="CL54" s="16" t="e">
        <f aca="false">SUMIF(MatchData[team],MatchData[[#this row],[team]],MatchData[ramparts teleop crossings])+SUMIF(MatchData[team],MatchData[[#this row],[team]],MatchData[ramparts scored crossings])</f>
        <v>#VALUE!</v>
      </c>
      <c r="CM54" s="16" t="e">
        <f aca="false">SUMIF(MatchData[team],MatchData[[#this row],[team]],MatchData[drawbridge teleop crossings])+SUMIF(MatchData[team],MatchData[[#this row],[team]],MatchData[drawbridge scored crossings])</f>
        <v>#VALUE!</v>
      </c>
      <c r="CN54" s="16" t="e">
        <f aca="false">SUMIF(MatchData[team],MatchData[[#this row],[team]],MatchData[sally port teleop crossings])+SUMIF(MatchData[team],MatchData[[#this row],[team]],MatchData[sally port scored crossings])</f>
        <v>#VALUE!</v>
      </c>
      <c r="CO54" s="16" t="e">
        <f aca="false">SUMIF(MatchData[team],MatchData[[#this row],[team]],MatchData[rock wall teleop crossings])+SUMIF(MatchData[team],MatchData[[#this row],[team]],MatchData[rock wall scored crossings])</f>
        <v>#VALUE!</v>
      </c>
      <c r="CP54" s="16" t="e">
        <f aca="false">SUMIF(MatchData[team],MatchData[[#this row],[team]],MatchData[rough terrain teleop crossings])+SUMIF(MatchData[team],MatchData[[#this row],[team]],MatchData[rough terrain scored crossings])</f>
        <v>#VALUE!</v>
      </c>
      <c r="CQ54" s="16" t="e">
        <f aca="false">SUMIF(MatchData[team],MatchData[[#this row],[team]],MatchData[low bar teleop crossings])+SUMIF(MatchData[team],MatchData[[#this row],[team]],MatchData[low bar scored crossings])</f>
        <v>#VALUE!</v>
      </c>
      <c r="CR54" s="16" t="e">
        <f aca="false">IFERROR(ROUND(MatchData[[#this row],[portcullis sum]]/MatchData[[#this row],[portcullis avail count]],2),0)</f>
        <v>#VALUE!</v>
      </c>
      <c r="CS54" s="5" t="e">
        <f aca="false">IFERROR(ROUND(MatchData[[#this row],[cheval sum]]/MatchData[[#this row],[cheval avail count]],2),0)</f>
        <v>#VALUE!</v>
      </c>
      <c r="CT54" s="5" t="e">
        <f aca="false">IFERROR(ROUND(MatchData[[#this row],[moat sum]]/MatchData[[#this row],[moat avail count]],2),0)</f>
        <v>#VALUE!</v>
      </c>
      <c r="CU54" s="5" t="e">
        <f aca="false">IFERROR(ROUND(MatchData[[#this row],[ramparts sum]]/MatchData[[#this row],[ramparts avail count]],2),0)</f>
        <v>#VALUE!</v>
      </c>
      <c r="CV54" s="5" t="e">
        <f aca="false">IFERROR(ROUND(MatchData[[#this row],[drawbridge sum]]/MatchData[[#this row],[drawbridge avail countigh6]],2),0)</f>
        <v>#VALUE!</v>
      </c>
      <c r="CW54" s="5" t="e">
        <f aca="false">IFERROR(ROUND(MatchData[[#this row],[sally port sum]]/MatchData[[#this row],[sally port avail count]],2),0)</f>
        <v>#VALUE!</v>
      </c>
      <c r="CX54" s="5" t="e">
        <f aca="false">IFERROR(ROUND(MatchData[[#this row],[rock wall sum]]/MatchData[[#this row],[rock wall avail count]],2),0)</f>
        <v>#VALUE!</v>
      </c>
      <c r="CY54" s="5" t="e">
        <f aca="false">IFERROR(ROUND(MatchData[[#this row],[rough terrain sum]]/MatchData[[#this row],[rough terrain avail count]],2),0)</f>
        <v>#VALUE!</v>
      </c>
      <c r="CZ54" s="5" t="e">
        <f aca="false">IFERROR(ROUND(MatchData[[#this row],[low bar sum]]/MatchData[[#this row],[low bar avail count]],2),0)</f>
        <v>#VALUE!</v>
      </c>
      <c r="DA54" s="5" t="e">
        <f aca="false">SUM(MatchData[[#this row],[cheval sum]:[low bar sum]])/MatchData[match count]</f>
        <v>#VALUE!</v>
      </c>
      <c r="DB54" s="16" t="n">
        <f aca="false">MAX(IF(C$2:C$74=C54,BP$2:BP$74))</f>
        <v>-1.79769313486232E+308</v>
      </c>
      <c r="DC54" s="16" t="e">
        <f aca="false">AVERAGEIF(MatchData[team],MatchData[[#this row],[team]],MatchData[total score])</f>
        <v>#VALUE!</v>
      </c>
      <c r="DD54" s="16" t="e">
        <f aca="false">ROUND(AVERAGEIF(MatchData[team],MatchData[team],MatchData[climb or challenge flag]),2)</f>
        <v>#VALUE!</v>
      </c>
    </row>
    <row r="55" customFormat="false" ht="14.5" hidden="false" customHeight="false" outlineLevel="0" collapsed="false">
      <c r="A55" s="17" t="s">
        <v>108</v>
      </c>
      <c r="B55" s="14" t="n">
        <v>9</v>
      </c>
      <c r="C55" s="15" t="n">
        <v>5468</v>
      </c>
      <c r="D55" s="5" t="s">
        <v>113</v>
      </c>
      <c r="E55" s="5" t="s">
        <v>134</v>
      </c>
      <c r="G55" s="5" t="n">
        <v>1</v>
      </c>
      <c r="H55" s="5"/>
      <c r="J55" s="5" t="n">
        <v>1</v>
      </c>
      <c r="K55" s="5"/>
      <c r="L55" s="5" t="n">
        <v>1</v>
      </c>
      <c r="M55" s="5"/>
      <c r="N55" s="5" t="n">
        <v>1</v>
      </c>
      <c r="O55" s="5"/>
      <c r="P55" s="5" t="n">
        <v>1</v>
      </c>
      <c r="Q55" s="5"/>
      <c r="R55" s="5" t="n">
        <v>1</v>
      </c>
      <c r="T55" s="0"/>
      <c r="V55" s="0"/>
      <c r="W55" s="0"/>
      <c r="X55" s="0"/>
      <c r="AD55" s="5" t="n">
        <v>1</v>
      </c>
      <c r="AW55" s="5" t="n">
        <v>1</v>
      </c>
      <c r="BB55" s="5" t="n">
        <v>1</v>
      </c>
      <c r="BC55" s="5" t="e">
        <f aca="false">MatchData[cheval scored crossings]*5</f>
        <v>#VALUE!</v>
      </c>
      <c r="BD55" s="5" t="e">
        <f aca="false">MatchData[moat scored crosings]*5</f>
        <v>#VALUE!</v>
      </c>
      <c r="BE55" s="5" t="e">
        <f aca="false">MatchData[ramparts scored crossings]*5</f>
        <v>#VALUE!</v>
      </c>
      <c r="BF55" s="5" t="e">
        <f aca="false">MatchData[drawbridge scored crossings]*5</f>
        <v>#VALUE!</v>
      </c>
      <c r="BG55" s="5" t="e">
        <f aca="false">MatchData[sally port scored crossings]*5</f>
        <v>#VALUE!</v>
      </c>
      <c r="BH55" s="5" t="e">
        <f aca="false">MatchData[rock wall scored crossings]*5</f>
        <v>#VALUE!</v>
      </c>
      <c r="BI55" s="5" t="e">
        <f aca="false">MatchData[rough terrain scored crossings]*5</f>
        <v>#VALUE!</v>
      </c>
      <c r="BJ55" s="5" t="e">
        <f aca="false">MatchData[low bar scored crossings]*5</f>
        <v>#VALUE!</v>
      </c>
      <c r="BK55" s="5" t="e">
        <f aca="false">SUM(MatchData[[#this row],[low bar teleop crossings]:[rough terrain scored crossings]])</f>
        <v>#VALUE!</v>
      </c>
      <c r="BL55" s="5" t="e">
        <f aca="false">IFERROR(IF(OR(MatchData[[#this row],[challenge flag]],MatchData[[#this row],[climb flag]]),1,0),0)</f>
        <v>#VALUE!</v>
      </c>
      <c r="BM55" s="5" t="e">
        <f aca="false">MatchData[auto high goals]*10+MatchData[teleop high goals]*5</f>
        <v>#VALUE!</v>
      </c>
      <c r="BN55" s="5" t="e">
        <f aca="false">MatchData[auto low goals]*5+MatchData[teleop low goals]*2</f>
        <v>#VALUE!</v>
      </c>
      <c r="BO55" s="5" t="e">
        <f aca="false">MatchData[high goal score]+MatchData[low goal score]</f>
        <v>#VALUE!</v>
      </c>
      <c r="BP55" s="5" t="e">
        <f aca="false">MatchData[teleop high goals]+MatchData[teleop low goals]</f>
        <v>#VALUE!</v>
      </c>
      <c r="BQ55" s="5" t="e">
        <f aca="false">MatchData[[#this row],[auto reach flag]]*2+SUM(MatchData[[#this row],[portcullis auto crossings]:[low bar auto crossings]])*10+MatchData[[#this row],[auto low goals]]*5+MatchData[auto high goals]*10</f>
        <v>#VALUE!</v>
      </c>
      <c r="BR55" s="5" t="e">
        <f aca="false">SUM(MatchData[[#this row],[cheval teleop crossing score]:[low bar teleop crossing score]])</f>
        <v>#VALUE!</v>
      </c>
      <c r="BS55" s="5" t="e">
        <f aca="false">SUMIF(MatchData[team],MatchData[[#this row],[team]],MatchData[total auto score])/MatchData[match count]</f>
        <v>#VALUE!</v>
      </c>
      <c r="BT55" s="5" t="e">
        <f aca="false">MatchData[challenge flag]*5</f>
        <v>#VALUE!</v>
      </c>
      <c r="BU55" s="5" t="e">
        <f aca="false">MatchData[climb flag]*15</f>
        <v>#VALUE!</v>
      </c>
      <c r="BV55" s="5" t="e">
        <f aca="false">SUM(MatchData[[#this row],[total goal score]],MatchData[[#this row],[crossing score]],MatchData[[#this row],[challenge score]],MatchData[[#this row],[climb score]],MatchData[[#this row],[total auto score]])</f>
        <v>#VALUE!</v>
      </c>
      <c r="BW55" s="16" t="e">
        <f aca="false">ROUND(SUMIF(MatchData[team],MatchData[[#this row],[team]],MatchData[teleop low goals])/COUNTIF(MatchData[team],MatchData[[#this row],[team]]),2)</f>
        <v>#VALUE!</v>
      </c>
      <c r="BX55" s="16" t="e">
        <f aca="false">ROUND(SUMIF(MatchData[team],MatchData[[#this row],[team]],MatchData[teleop high goals])/COUNTIF(MatchData[team],MatchData[[#this row],[team]]),2)</f>
        <v>#VALUE!</v>
      </c>
      <c r="BY55" s="16" t="e">
        <f aca="false">COUNTIF(MatchData[team],MatchData[[#this row],[team]])</f>
        <v>#VALUE!</v>
      </c>
      <c r="BZ55" s="16" t="e">
        <f aca="false">SUMIF(MatchData[team],MatchData[[#this row],[team]],MatchData[portcullis available])</f>
        <v>#VALUE!</v>
      </c>
      <c r="CA55" s="16" t="e">
        <f aca="false">SUMIF(MatchData[team],MatchData[[#this row],[team]],MatchData[cheval available])</f>
        <v>#VALUE!</v>
      </c>
      <c r="CB55" s="16" t="e">
        <f aca="false">SUMIF(MatchData[team],MatchData[[#this row],[team]],MatchData[moat available])</f>
        <v>#VALUE!</v>
      </c>
      <c r="CC55" s="16" t="e">
        <f aca="false">SUMIF(MatchData[team],MatchData[[#this row],[team]],MatchData[ramparts available])</f>
        <v>#VALUE!</v>
      </c>
      <c r="CD55" s="16" t="e">
        <f aca="false">SUMIF(MatchData[team],MatchData[[#this row],[team]],MatchData[drawbridge available])</f>
        <v>#VALUE!</v>
      </c>
      <c r="CE55" s="16" t="e">
        <f aca="false">SUMIF(MatchData[team],MatchData[[#this row],[team]],MatchData[sally port available])</f>
        <v>#VALUE!</v>
      </c>
      <c r="CF55" s="16" t="e">
        <f aca="false">SUMIF(MatchData[team],MatchData[[#this row],[team]],MatchData[rock wall available])</f>
        <v>#VALUE!</v>
      </c>
      <c r="CG55" s="16" t="e">
        <f aca="false">SUMIF(MatchData[team],MatchData[[#this row],[team]],MatchData[rough terrain available])</f>
        <v>#VALUE!</v>
      </c>
      <c r="CH55" s="16" t="e">
        <f aca="false">SUMIF(MatchData[team],MatchData[[#this row],[team]],MatchData[low bar available])</f>
        <v>#VALUE!</v>
      </c>
      <c r="CI55" s="16" t="e">
        <f aca="false">SUMIF(MatchData[team],MatchData[[#this row],[team]],MatchData[portcullis teleop crossings]:MatchData[portcullis scored crossings])</f>
        <v>#VALUE!</v>
      </c>
      <c r="CJ55" s="16" t="e">
        <f aca="false">SUMIF(MatchData[team],MatchData[[#this row],[team]],MatchData[cheval teleop crossings])+SUMIF(MatchData[team],MatchData[[#this row],[team]],MatchData[cheval scored crossings])</f>
        <v>#VALUE!</v>
      </c>
      <c r="CK55" s="16" t="e">
        <f aca="false">SUMIF(MatchData[team],MatchData[[#this row],[team]],MatchData[moat teleop crossings])+SUMIF(MatchData[team],MatchData[[#this row],[team]],MatchData[moat scored crosings])</f>
        <v>#VALUE!</v>
      </c>
      <c r="CL55" s="16" t="e">
        <f aca="false">SUMIF(MatchData[team],MatchData[[#this row],[team]],MatchData[ramparts teleop crossings])+SUMIF(MatchData[team],MatchData[[#this row],[team]],MatchData[ramparts scored crossings])</f>
        <v>#VALUE!</v>
      </c>
      <c r="CM55" s="16" t="e">
        <f aca="false">SUMIF(MatchData[team],MatchData[[#this row],[team]],MatchData[drawbridge teleop crossings])+SUMIF(MatchData[team],MatchData[[#this row],[team]],MatchData[drawbridge scored crossings])</f>
        <v>#VALUE!</v>
      </c>
      <c r="CN55" s="16" t="e">
        <f aca="false">SUMIF(MatchData[team],MatchData[[#this row],[team]],MatchData[sally port teleop crossings])+SUMIF(MatchData[team],MatchData[[#this row],[team]],MatchData[sally port scored crossings])</f>
        <v>#VALUE!</v>
      </c>
      <c r="CO55" s="16" t="e">
        <f aca="false">SUMIF(MatchData[team],MatchData[[#this row],[team]],MatchData[rock wall teleop crossings])+SUMIF(MatchData[team],MatchData[[#this row],[team]],MatchData[rock wall scored crossings])</f>
        <v>#VALUE!</v>
      </c>
      <c r="CP55" s="16" t="e">
        <f aca="false">SUMIF(MatchData[team],MatchData[[#this row],[team]],MatchData[rough terrain teleop crossings])+SUMIF(MatchData[team],MatchData[[#this row],[team]],MatchData[rough terrain scored crossings])</f>
        <v>#VALUE!</v>
      </c>
      <c r="CQ55" s="16" t="e">
        <f aca="false">SUMIF(MatchData[team],MatchData[[#this row],[team]],MatchData[low bar teleop crossings])+SUMIF(MatchData[team],MatchData[[#this row],[team]],MatchData[low bar scored crossings])</f>
        <v>#VALUE!</v>
      </c>
      <c r="CR55" s="16" t="e">
        <f aca="false">IFERROR(ROUND(MatchData[[#this row],[portcullis sum]]/MatchData[[#this row],[portcullis avail count]],2),0)</f>
        <v>#VALUE!</v>
      </c>
      <c r="CS55" s="5" t="e">
        <f aca="false">IFERROR(ROUND(MatchData[[#this row],[cheval sum]]/MatchData[[#this row],[cheval avail count]],2),0)</f>
        <v>#VALUE!</v>
      </c>
      <c r="CT55" s="5" t="e">
        <f aca="false">IFERROR(ROUND(MatchData[[#this row],[moat sum]]/MatchData[[#this row],[moat avail count]],2),0)</f>
        <v>#VALUE!</v>
      </c>
      <c r="CU55" s="5" t="e">
        <f aca="false">IFERROR(ROUND(MatchData[[#this row],[ramparts sum]]/MatchData[[#this row],[ramparts avail count]],2),0)</f>
        <v>#VALUE!</v>
      </c>
      <c r="CV55" s="5" t="e">
        <f aca="false">IFERROR(ROUND(MatchData[[#this row],[drawbridge sum]]/MatchData[[#this row],[drawbridge avail countigh6]],2),0)</f>
        <v>#VALUE!</v>
      </c>
      <c r="CW55" s="5" t="e">
        <f aca="false">IFERROR(ROUND(MatchData[[#this row],[sally port sum]]/MatchData[[#this row],[sally port avail count]],2),0)</f>
        <v>#VALUE!</v>
      </c>
      <c r="CX55" s="5" t="e">
        <f aca="false">IFERROR(ROUND(MatchData[[#this row],[rock wall sum]]/MatchData[[#this row],[rock wall avail count]],2),0)</f>
        <v>#VALUE!</v>
      </c>
      <c r="CY55" s="5" t="e">
        <f aca="false">IFERROR(ROUND(MatchData[[#this row],[rough terrain sum]]/MatchData[[#this row],[rough terrain avail count]],2),0)</f>
        <v>#VALUE!</v>
      </c>
      <c r="CZ55" s="5" t="e">
        <f aca="false">IFERROR(ROUND(MatchData[[#this row],[low bar sum]]/MatchData[[#this row],[low bar avail count]],2),0)</f>
        <v>#VALUE!</v>
      </c>
      <c r="DA55" s="5" t="e">
        <f aca="false">SUM(MatchData[[#this row],[cheval sum]:[low bar sum]])/MatchData[match count]</f>
        <v>#VALUE!</v>
      </c>
      <c r="DB55" s="16" t="n">
        <f aca="false">MAX(IF(C$2:C$74=C55,BP$2:BP$74))</f>
        <v>-1.79769313486232E+308</v>
      </c>
      <c r="DC55" s="16" t="e">
        <f aca="false">AVERAGEIF(MatchData[team],MatchData[[#this row],[team]],MatchData[total score])</f>
        <v>#VALUE!</v>
      </c>
      <c r="DD55" s="16" t="e">
        <f aca="false">ROUND(AVERAGEIF(MatchData[team],MatchData[team],MatchData[climb or challenge flag]),2)</f>
        <v>#VALUE!</v>
      </c>
    </row>
    <row r="56" customFormat="false" ht="14.5" hidden="false" customHeight="false" outlineLevel="0" collapsed="false">
      <c r="A56" s="13" t="s">
        <v>108</v>
      </c>
      <c r="B56" s="14" t="n">
        <v>10</v>
      </c>
      <c r="C56" s="15" t="n">
        <v>2002</v>
      </c>
      <c r="D56" s="5" t="s">
        <v>109</v>
      </c>
      <c r="E56" s="5" t="s">
        <v>119</v>
      </c>
      <c r="H56" s="5"/>
      <c r="J56" s="5" t="n">
        <v>1</v>
      </c>
      <c r="K56" s="5" t="n">
        <v>1</v>
      </c>
      <c r="L56" s="5"/>
      <c r="M56" s="5"/>
      <c r="N56" s="5" t="n">
        <v>1</v>
      </c>
      <c r="O56" s="5" t="n">
        <v>1</v>
      </c>
      <c r="P56" s="5"/>
      <c r="Q56" s="5" t="n">
        <v>1</v>
      </c>
      <c r="R56" s="0"/>
      <c r="S56" s="5" t="n">
        <v>1</v>
      </c>
      <c r="T56" s="0"/>
      <c r="V56" s="0"/>
      <c r="W56" s="0"/>
      <c r="X56" s="0"/>
      <c r="AR56" s="5" t="n">
        <v>1</v>
      </c>
      <c r="BC56" s="5" t="e">
        <f aca="false">MatchData[cheval scored crossings]*5</f>
        <v>#VALUE!</v>
      </c>
      <c r="BD56" s="5" t="e">
        <f aca="false">MatchData[moat scored crosings]*5</f>
        <v>#VALUE!</v>
      </c>
      <c r="BE56" s="5" t="e">
        <f aca="false">MatchData[ramparts scored crossings]*5</f>
        <v>#VALUE!</v>
      </c>
      <c r="BF56" s="5" t="e">
        <f aca="false">MatchData[drawbridge scored crossings]*5</f>
        <v>#VALUE!</v>
      </c>
      <c r="BG56" s="5" t="e">
        <f aca="false">MatchData[sally port scored crossings]*5</f>
        <v>#VALUE!</v>
      </c>
      <c r="BH56" s="5" t="e">
        <f aca="false">MatchData[rock wall scored crossings]*5</f>
        <v>#VALUE!</v>
      </c>
      <c r="BI56" s="5" t="e">
        <f aca="false">MatchData[rough terrain scored crossings]*5</f>
        <v>#VALUE!</v>
      </c>
      <c r="BJ56" s="5" t="e">
        <f aca="false">MatchData[low bar scored crossings]*5</f>
        <v>#VALUE!</v>
      </c>
      <c r="BK56" s="5" t="e">
        <f aca="false">SUM(MatchData[[#this row],[low bar teleop crossings]:[rough terrain scored crossings]])</f>
        <v>#VALUE!</v>
      </c>
      <c r="BL56" s="5" t="e">
        <f aca="false">IFERROR(IF(OR(MatchData[[#this row],[challenge flag]],MatchData[[#this row],[climb flag]]),1,0),0)</f>
        <v>#VALUE!</v>
      </c>
      <c r="BM56" s="5" t="e">
        <f aca="false">MatchData[auto high goals]*10+MatchData[teleop high goals]*5</f>
        <v>#VALUE!</v>
      </c>
      <c r="BN56" s="5" t="e">
        <f aca="false">MatchData[auto low goals]*5+MatchData[teleop low goals]*2</f>
        <v>#VALUE!</v>
      </c>
      <c r="BO56" s="5" t="e">
        <f aca="false">MatchData[high goal score]+MatchData[low goal score]</f>
        <v>#VALUE!</v>
      </c>
      <c r="BP56" s="5" t="e">
        <f aca="false">MatchData[teleop high goals]+MatchData[teleop low goals]</f>
        <v>#VALUE!</v>
      </c>
      <c r="BQ56" s="5" t="e">
        <f aca="false">MatchData[[#this row],[auto reach flag]]*2+SUM(MatchData[[#this row],[portcullis auto crossings]:[low bar auto crossings]])*10+MatchData[[#this row],[auto low goals]]*5+MatchData[auto high goals]*10</f>
        <v>#VALUE!</v>
      </c>
      <c r="BR56" s="5" t="e">
        <f aca="false">SUM(MatchData[[#this row],[cheval teleop crossing score]:[low bar teleop crossing score]])</f>
        <v>#VALUE!</v>
      </c>
      <c r="BS56" s="5" t="e">
        <f aca="false">SUMIF(MatchData[team],MatchData[[#this row],[team]],MatchData[total auto score])/MatchData[match count]</f>
        <v>#VALUE!</v>
      </c>
      <c r="BT56" s="5" t="e">
        <f aca="false">MatchData[challenge flag]*5</f>
        <v>#VALUE!</v>
      </c>
      <c r="BU56" s="5" t="e">
        <f aca="false">MatchData[climb flag]*15</f>
        <v>#VALUE!</v>
      </c>
      <c r="BV56" s="5" t="e">
        <f aca="false">SUM(MatchData[[#this row],[total goal score]],MatchData[[#this row],[crossing score]],MatchData[[#this row],[challenge score]],MatchData[[#this row],[climb score]],MatchData[[#this row],[total auto score]])</f>
        <v>#VALUE!</v>
      </c>
      <c r="BW56" s="16" t="e">
        <f aca="false">ROUND(SUMIF(MatchData[team],MatchData[[#this row],[team]],MatchData[teleop low goals])/COUNTIF(MatchData[team],MatchData[[#this row],[team]]),2)</f>
        <v>#VALUE!</v>
      </c>
      <c r="BX56" s="16" t="e">
        <f aca="false">ROUND(SUMIF(MatchData[team],MatchData[[#this row],[team]],MatchData[teleop high goals])/COUNTIF(MatchData[team],MatchData[[#this row],[team]]),2)</f>
        <v>#VALUE!</v>
      </c>
      <c r="BY56" s="16" t="e">
        <f aca="false">COUNTIF(MatchData[team],MatchData[[#this row],[team]])</f>
        <v>#VALUE!</v>
      </c>
      <c r="BZ56" s="16" t="e">
        <f aca="false">SUMIF(MatchData[team],MatchData[[#this row],[team]],MatchData[portcullis available])</f>
        <v>#VALUE!</v>
      </c>
      <c r="CA56" s="16" t="e">
        <f aca="false">SUMIF(MatchData[team],MatchData[[#this row],[team]],MatchData[cheval available])</f>
        <v>#VALUE!</v>
      </c>
      <c r="CB56" s="16" t="e">
        <f aca="false">SUMIF(MatchData[team],MatchData[[#this row],[team]],MatchData[moat available])</f>
        <v>#VALUE!</v>
      </c>
      <c r="CC56" s="16" t="e">
        <f aca="false">SUMIF(MatchData[team],MatchData[[#this row],[team]],MatchData[ramparts available])</f>
        <v>#VALUE!</v>
      </c>
      <c r="CD56" s="16" t="e">
        <f aca="false">SUMIF(MatchData[team],MatchData[[#this row],[team]],MatchData[drawbridge available])</f>
        <v>#VALUE!</v>
      </c>
      <c r="CE56" s="16" t="e">
        <f aca="false">SUMIF(MatchData[team],MatchData[[#this row],[team]],MatchData[sally port available])</f>
        <v>#VALUE!</v>
      </c>
      <c r="CF56" s="16" t="e">
        <f aca="false">SUMIF(MatchData[team],MatchData[[#this row],[team]],MatchData[rock wall available])</f>
        <v>#VALUE!</v>
      </c>
      <c r="CG56" s="16" t="e">
        <f aca="false">SUMIF(MatchData[team],MatchData[[#this row],[team]],MatchData[rough terrain available])</f>
        <v>#VALUE!</v>
      </c>
      <c r="CH56" s="16" t="e">
        <f aca="false">SUMIF(MatchData[team],MatchData[[#this row],[team]],MatchData[low bar available])</f>
        <v>#VALUE!</v>
      </c>
      <c r="CI56" s="16" t="e">
        <f aca="false">SUMIF(MatchData[team],MatchData[[#this row],[team]],MatchData[portcullis teleop crossings]:MatchData[portcullis scored crossings])</f>
        <v>#VALUE!</v>
      </c>
      <c r="CJ56" s="16" t="e">
        <f aca="false">SUMIF(MatchData[team],MatchData[[#this row],[team]],MatchData[cheval teleop crossings])+SUMIF(MatchData[team],MatchData[[#this row],[team]],MatchData[cheval scored crossings])</f>
        <v>#VALUE!</v>
      </c>
      <c r="CK56" s="16" t="e">
        <f aca="false">SUMIF(MatchData[team],MatchData[[#this row],[team]],MatchData[moat teleop crossings])+SUMIF(MatchData[team],MatchData[[#this row],[team]],MatchData[moat scored crosings])</f>
        <v>#VALUE!</v>
      </c>
      <c r="CL56" s="16" t="e">
        <f aca="false">SUMIF(MatchData[team],MatchData[[#this row],[team]],MatchData[ramparts teleop crossings])+SUMIF(MatchData[team],MatchData[[#this row],[team]],MatchData[ramparts scored crossings])</f>
        <v>#VALUE!</v>
      </c>
      <c r="CM56" s="16" t="e">
        <f aca="false">SUMIF(MatchData[team],MatchData[[#this row],[team]],MatchData[drawbridge teleop crossings])+SUMIF(MatchData[team],MatchData[[#this row],[team]],MatchData[drawbridge scored crossings])</f>
        <v>#VALUE!</v>
      </c>
      <c r="CN56" s="16" t="e">
        <f aca="false">SUMIF(MatchData[team],MatchData[[#this row],[team]],MatchData[sally port teleop crossings])+SUMIF(MatchData[team],MatchData[[#this row],[team]],MatchData[sally port scored crossings])</f>
        <v>#VALUE!</v>
      </c>
      <c r="CO56" s="16" t="e">
        <f aca="false">SUMIF(MatchData[team],MatchData[[#this row],[team]],MatchData[rock wall teleop crossings])+SUMIF(MatchData[team],MatchData[[#this row],[team]],MatchData[rock wall scored crossings])</f>
        <v>#VALUE!</v>
      </c>
      <c r="CP56" s="16" t="e">
        <f aca="false">SUMIF(MatchData[team],MatchData[[#this row],[team]],MatchData[rough terrain teleop crossings])+SUMIF(MatchData[team],MatchData[[#this row],[team]],MatchData[rough terrain scored crossings])</f>
        <v>#VALUE!</v>
      </c>
      <c r="CQ56" s="16" t="e">
        <f aca="false">SUMIF(MatchData[team],MatchData[[#this row],[team]],MatchData[low bar teleop crossings])+SUMIF(MatchData[team],MatchData[[#this row],[team]],MatchData[low bar scored crossings])</f>
        <v>#VALUE!</v>
      </c>
      <c r="CR56" s="16" t="e">
        <f aca="false">IFERROR(ROUND(MatchData[[#this row],[portcullis sum]]/MatchData[[#this row],[portcullis avail count]],2),0)</f>
        <v>#VALUE!</v>
      </c>
      <c r="CS56" s="5" t="e">
        <f aca="false">IFERROR(ROUND(MatchData[[#this row],[cheval sum]]/MatchData[[#this row],[cheval avail count]],2),0)</f>
        <v>#VALUE!</v>
      </c>
      <c r="CT56" s="5" t="e">
        <f aca="false">IFERROR(ROUND(MatchData[[#this row],[moat sum]]/MatchData[[#this row],[moat avail count]],2),0)</f>
        <v>#VALUE!</v>
      </c>
      <c r="CU56" s="5" t="e">
        <f aca="false">IFERROR(ROUND(MatchData[[#this row],[ramparts sum]]/MatchData[[#this row],[ramparts avail count]],2),0)</f>
        <v>#VALUE!</v>
      </c>
      <c r="CV56" s="5" t="e">
        <f aca="false">IFERROR(ROUND(MatchData[[#this row],[drawbridge sum]]/MatchData[[#this row],[drawbridge avail countigh6]],2),0)</f>
        <v>#VALUE!</v>
      </c>
      <c r="CW56" s="5" t="e">
        <f aca="false">IFERROR(ROUND(MatchData[[#this row],[sally port sum]]/MatchData[[#this row],[sally port avail count]],2),0)</f>
        <v>#VALUE!</v>
      </c>
      <c r="CX56" s="5" t="e">
        <f aca="false">IFERROR(ROUND(MatchData[[#this row],[rock wall sum]]/MatchData[[#this row],[rock wall avail count]],2),0)</f>
        <v>#VALUE!</v>
      </c>
      <c r="CY56" s="5" t="e">
        <f aca="false">IFERROR(ROUND(MatchData[[#this row],[rough terrain sum]]/MatchData[[#this row],[rough terrain avail count]],2),0)</f>
        <v>#VALUE!</v>
      </c>
      <c r="CZ56" s="5" t="e">
        <f aca="false">IFERROR(ROUND(MatchData[[#this row],[low bar sum]]/MatchData[[#this row],[low bar avail count]],2),0)</f>
        <v>#VALUE!</v>
      </c>
      <c r="DA56" s="5" t="e">
        <f aca="false">SUM(MatchData[[#this row],[cheval sum]:[low bar sum]])/MatchData[match count]</f>
        <v>#VALUE!</v>
      </c>
      <c r="DB56" s="16" t="n">
        <f aca="false">MAX(IF(C$2:C$74=C56,BP$2:BP$74))</f>
        <v>-1.79769313486232E+308</v>
      </c>
      <c r="DC56" s="16" t="e">
        <f aca="false">AVERAGEIF(MatchData[team],MatchData[[#this row],[team]],MatchData[total score])</f>
        <v>#VALUE!</v>
      </c>
      <c r="DD56" s="16" t="e">
        <f aca="false">ROUND(AVERAGEIF(MatchData[team],MatchData[team],MatchData[climb or challenge flag]),2)</f>
        <v>#VALUE!</v>
      </c>
    </row>
    <row r="57" customFormat="false" ht="14.5" hidden="false" customHeight="false" outlineLevel="0" collapsed="false">
      <c r="A57" s="17" t="s">
        <v>108</v>
      </c>
      <c r="B57" s="18" t="n">
        <v>10</v>
      </c>
      <c r="C57" s="15" t="n">
        <v>4662</v>
      </c>
      <c r="D57" s="5" t="s">
        <v>109</v>
      </c>
      <c r="E57" s="5" t="s">
        <v>118</v>
      </c>
      <c r="H57" s="5"/>
      <c r="J57" s="5" t="n">
        <v>1</v>
      </c>
      <c r="K57" s="5" t="n">
        <v>1</v>
      </c>
      <c r="L57" s="5"/>
      <c r="M57" s="5"/>
      <c r="N57" s="5" t="n">
        <v>1</v>
      </c>
      <c r="O57" s="5" t="n">
        <v>1</v>
      </c>
      <c r="P57" s="5"/>
      <c r="Q57" s="5" t="n">
        <v>1</v>
      </c>
      <c r="R57" s="0"/>
      <c r="S57" s="19" t="n">
        <v>1</v>
      </c>
      <c r="T57" s="19"/>
      <c r="U57" s="19"/>
      <c r="V57" s="19"/>
      <c r="W57" s="19"/>
      <c r="X57" s="19"/>
      <c r="Y57" s="19"/>
      <c r="Z57" s="19"/>
      <c r="AD57" s="5" t="n">
        <v>1</v>
      </c>
      <c r="AL57" s="5" t="n">
        <v>1</v>
      </c>
      <c r="AR57" s="5" t="n">
        <v>1</v>
      </c>
      <c r="BB57" s="5" t="n">
        <v>1</v>
      </c>
      <c r="BC57" s="5" t="e">
        <f aca="false">MatchData[cheval scored crossings]*5</f>
        <v>#VALUE!</v>
      </c>
      <c r="BD57" s="5" t="e">
        <f aca="false">MatchData[moat scored crosings]*5</f>
        <v>#VALUE!</v>
      </c>
      <c r="BE57" s="5" t="e">
        <f aca="false">MatchData[ramparts scored crossings]*5</f>
        <v>#VALUE!</v>
      </c>
      <c r="BF57" s="5" t="e">
        <f aca="false">MatchData[drawbridge scored crossings]*5</f>
        <v>#VALUE!</v>
      </c>
      <c r="BG57" s="5" t="e">
        <f aca="false">MatchData[sally port scored crossings]*5</f>
        <v>#VALUE!</v>
      </c>
      <c r="BH57" s="5" t="e">
        <f aca="false">MatchData[rock wall scored crossings]*5</f>
        <v>#VALUE!</v>
      </c>
      <c r="BI57" s="5" t="e">
        <f aca="false">MatchData[rough terrain scored crossings]*5</f>
        <v>#VALUE!</v>
      </c>
      <c r="BJ57" s="5" t="e">
        <f aca="false">MatchData[low bar scored crossings]*5</f>
        <v>#VALUE!</v>
      </c>
      <c r="BK57" s="5" t="e">
        <f aca="false">SUM(MatchData[[#this row],[low bar teleop crossings]:[rough terrain scored crossings]])</f>
        <v>#VALUE!</v>
      </c>
      <c r="BL57" s="5" t="e">
        <f aca="false">IFERROR(IF(OR(MatchData[[#this row],[challenge flag]],MatchData[[#this row],[climb flag]]),1,0),0)</f>
        <v>#VALUE!</v>
      </c>
      <c r="BM57" s="5" t="e">
        <f aca="false">MatchData[auto high goals]*10+MatchData[teleop high goals]*5</f>
        <v>#VALUE!</v>
      </c>
      <c r="BN57" s="5" t="e">
        <f aca="false">MatchData[auto low goals]*5+MatchData[teleop low goals]*2</f>
        <v>#VALUE!</v>
      </c>
      <c r="BO57" s="5" t="e">
        <f aca="false">MatchData[high goal score]+MatchData[low goal score]</f>
        <v>#VALUE!</v>
      </c>
      <c r="BP57" s="5" t="e">
        <f aca="false">MatchData[teleop high goals]+MatchData[teleop low goals]</f>
        <v>#VALUE!</v>
      </c>
      <c r="BQ57" s="5" t="e">
        <f aca="false">MatchData[[#this row],[auto reach flag]]*2+SUM(MatchData[[#this row],[portcullis auto crossings]:[low bar auto crossings]])*10+MatchData[[#this row],[auto low goals]]*5+MatchData[auto high goals]*10</f>
        <v>#VALUE!</v>
      </c>
      <c r="BR57" s="5" t="e">
        <f aca="false">SUM(MatchData[[#this row],[cheval teleop crossing score]:[low bar teleop crossing score]])</f>
        <v>#VALUE!</v>
      </c>
      <c r="BS57" s="5" t="e">
        <f aca="false">SUMIF(MatchData[team],MatchData[[#this row],[team]],MatchData[total auto score])/MatchData[match count]</f>
        <v>#VALUE!</v>
      </c>
      <c r="BT57" s="5" t="e">
        <f aca="false">MatchData[challenge flag]*5</f>
        <v>#VALUE!</v>
      </c>
      <c r="BU57" s="5" t="e">
        <f aca="false">MatchData[climb flag]*15</f>
        <v>#VALUE!</v>
      </c>
      <c r="BV57" s="5" t="e">
        <f aca="false">SUM(MatchData[[#this row],[total goal score]],MatchData[[#this row],[crossing score]],MatchData[[#this row],[challenge score]],MatchData[[#this row],[climb score]],MatchData[[#this row],[total auto score]])</f>
        <v>#VALUE!</v>
      </c>
      <c r="BW57" s="16" t="e">
        <f aca="false">ROUND(SUMIF(MatchData[team],MatchData[[#this row],[team]],MatchData[teleop low goals])/COUNTIF(MatchData[team],MatchData[[#this row],[team]]),2)</f>
        <v>#VALUE!</v>
      </c>
      <c r="BX57" s="16" t="e">
        <f aca="false">ROUND(SUMIF(MatchData[team],MatchData[[#this row],[team]],MatchData[teleop high goals])/COUNTIF(MatchData[team],MatchData[[#this row],[team]]),2)</f>
        <v>#VALUE!</v>
      </c>
      <c r="BY57" s="16" t="e">
        <f aca="false">COUNTIF(MatchData[team],MatchData[[#this row],[team]])</f>
        <v>#VALUE!</v>
      </c>
      <c r="BZ57" s="16" t="e">
        <f aca="false">SUMIF(MatchData[team],MatchData[[#this row],[team]],MatchData[portcullis available])</f>
        <v>#VALUE!</v>
      </c>
      <c r="CA57" s="16" t="e">
        <f aca="false">SUMIF(MatchData[team],MatchData[[#this row],[team]],MatchData[cheval available])</f>
        <v>#VALUE!</v>
      </c>
      <c r="CB57" s="16" t="e">
        <f aca="false">SUMIF(MatchData[team],MatchData[[#this row],[team]],MatchData[moat available])</f>
        <v>#VALUE!</v>
      </c>
      <c r="CC57" s="16" t="e">
        <f aca="false">SUMIF(MatchData[team],MatchData[[#this row],[team]],MatchData[ramparts available])</f>
        <v>#VALUE!</v>
      </c>
      <c r="CD57" s="16" t="e">
        <f aca="false">SUMIF(MatchData[team],MatchData[[#this row],[team]],MatchData[drawbridge available])</f>
        <v>#VALUE!</v>
      </c>
      <c r="CE57" s="16" t="e">
        <f aca="false">SUMIF(MatchData[team],MatchData[[#this row],[team]],MatchData[sally port available])</f>
        <v>#VALUE!</v>
      </c>
      <c r="CF57" s="16" t="e">
        <f aca="false">SUMIF(MatchData[team],MatchData[[#this row],[team]],MatchData[rock wall available])</f>
        <v>#VALUE!</v>
      </c>
      <c r="CG57" s="16" t="e">
        <f aca="false">SUMIF(MatchData[team],MatchData[[#this row],[team]],MatchData[rough terrain available])</f>
        <v>#VALUE!</v>
      </c>
      <c r="CH57" s="16" t="e">
        <f aca="false">SUMIF(MatchData[team],MatchData[[#this row],[team]],MatchData[low bar available])</f>
        <v>#VALUE!</v>
      </c>
      <c r="CI57" s="16" t="e">
        <f aca="false">SUMIF(MatchData[team],MatchData[[#this row],[team]],MatchData[portcullis teleop crossings]:MatchData[portcullis scored crossings])</f>
        <v>#VALUE!</v>
      </c>
      <c r="CJ57" s="16" t="e">
        <f aca="false">SUMIF(MatchData[team],MatchData[[#this row],[team]],MatchData[cheval teleop crossings])+SUMIF(MatchData[team],MatchData[[#this row],[team]],MatchData[cheval scored crossings])</f>
        <v>#VALUE!</v>
      </c>
      <c r="CK57" s="16" t="e">
        <f aca="false">SUMIF(MatchData[team],MatchData[[#this row],[team]],MatchData[moat teleop crossings])+SUMIF(MatchData[team],MatchData[[#this row],[team]],MatchData[moat scored crosings])</f>
        <v>#VALUE!</v>
      </c>
      <c r="CL57" s="16" t="e">
        <f aca="false">SUMIF(MatchData[team],MatchData[[#this row],[team]],MatchData[ramparts teleop crossings])+SUMIF(MatchData[team],MatchData[[#this row],[team]],MatchData[ramparts scored crossings])</f>
        <v>#VALUE!</v>
      </c>
      <c r="CM57" s="16" t="e">
        <f aca="false">SUMIF(MatchData[team],MatchData[[#this row],[team]],MatchData[drawbridge teleop crossings])+SUMIF(MatchData[team],MatchData[[#this row],[team]],MatchData[drawbridge scored crossings])</f>
        <v>#VALUE!</v>
      </c>
      <c r="CN57" s="16" t="e">
        <f aca="false">SUMIF(MatchData[team],MatchData[[#this row],[team]],MatchData[sally port teleop crossings])+SUMIF(MatchData[team],MatchData[[#this row],[team]],MatchData[sally port scored crossings])</f>
        <v>#VALUE!</v>
      </c>
      <c r="CO57" s="16" t="e">
        <f aca="false">SUMIF(MatchData[team],MatchData[[#this row],[team]],MatchData[rock wall teleop crossings])+SUMIF(MatchData[team],MatchData[[#this row],[team]],MatchData[rock wall scored crossings])</f>
        <v>#VALUE!</v>
      </c>
      <c r="CP57" s="16" t="e">
        <f aca="false">SUMIF(MatchData[team],MatchData[[#this row],[team]],MatchData[rough terrain teleop crossings])+SUMIF(MatchData[team],MatchData[[#this row],[team]],MatchData[rough terrain scored crossings])</f>
        <v>#VALUE!</v>
      </c>
      <c r="CQ57" s="16" t="e">
        <f aca="false">SUMIF(MatchData[team],MatchData[[#this row],[team]],MatchData[low bar teleop crossings])+SUMIF(MatchData[team],MatchData[[#this row],[team]],MatchData[low bar scored crossings])</f>
        <v>#VALUE!</v>
      </c>
      <c r="CR57" s="16" t="e">
        <f aca="false">IFERROR(ROUND(MatchData[[#this row],[portcullis sum]]/MatchData[[#this row],[portcullis avail count]],2),0)</f>
        <v>#VALUE!</v>
      </c>
      <c r="CS57" s="5" t="e">
        <f aca="false">IFERROR(ROUND(MatchData[[#this row],[cheval sum]]/MatchData[[#this row],[cheval avail count]],2),0)</f>
        <v>#VALUE!</v>
      </c>
      <c r="CT57" s="5" t="e">
        <f aca="false">IFERROR(ROUND(MatchData[[#this row],[moat sum]]/MatchData[[#this row],[moat avail count]],2),0)</f>
        <v>#VALUE!</v>
      </c>
      <c r="CU57" s="5" t="e">
        <f aca="false">IFERROR(ROUND(MatchData[[#this row],[ramparts sum]]/MatchData[[#this row],[ramparts avail count]],2),0)</f>
        <v>#VALUE!</v>
      </c>
      <c r="CV57" s="5" t="e">
        <f aca="false">IFERROR(ROUND(MatchData[[#this row],[drawbridge sum]]/MatchData[[#this row],[drawbridge avail countigh6]],2),0)</f>
        <v>#VALUE!</v>
      </c>
      <c r="CW57" s="5" t="e">
        <f aca="false">IFERROR(ROUND(MatchData[[#this row],[sally port sum]]/MatchData[[#this row],[sally port avail count]],2),0)</f>
        <v>#VALUE!</v>
      </c>
      <c r="CX57" s="5" t="e">
        <f aca="false">IFERROR(ROUND(MatchData[[#this row],[rock wall sum]]/MatchData[[#this row],[rock wall avail count]],2),0)</f>
        <v>#VALUE!</v>
      </c>
      <c r="CY57" s="5" t="e">
        <f aca="false">IFERROR(ROUND(MatchData[[#this row],[rough terrain sum]]/MatchData[[#this row],[rough terrain avail count]],2),0)</f>
        <v>#VALUE!</v>
      </c>
      <c r="CZ57" s="5" t="e">
        <f aca="false">IFERROR(ROUND(MatchData[[#this row],[low bar sum]]/MatchData[[#this row],[low bar avail count]],2),0)</f>
        <v>#VALUE!</v>
      </c>
      <c r="DA57" s="5" t="e">
        <f aca="false">SUM(MatchData[[#this row],[cheval sum]:[low bar sum]])/MatchData[match count]</f>
        <v>#VALUE!</v>
      </c>
      <c r="DB57" s="16" t="n">
        <f aca="false">MAX(IF(C$2:C$74=C57,BP$2:BP$74))</f>
        <v>-1.79769313486232E+308</v>
      </c>
      <c r="DC57" s="16" t="e">
        <f aca="false">AVERAGEIF(MatchData[team],MatchData[[#this row],[team]],MatchData[total score])</f>
        <v>#VALUE!</v>
      </c>
      <c r="DD57" s="16" t="e">
        <f aca="false">ROUND(AVERAGEIF(MatchData[team],MatchData[team],MatchData[climb or challenge flag]),2)</f>
        <v>#VALUE!</v>
      </c>
    </row>
    <row r="58" customFormat="false" ht="14.5" hidden="false" customHeight="false" outlineLevel="0" collapsed="false">
      <c r="A58" s="17" t="s">
        <v>108</v>
      </c>
      <c r="B58" s="14" t="n">
        <v>10</v>
      </c>
      <c r="C58" s="15" t="n">
        <v>5970</v>
      </c>
      <c r="D58" s="5" t="s">
        <v>109</v>
      </c>
      <c r="E58" s="5" t="s">
        <v>135</v>
      </c>
      <c r="H58" s="5"/>
      <c r="J58" s="5" t="n">
        <v>1</v>
      </c>
      <c r="K58" s="5" t="n">
        <v>1</v>
      </c>
      <c r="L58" s="5"/>
      <c r="M58" s="5"/>
      <c r="N58" s="5" t="n">
        <v>1</v>
      </c>
      <c r="O58" s="5" t="n">
        <v>1</v>
      </c>
      <c r="P58" s="5"/>
      <c r="Q58" s="5" t="n">
        <v>1</v>
      </c>
      <c r="R58" s="0"/>
      <c r="S58" s="19"/>
      <c r="T58" s="19"/>
      <c r="U58" s="19"/>
      <c r="V58" s="19"/>
      <c r="W58" s="19"/>
      <c r="X58" s="19"/>
      <c r="Y58" s="19"/>
      <c r="Z58" s="19"/>
      <c r="AB58" s="5" t="n">
        <v>1</v>
      </c>
      <c r="AF58" s="5" t="n">
        <v>2</v>
      </c>
      <c r="AU58" s="5" t="n">
        <v>1</v>
      </c>
      <c r="BC58" s="5" t="e">
        <f aca="false">MatchData[cheval scored crossings]*5</f>
        <v>#VALUE!</v>
      </c>
      <c r="BD58" s="5" t="e">
        <f aca="false">MatchData[moat scored crosings]*5</f>
        <v>#VALUE!</v>
      </c>
      <c r="BE58" s="5" t="e">
        <f aca="false">MatchData[ramparts scored crossings]*5</f>
        <v>#VALUE!</v>
      </c>
      <c r="BF58" s="5" t="e">
        <f aca="false">MatchData[drawbridge scored crossings]*5</f>
        <v>#VALUE!</v>
      </c>
      <c r="BG58" s="5" t="e">
        <f aca="false">MatchData[sally port scored crossings]*5</f>
        <v>#VALUE!</v>
      </c>
      <c r="BH58" s="5" t="e">
        <f aca="false">MatchData[rock wall scored crossings]*5</f>
        <v>#VALUE!</v>
      </c>
      <c r="BI58" s="5" t="e">
        <f aca="false">MatchData[rough terrain scored crossings]*5</f>
        <v>#VALUE!</v>
      </c>
      <c r="BJ58" s="5" t="e">
        <f aca="false">MatchData[low bar scored crossings]*5</f>
        <v>#VALUE!</v>
      </c>
      <c r="BK58" s="5" t="e">
        <f aca="false">SUM(MatchData[[#this row],[low bar teleop crossings]:[rough terrain scored crossings]])</f>
        <v>#VALUE!</v>
      </c>
      <c r="BL58" s="5" t="e">
        <f aca="false">IFERROR(IF(OR(MatchData[[#this row],[challenge flag]],MatchData[[#this row],[climb flag]]),1,0),0)</f>
        <v>#VALUE!</v>
      </c>
      <c r="BM58" s="5" t="e">
        <f aca="false">MatchData[auto high goals]*10+MatchData[teleop high goals]*5</f>
        <v>#VALUE!</v>
      </c>
      <c r="BN58" s="5" t="e">
        <f aca="false">MatchData[auto low goals]*5+MatchData[teleop low goals]*2</f>
        <v>#VALUE!</v>
      </c>
      <c r="BO58" s="5" t="e">
        <f aca="false">MatchData[high goal score]+MatchData[low goal score]</f>
        <v>#VALUE!</v>
      </c>
      <c r="BP58" s="5" t="e">
        <f aca="false">MatchData[teleop high goals]+MatchData[teleop low goals]</f>
        <v>#VALUE!</v>
      </c>
      <c r="BQ58" s="5" t="e">
        <f aca="false">MatchData[[#this row],[auto reach flag]]*2+SUM(MatchData[[#this row],[portcullis auto crossings]:[low bar auto crossings]])*10+MatchData[[#this row],[auto low goals]]*5+MatchData[auto high goals]*10</f>
        <v>#VALUE!</v>
      </c>
      <c r="BR58" s="5" t="e">
        <f aca="false">SUM(MatchData[[#this row],[cheval teleop crossing score]:[low bar teleop crossing score]])</f>
        <v>#VALUE!</v>
      </c>
      <c r="BS58" s="5" t="e">
        <f aca="false">SUMIF(MatchData[team],MatchData[[#this row],[team]],MatchData[total auto score])/MatchData[match count]</f>
        <v>#VALUE!</v>
      </c>
      <c r="BT58" s="5" t="e">
        <f aca="false">MatchData[challenge flag]*5</f>
        <v>#VALUE!</v>
      </c>
      <c r="BU58" s="5" t="e">
        <f aca="false">MatchData[climb flag]*15</f>
        <v>#VALUE!</v>
      </c>
      <c r="BV58" s="5" t="e">
        <f aca="false">SUM(MatchData[[#this row],[total goal score]],MatchData[[#this row],[crossing score]],MatchData[[#this row],[challenge score]],MatchData[[#this row],[climb score]],MatchData[[#this row],[total auto score]])</f>
        <v>#VALUE!</v>
      </c>
      <c r="BW58" s="16" t="e">
        <f aca="false">ROUND(SUMIF(MatchData[team],MatchData[[#this row],[team]],MatchData[teleop low goals])/COUNTIF(MatchData[team],MatchData[[#this row],[team]]),2)</f>
        <v>#VALUE!</v>
      </c>
      <c r="BX58" s="16" t="e">
        <f aca="false">ROUND(SUMIF(MatchData[team],MatchData[[#this row],[team]],MatchData[teleop high goals])/COUNTIF(MatchData[team],MatchData[[#this row],[team]]),2)</f>
        <v>#VALUE!</v>
      </c>
      <c r="BY58" s="16" t="e">
        <f aca="false">COUNTIF(MatchData[team],MatchData[[#this row],[team]])</f>
        <v>#VALUE!</v>
      </c>
      <c r="BZ58" s="16" t="e">
        <f aca="false">SUMIF(MatchData[team],MatchData[[#this row],[team]],MatchData[portcullis available])</f>
        <v>#VALUE!</v>
      </c>
      <c r="CA58" s="16" t="e">
        <f aca="false">SUMIF(MatchData[team],MatchData[[#this row],[team]],MatchData[cheval available])</f>
        <v>#VALUE!</v>
      </c>
      <c r="CB58" s="16" t="e">
        <f aca="false">SUMIF(MatchData[team],MatchData[[#this row],[team]],MatchData[moat available])</f>
        <v>#VALUE!</v>
      </c>
      <c r="CC58" s="16" t="e">
        <f aca="false">SUMIF(MatchData[team],MatchData[[#this row],[team]],MatchData[ramparts available])</f>
        <v>#VALUE!</v>
      </c>
      <c r="CD58" s="16" t="e">
        <f aca="false">SUMIF(MatchData[team],MatchData[[#this row],[team]],MatchData[drawbridge available])</f>
        <v>#VALUE!</v>
      </c>
      <c r="CE58" s="16" t="e">
        <f aca="false">SUMIF(MatchData[team],MatchData[[#this row],[team]],MatchData[sally port available])</f>
        <v>#VALUE!</v>
      </c>
      <c r="CF58" s="16" t="e">
        <f aca="false">SUMIF(MatchData[team],MatchData[[#this row],[team]],MatchData[rock wall available])</f>
        <v>#VALUE!</v>
      </c>
      <c r="CG58" s="16" t="e">
        <f aca="false">SUMIF(MatchData[team],MatchData[[#this row],[team]],MatchData[rough terrain available])</f>
        <v>#VALUE!</v>
      </c>
      <c r="CH58" s="16" t="e">
        <f aca="false">SUMIF(MatchData[team],MatchData[[#this row],[team]],MatchData[low bar available])</f>
        <v>#VALUE!</v>
      </c>
      <c r="CI58" s="16" t="e">
        <f aca="false">SUMIF(MatchData[team],MatchData[[#this row],[team]],MatchData[portcullis teleop crossings]:MatchData[portcullis scored crossings])</f>
        <v>#VALUE!</v>
      </c>
      <c r="CJ58" s="16" t="e">
        <f aca="false">SUMIF(MatchData[team],MatchData[[#this row],[team]],MatchData[cheval teleop crossings])+SUMIF(MatchData[team],MatchData[[#this row],[team]],MatchData[cheval scored crossings])</f>
        <v>#VALUE!</v>
      </c>
      <c r="CK58" s="16" t="e">
        <f aca="false">SUMIF(MatchData[team],MatchData[[#this row],[team]],MatchData[moat teleop crossings])+SUMIF(MatchData[team],MatchData[[#this row],[team]],MatchData[moat scored crosings])</f>
        <v>#VALUE!</v>
      </c>
      <c r="CL58" s="16" t="e">
        <f aca="false">SUMIF(MatchData[team],MatchData[[#this row],[team]],MatchData[ramparts teleop crossings])+SUMIF(MatchData[team],MatchData[[#this row],[team]],MatchData[ramparts scored crossings])</f>
        <v>#VALUE!</v>
      </c>
      <c r="CM58" s="16" t="e">
        <f aca="false">SUMIF(MatchData[team],MatchData[[#this row],[team]],MatchData[drawbridge teleop crossings])+SUMIF(MatchData[team],MatchData[[#this row],[team]],MatchData[drawbridge scored crossings])</f>
        <v>#VALUE!</v>
      </c>
      <c r="CN58" s="16" t="e">
        <f aca="false">SUMIF(MatchData[team],MatchData[[#this row],[team]],MatchData[sally port teleop crossings])+SUMIF(MatchData[team],MatchData[[#this row],[team]],MatchData[sally port scored crossings])</f>
        <v>#VALUE!</v>
      </c>
      <c r="CO58" s="16" t="e">
        <f aca="false">SUMIF(MatchData[team],MatchData[[#this row],[team]],MatchData[rock wall teleop crossings])+SUMIF(MatchData[team],MatchData[[#this row],[team]],MatchData[rock wall scored crossings])</f>
        <v>#VALUE!</v>
      </c>
      <c r="CP58" s="16" t="e">
        <f aca="false">SUMIF(MatchData[team],MatchData[[#this row],[team]],MatchData[rough terrain teleop crossings])+SUMIF(MatchData[team],MatchData[[#this row],[team]],MatchData[rough terrain scored crossings])</f>
        <v>#VALUE!</v>
      </c>
      <c r="CQ58" s="16" t="e">
        <f aca="false">SUMIF(MatchData[team],MatchData[[#this row],[team]],MatchData[low bar teleop crossings])+SUMIF(MatchData[team],MatchData[[#this row],[team]],MatchData[low bar scored crossings])</f>
        <v>#VALUE!</v>
      </c>
      <c r="CR58" s="16" t="e">
        <f aca="false">IFERROR(ROUND(MatchData[[#this row],[portcullis sum]]/MatchData[[#this row],[portcullis avail count]],2),0)</f>
        <v>#VALUE!</v>
      </c>
      <c r="CS58" s="5" t="e">
        <f aca="false">IFERROR(ROUND(MatchData[[#this row],[cheval sum]]/MatchData[[#this row],[cheval avail count]],2),0)</f>
        <v>#VALUE!</v>
      </c>
      <c r="CT58" s="5" t="e">
        <f aca="false">IFERROR(ROUND(MatchData[[#this row],[moat sum]]/MatchData[[#this row],[moat avail count]],2),0)</f>
        <v>#VALUE!</v>
      </c>
      <c r="CU58" s="5" t="e">
        <f aca="false">IFERROR(ROUND(MatchData[[#this row],[ramparts sum]]/MatchData[[#this row],[ramparts avail count]],2),0)</f>
        <v>#VALUE!</v>
      </c>
      <c r="CV58" s="5" t="e">
        <f aca="false">IFERROR(ROUND(MatchData[[#this row],[drawbridge sum]]/MatchData[[#this row],[drawbridge avail countigh6]],2),0)</f>
        <v>#VALUE!</v>
      </c>
      <c r="CW58" s="5" t="e">
        <f aca="false">IFERROR(ROUND(MatchData[[#this row],[sally port sum]]/MatchData[[#this row],[sally port avail count]],2),0)</f>
        <v>#VALUE!</v>
      </c>
      <c r="CX58" s="5" t="e">
        <f aca="false">IFERROR(ROUND(MatchData[[#this row],[rock wall sum]]/MatchData[[#this row],[rock wall avail count]],2),0)</f>
        <v>#VALUE!</v>
      </c>
      <c r="CY58" s="5" t="e">
        <f aca="false">IFERROR(ROUND(MatchData[[#this row],[rough terrain sum]]/MatchData[[#this row],[rough terrain avail count]],2),0)</f>
        <v>#VALUE!</v>
      </c>
      <c r="CZ58" s="5" t="e">
        <f aca="false">IFERROR(ROUND(MatchData[[#this row],[low bar sum]]/MatchData[[#this row],[low bar avail count]],2),0)</f>
        <v>#VALUE!</v>
      </c>
      <c r="DA58" s="5" t="e">
        <f aca="false">SUM(MatchData[[#this row],[cheval sum]:[low bar sum]])/MatchData[match count]</f>
        <v>#VALUE!</v>
      </c>
      <c r="DB58" s="16" t="n">
        <f aca="false">MAX(IF(C$2:C$74=C58,BP$2:BP$74))</f>
        <v>-1.79769313486232E+308</v>
      </c>
      <c r="DC58" s="16" t="e">
        <f aca="false">AVERAGEIF(MatchData[team],MatchData[[#this row],[team]],MatchData[total score])</f>
        <v>#VALUE!</v>
      </c>
      <c r="DD58" s="16" t="e">
        <f aca="false">ROUND(AVERAGEIF(MatchData[team],MatchData[team],MatchData[climb or challenge flag]),2)</f>
        <v>#VALUE!</v>
      </c>
    </row>
    <row r="59" customFormat="false" ht="14.5" hidden="false" customHeight="false" outlineLevel="0" collapsed="false">
      <c r="A59" s="13" t="s">
        <v>108</v>
      </c>
      <c r="B59" s="14" t="n">
        <v>10</v>
      </c>
      <c r="C59" s="15" t="n">
        <v>2915</v>
      </c>
      <c r="D59" s="5" t="s">
        <v>113</v>
      </c>
      <c r="E59" s="5" t="s">
        <v>136</v>
      </c>
      <c r="H59" s="5"/>
      <c r="J59" s="5" t="n">
        <v>1</v>
      </c>
      <c r="K59" s="5"/>
      <c r="L59" s="5" t="n">
        <v>1</v>
      </c>
      <c r="M59" s="5"/>
      <c r="N59" s="5" t="n">
        <v>1</v>
      </c>
      <c r="O59" s="5" t="n">
        <v>1</v>
      </c>
      <c r="P59" s="5"/>
      <c r="Q59" s="5" t="n">
        <v>1</v>
      </c>
      <c r="R59" s="0"/>
      <c r="T59" s="0"/>
      <c r="V59" s="0"/>
      <c r="W59" s="0"/>
      <c r="X59" s="0"/>
      <c r="AZ59" s="5" t="n">
        <v>1</v>
      </c>
      <c r="BC59" s="5" t="e">
        <f aca="false">MatchData[cheval scored crossings]*5</f>
        <v>#VALUE!</v>
      </c>
      <c r="BD59" s="5" t="e">
        <f aca="false">MatchData[moat scored crosings]*5</f>
        <v>#VALUE!</v>
      </c>
      <c r="BE59" s="5" t="e">
        <f aca="false">MatchData[ramparts scored crossings]*5</f>
        <v>#VALUE!</v>
      </c>
      <c r="BF59" s="5" t="e">
        <f aca="false">MatchData[drawbridge scored crossings]*5</f>
        <v>#VALUE!</v>
      </c>
      <c r="BG59" s="5" t="e">
        <f aca="false">MatchData[sally port scored crossings]*5</f>
        <v>#VALUE!</v>
      </c>
      <c r="BH59" s="5" t="e">
        <f aca="false">MatchData[rock wall scored crossings]*5</f>
        <v>#VALUE!</v>
      </c>
      <c r="BI59" s="5" t="e">
        <f aca="false">MatchData[rough terrain scored crossings]*5</f>
        <v>#VALUE!</v>
      </c>
      <c r="BJ59" s="5" t="e">
        <f aca="false">MatchData[low bar scored crossings]*5</f>
        <v>#VALUE!</v>
      </c>
      <c r="BK59" s="5" t="e">
        <f aca="false">SUM(MatchData[[#this row],[low bar teleop crossings]:[rough terrain scored crossings]])</f>
        <v>#VALUE!</v>
      </c>
      <c r="BL59" s="5" t="e">
        <f aca="false">IFERROR(IF(OR(MatchData[[#this row],[challenge flag]],MatchData[[#this row],[climb flag]]),1,0),0)</f>
        <v>#VALUE!</v>
      </c>
      <c r="BM59" s="5" t="e">
        <f aca="false">MatchData[auto high goals]*10+MatchData[teleop high goals]*5</f>
        <v>#VALUE!</v>
      </c>
      <c r="BN59" s="5" t="e">
        <f aca="false">MatchData[auto low goals]*5+MatchData[teleop low goals]*2</f>
        <v>#VALUE!</v>
      </c>
      <c r="BO59" s="5" t="e">
        <f aca="false">MatchData[high goal score]+MatchData[low goal score]</f>
        <v>#VALUE!</v>
      </c>
      <c r="BP59" s="5" t="e">
        <f aca="false">MatchData[teleop high goals]+MatchData[teleop low goals]</f>
        <v>#VALUE!</v>
      </c>
      <c r="BQ59" s="5" t="e">
        <f aca="false">MatchData[[#this row],[auto reach flag]]*2+SUM(MatchData[[#this row],[portcullis auto crossings]:[low bar auto crossings]])*10+MatchData[[#this row],[auto low goals]]*5+MatchData[auto high goals]*10</f>
        <v>#VALUE!</v>
      </c>
      <c r="BR59" s="5" t="e">
        <f aca="false">SUM(MatchData[[#this row],[cheval teleop crossing score]:[low bar teleop crossing score]])</f>
        <v>#VALUE!</v>
      </c>
      <c r="BS59" s="5" t="e">
        <f aca="false">SUMIF(MatchData[team],MatchData[[#this row],[team]],MatchData[total auto score])/MatchData[match count]</f>
        <v>#VALUE!</v>
      </c>
      <c r="BT59" s="5" t="e">
        <f aca="false">MatchData[challenge flag]*5</f>
        <v>#VALUE!</v>
      </c>
      <c r="BU59" s="5" t="e">
        <f aca="false">MatchData[climb flag]*15</f>
        <v>#VALUE!</v>
      </c>
      <c r="BV59" s="5" t="e">
        <f aca="false">SUM(MatchData[[#this row],[total goal score]],MatchData[[#this row],[crossing score]],MatchData[[#this row],[challenge score]],MatchData[[#this row],[climb score]],MatchData[[#this row],[total auto score]])</f>
        <v>#VALUE!</v>
      </c>
      <c r="BW59" s="16" t="e">
        <f aca="false">ROUND(SUMIF(MatchData[team],MatchData[[#this row],[team]],MatchData[teleop low goals])/COUNTIF(MatchData[team],MatchData[[#this row],[team]]),2)</f>
        <v>#VALUE!</v>
      </c>
      <c r="BX59" s="16" t="e">
        <f aca="false">ROUND(SUMIF(MatchData[team],MatchData[[#this row],[team]],MatchData[teleop high goals])/COUNTIF(MatchData[team],MatchData[[#this row],[team]]),2)</f>
        <v>#VALUE!</v>
      </c>
      <c r="BY59" s="16" t="e">
        <f aca="false">COUNTIF(MatchData[team],MatchData[[#this row],[team]])</f>
        <v>#VALUE!</v>
      </c>
      <c r="BZ59" s="16" t="e">
        <f aca="false">SUMIF(MatchData[team],MatchData[[#this row],[team]],MatchData[portcullis available])</f>
        <v>#VALUE!</v>
      </c>
      <c r="CA59" s="16" t="e">
        <f aca="false">SUMIF(MatchData[team],MatchData[[#this row],[team]],MatchData[cheval available])</f>
        <v>#VALUE!</v>
      </c>
      <c r="CB59" s="16" t="e">
        <f aca="false">SUMIF(MatchData[team],MatchData[[#this row],[team]],MatchData[moat available])</f>
        <v>#VALUE!</v>
      </c>
      <c r="CC59" s="16" t="e">
        <f aca="false">SUMIF(MatchData[team],MatchData[[#this row],[team]],MatchData[ramparts available])</f>
        <v>#VALUE!</v>
      </c>
      <c r="CD59" s="16" t="e">
        <f aca="false">SUMIF(MatchData[team],MatchData[[#this row],[team]],MatchData[drawbridge available])</f>
        <v>#VALUE!</v>
      </c>
      <c r="CE59" s="16" t="e">
        <f aca="false">SUMIF(MatchData[team],MatchData[[#this row],[team]],MatchData[sally port available])</f>
        <v>#VALUE!</v>
      </c>
      <c r="CF59" s="16" t="e">
        <f aca="false">SUMIF(MatchData[team],MatchData[[#this row],[team]],MatchData[rock wall available])</f>
        <v>#VALUE!</v>
      </c>
      <c r="CG59" s="16" t="e">
        <f aca="false">SUMIF(MatchData[team],MatchData[[#this row],[team]],MatchData[rough terrain available])</f>
        <v>#VALUE!</v>
      </c>
      <c r="CH59" s="16" t="e">
        <f aca="false">SUMIF(MatchData[team],MatchData[[#this row],[team]],MatchData[low bar available])</f>
        <v>#VALUE!</v>
      </c>
      <c r="CI59" s="16" t="e">
        <f aca="false">SUMIF(MatchData[team],MatchData[[#this row],[team]],MatchData[portcullis teleop crossings]:MatchData[portcullis scored crossings])</f>
        <v>#VALUE!</v>
      </c>
      <c r="CJ59" s="16" t="e">
        <f aca="false">SUMIF(MatchData[team],MatchData[[#this row],[team]],MatchData[cheval teleop crossings])+SUMIF(MatchData[team],MatchData[[#this row],[team]],MatchData[cheval scored crossings])</f>
        <v>#VALUE!</v>
      </c>
      <c r="CK59" s="16" t="e">
        <f aca="false">SUMIF(MatchData[team],MatchData[[#this row],[team]],MatchData[moat teleop crossings])+SUMIF(MatchData[team],MatchData[[#this row],[team]],MatchData[moat scored crosings])</f>
        <v>#VALUE!</v>
      </c>
      <c r="CL59" s="16" t="e">
        <f aca="false">SUMIF(MatchData[team],MatchData[[#this row],[team]],MatchData[ramparts teleop crossings])+SUMIF(MatchData[team],MatchData[[#this row],[team]],MatchData[ramparts scored crossings])</f>
        <v>#VALUE!</v>
      </c>
      <c r="CM59" s="16" t="e">
        <f aca="false">SUMIF(MatchData[team],MatchData[[#this row],[team]],MatchData[drawbridge teleop crossings])+SUMIF(MatchData[team],MatchData[[#this row],[team]],MatchData[drawbridge scored crossings])</f>
        <v>#VALUE!</v>
      </c>
      <c r="CN59" s="16" t="e">
        <f aca="false">SUMIF(MatchData[team],MatchData[[#this row],[team]],MatchData[sally port teleop crossings])+SUMIF(MatchData[team],MatchData[[#this row],[team]],MatchData[sally port scored crossings])</f>
        <v>#VALUE!</v>
      </c>
      <c r="CO59" s="16" t="e">
        <f aca="false">SUMIF(MatchData[team],MatchData[[#this row],[team]],MatchData[rock wall teleop crossings])+SUMIF(MatchData[team],MatchData[[#this row],[team]],MatchData[rock wall scored crossings])</f>
        <v>#VALUE!</v>
      </c>
      <c r="CP59" s="16" t="e">
        <f aca="false">SUMIF(MatchData[team],MatchData[[#this row],[team]],MatchData[rough terrain teleop crossings])+SUMIF(MatchData[team],MatchData[[#this row],[team]],MatchData[rough terrain scored crossings])</f>
        <v>#VALUE!</v>
      </c>
      <c r="CQ59" s="16" t="e">
        <f aca="false">SUMIF(MatchData[team],MatchData[[#this row],[team]],MatchData[low bar teleop crossings])+SUMIF(MatchData[team],MatchData[[#this row],[team]],MatchData[low bar scored crossings])</f>
        <v>#VALUE!</v>
      </c>
      <c r="CR59" s="16" t="e">
        <f aca="false">IFERROR(ROUND(MatchData[[#this row],[portcullis sum]]/MatchData[[#this row],[portcullis avail count]],2),0)</f>
        <v>#VALUE!</v>
      </c>
      <c r="CS59" s="5" t="e">
        <f aca="false">IFERROR(ROUND(MatchData[[#this row],[cheval sum]]/MatchData[[#this row],[cheval avail count]],2),0)</f>
        <v>#VALUE!</v>
      </c>
      <c r="CT59" s="5" t="e">
        <f aca="false">IFERROR(ROUND(MatchData[[#this row],[moat sum]]/MatchData[[#this row],[moat avail count]],2),0)</f>
        <v>#VALUE!</v>
      </c>
      <c r="CU59" s="5" t="e">
        <f aca="false">IFERROR(ROUND(MatchData[[#this row],[ramparts sum]]/MatchData[[#this row],[ramparts avail count]],2),0)</f>
        <v>#VALUE!</v>
      </c>
      <c r="CV59" s="5" t="e">
        <f aca="false">IFERROR(ROUND(MatchData[[#this row],[drawbridge sum]]/MatchData[[#this row],[drawbridge avail countigh6]],2),0)</f>
        <v>#VALUE!</v>
      </c>
      <c r="CW59" s="5" t="e">
        <f aca="false">IFERROR(ROUND(MatchData[[#this row],[sally port sum]]/MatchData[[#this row],[sally port avail count]],2),0)</f>
        <v>#VALUE!</v>
      </c>
      <c r="CX59" s="5" t="e">
        <f aca="false">IFERROR(ROUND(MatchData[[#this row],[rock wall sum]]/MatchData[[#this row],[rock wall avail count]],2),0)</f>
        <v>#VALUE!</v>
      </c>
      <c r="CY59" s="5" t="e">
        <f aca="false">IFERROR(ROUND(MatchData[[#this row],[rough terrain sum]]/MatchData[[#this row],[rough terrain avail count]],2),0)</f>
        <v>#VALUE!</v>
      </c>
      <c r="CZ59" s="5" t="e">
        <f aca="false">IFERROR(ROUND(MatchData[[#this row],[low bar sum]]/MatchData[[#this row],[low bar avail count]],2),0)</f>
        <v>#VALUE!</v>
      </c>
      <c r="DA59" s="5" t="e">
        <f aca="false">SUM(MatchData[[#this row],[cheval sum]:[low bar sum]])/MatchData[match count]</f>
        <v>#VALUE!</v>
      </c>
      <c r="DB59" s="16" t="n">
        <f aca="false">MAX(IF(C$2:C$74=C59,BP$2:BP$74))</f>
        <v>-1.79769313486232E+308</v>
      </c>
      <c r="DC59" s="16" t="e">
        <f aca="false">AVERAGEIF(MatchData[team],MatchData[[#this row],[team]],MatchData[total score])</f>
        <v>#VALUE!</v>
      </c>
      <c r="DD59" s="16" t="e">
        <f aca="false">ROUND(AVERAGEIF(MatchData[team],MatchData[team],MatchData[climb or challenge flag]),2)</f>
        <v>#VALUE!</v>
      </c>
    </row>
    <row r="60" customFormat="false" ht="14.5" hidden="false" customHeight="false" outlineLevel="0" collapsed="false">
      <c r="A60" s="17" t="s">
        <v>108</v>
      </c>
      <c r="B60" s="18" t="n">
        <v>10</v>
      </c>
      <c r="C60" s="15" t="n">
        <v>3812</v>
      </c>
      <c r="D60" s="5" t="s">
        <v>113</v>
      </c>
      <c r="E60" s="5" t="s">
        <v>137</v>
      </c>
      <c r="G60" s="5" t="n">
        <v>1</v>
      </c>
      <c r="H60" s="5"/>
      <c r="J60" s="5" t="n">
        <v>1</v>
      </c>
      <c r="K60" s="5" t="n">
        <v>1</v>
      </c>
      <c r="L60" s="5"/>
      <c r="M60" s="5"/>
      <c r="N60" s="5" t="n">
        <v>1</v>
      </c>
      <c r="O60" s="5"/>
      <c r="P60" s="5" t="n">
        <v>1</v>
      </c>
      <c r="Q60" s="5" t="n">
        <v>1</v>
      </c>
      <c r="R60" s="0"/>
      <c r="T60" s="0"/>
      <c r="V60" s="0"/>
      <c r="W60" s="5" t="n">
        <v>1</v>
      </c>
      <c r="X60" s="0"/>
      <c r="AC60" s="5" t="n">
        <v>1</v>
      </c>
      <c r="AH60" s="5" t="n">
        <v>1</v>
      </c>
      <c r="AL60" s="5" t="n">
        <v>1</v>
      </c>
      <c r="AP60" s="5" t="n">
        <v>2</v>
      </c>
      <c r="AT60" s="5" t="n">
        <v>2</v>
      </c>
      <c r="BC60" s="5" t="e">
        <f aca="false">MatchData[cheval scored crossings]*5</f>
        <v>#VALUE!</v>
      </c>
      <c r="BD60" s="5" t="e">
        <f aca="false">MatchData[moat scored crosings]*5</f>
        <v>#VALUE!</v>
      </c>
      <c r="BE60" s="5" t="e">
        <f aca="false">MatchData[ramparts scored crossings]*5</f>
        <v>#VALUE!</v>
      </c>
      <c r="BF60" s="5" t="e">
        <f aca="false">MatchData[drawbridge scored crossings]*5</f>
        <v>#VALUE!</v>
      </c>
      <c r="BG60" s="5" t="e">
        <f aca="false">MatchData[sally port scored crossings]*5</f>
        <v>#VALUE!</v>
      </c>
      <c r="BH60" s="5" t="e">
        <f aca="false">MatchData[rock wall scored crossings]*5</f>
        <v>#VALUE!</v>
      </c>
      <c r="BI60" s="5" t="e">
        <f aca="false">MatchData[rough terrain scored crossings]*5</f>
        <v>#VALUE!</v>
      </c>
      <c r="BJ60" s="5" t="e">
        <f aca="false">MatchData[low bar scored crossings]*5</f>
        <v>#VALUE!</v>
      </c>
      <c r="BK60" s="5" t="e">
        <f aca="false">SUM(MatchData[[#this row],[low bar teleop crossings]:[rough terrain scored crossings]])</f>
        <v>#VALUE!</v>
      </c>
      <c r="BL60" s="5" t="e">
        <f aca="false">IFERROR(IF(OR(MatchData[[#this row],[challenge flag]],MatchData[[#this row],[climb flag]]),1,0),0)</f>
        <v>#VALUE!</v>
      </c>
      <c r="BM60" s="5" t="e">
        <f aca="false">MatchData[auto high goals]*10+MatchData[teleop high goals]*5</f>
        <v>#VALUE!</v>
      </c>
      <c r="BN60" s="5" t="e">
        <f aca="false">MatchData[auto low goals]*5+MatchData[teleop low goals]*2</f>
        <v>#VALUE!</v>
      </c>
      <c r="BO60" s="5" t="e">
        <f aca="false">MatchData[high goal score]+MatchData[low goal score]</f>
        <v>#VALUE!</v>
      </c>
      <c r="BP60" s="5" t="e">
        <f aca="false">MatchData[teleop high goals]+MatchData[teleop low goals]</f>
        <v>#VALUE!</v>
      </c>
      <c r="BQ60" s="5" t="e">
        <f aca="false">MatchData[[#this row],[auto reach flag]]*2+SUM(MatchData[[#this row],[portcullis auto crossings]:[low bar auto crossings]])*10+MatchData[[#this row],[auto low goals]]*5+MatchData[auto high goals]*10</f>
        <v>#VALUE!</v>
      </c>
      <c r="BR60" s="5" t="e">
        <f aca="false">SUM(MatchData[[#this row],[cheval teleop crossing score]:[low bar teleop crossing score]])</f>
        <v>#VALUE!</v>
      </c>
      <c r="BS60" s="5" t="e">
        <f aca="false">SUMIF(MatchData[team],MatchData[[#this row],[team]],MatchData[total auto score])/MatchData[match count]</f>
        <v>#VALUE!</v>
      </c>
      <c r="BT60" s="5" t="e">
        <f aca="false">MatchData[challenge flag]*5</f>
        <v>#VALUE!</v>
      </c>
      <c r="BU60" s="5" t="e">
        <f aca="false">MatchData[climb flag]*15</f>
        <v>#VALUE!</v>
      </c>
      <c r="BV60" s="5" t="e">
        <f aca="false">SUM(MatchData[[#this row],[total goal score]],MatchData[[#this row],[crossing score]],MatchData[[#this row],[challenge score]],MatchData[[#this row],[climb score]],MatchData[[#this row],[total auto score]])</f>
        <v>#VALUE!</v>
      </c>
      <c r="BW60" s="16" t="e">
        <f aca="false">ROUND(SUMIF(MatchData[team],MatchData[[#this row],[team]],MatchData[teleop low goals])/COUNTIF(MatchData[team],MatchData[[#this row],[team]]),2)</f>
        <v>#VALUE!</v>
      </c>
      <c r="BX60" s="16" t="e">
        <f aca="false">ROUND(SUMIF(MatchData[team],MatchData[[#this row],[team]],MatchData[teleop high goals])/COUNTIF(MatchData[team],MatchData[[#this row],[team]]),2)</f>
        <v>#VALUE!</v>
      </c>
      <c r="BY60" s="16" t="e">
        <f aca="false">COUNTIF(MatchData[team],MatchData[[#this row],[team]])</f>
        <v>#VALUE!</v>
      </c>
      <c r="BZ60" s="16" t="e">
        <f aca="false">SUMIF(MatchData[team],MatchData[[#this row],[team]],MatchData[portcullis available])</f>
        <v>#VALUE!</v>
      </c>
      <c r="CA60" s="16" t="e">
        <f aca="false">SUMIF(MatchData[team],MatchData[[#this row],[team]],MatchData[cheval available])</f>
        <v>#VALUE!</v>
      </c>
      <c r="CB60" s="16" t="e">
        <f aca="false">SUMIF(MatchData[team],MatchData[[#this row],[team]],MatchData[moat available])</f>
        <v>#VALUE!</v>
      </c>
      <c r="CC60" s="16" t="e">
        <f aca="false">SUMIF(MatchData[team],MatchData[[#this row],[team]],MatchData[ramparts available])</f>
        <v>#VALUE!</v>
      </c>
      <c r="CD60" s="16" t="e">
        <f aca="false">SUMIF(MatchData[team],MatchData[[#this row],[team]],MatchData[drawbridge available])</f>
        <v>#VALUE!</v>
      </c>
      <c r="CE60" s="16" t="e">
        <f aca="false">SUMIF(MatchData[team],MatchData[[#this row],[team]],MatchData[sally port available])</f>
        <v>#VALUE!</v>
      </c>
      <c r="CF60" s="16" t="e">
        <f aca="false">SUMIF(MatchData[team],MatchData[[#this row],[team]],MatchData[rock wall available])</f>
        <v>#VALUE!</v>
      </c>
      <c r="CG60" s="16" t="e">
        <f aca="false">SUMIF(MatchData[team],MatchData[[#this row],[team]],MatchData[rough terrain available])</f>
        <v>#VALUE!</v>
      </c>
      <c r="CH60" s="16" t="e">
        <f aca="false">SUMIF(MatchData[team],MatchData[[#this row],[team]],MatchData[low bar available])</f>
        <v>#VALUE!</v>
      </c>
      <c r="CI60" s="16" t="e">
        <f aca="false">SUMIF(MatchData[team],MatchData[[#this row],[team]],MatchData[portcullis teleop crossings]:MatchData[portcullis scored crossings])</f>
        <v>#VALUE!</v>
      </c>
      <c r="CJ60" s="16" t="e">
        <f aca="false">SUMIF(MatchData[team],MatchData[[#this row],[team]],MatchData[cheval teleop crossings])+SUMIF(MatchData[team],MatchData[[#this row],[team]],MatchData[cheval scored crossings])</f>
        <v>#VALUE!</v>
      </c>
      <c r="CK60" s="16" t="e">
        <f aca="false">SUMIF(MatchData[team],MatchData[[#this row],[team]],MatchData[moat teleop crossings])+SUMIF(MatchData[team],MatchData[[#this row],[team]],MatchData[moat scored crosings])</f>
        <v>#VALUE!</v>
      </c>
      <c r="CL60" s="16" t="e">
        <f aca="false">SUMIF(MatchData[team],MatchData[[#this row],[team]],MatchData[ramparts teleop crossings])+SUMIF(MatchData[team],MatchData[[#this row],[team]],MatchData[ramparts scored crossings])</f>
        <v>#VALUE!</v>
      </c>
      <c r="CM60" s="16" t="e">
        <f aca="false">SUMIF(MatchData[team],MatchData[[#this row],[team]],MatchData[drawbridge teleop crossings])+SUMIF(MatchData[team],MatchData[[#this row],[team]],MatchData[drawbridge scored crossings])</f>
        <v>#VALUE!</v>
      </c>
      <c r="CN60" s="16" t="e">
        <f aca="false">SUMIF(MatchData[team],MatchData[[#this row],[team]],MatchData[sally port teleop crossings])+SUMIF(MatchData[team],MatchData[[#this row],[team]],MatchData[sally port scored crossings])</f>
        <v>#VALUE!</v>
      </c>
      <c r="CO60" s="16" t="e">
        <f aca="false">SUMIF(MatchData[team],MatchData[[#this row],[team]],MatchData[rock wall teleop crossings])+SUMIF(MatchData[team],MatchData[[#this row],[team]],MatchData[rock wall scored crossings])</f>
        <v>#VALUE!</v>
      </c>
      <c r="CP60" s="16" t="e">
        <f aca="false">SUMIF(MatchData[team],MatchData[[#this row],[team]],MatchData[rough terrain teleop crossings])+SUMIF(MatchData[team],MatchData[[#this row],[team]],MatchData[rough terrain scored crossings])</f>
        <v>#VALUE!</v>
      </c>
      <c r="CQ60" s="16" t="e">
        <f aca="false">SUMIF(MatchData[team],MatchData[[#this row],[team]],MatchData[low bar teleop crossings])+SUMIF(MatchData[team],MatchData[[#this row],[team]],MatchData[low bar scored crossings])</f>
        <v>#VALUE!</v>
      </c>
      <c r="CR60" s="16" t="e">
        <f aca="false">IFERROR(ROUND(MatchData[[#this row],[portcullis sum]]/MatchData[[#this row],[portcullis avail count]],2),0)</f>
        <v>#VALUE!</v>
      </c>
      <c r="CS60" s="5" t="e">
        <f aca="false">IFERROR(ROUND(MatchData[[#this row],[cheval sum]]/MatchData[[#this row],[cheval avail count]],2),0)</f>
        <v>#VALUE!</v>
      </c>
      <c r="CT60" s="5" t="e">
        <f aca="false">IFERROR(ROUND(MatchData[[#this row],[moat sum]]/MatchData[[#this row],[moat avail count]],2),0)</f>
        <v>#VALUE!</v>
      </c>
      <c r="CU60" s="5" t="e">
        <f aca="false">IFERROR(ROUND(MatchData[[#this row],[ramparts sum]]/MatchData[[#this row],[ramparts avail count]],2),0)</f>
        <v>#VALUE!</v>
      </c>
      <c r="CV60" s="5" t="e">
        <f aca="false">IFERROR(ROUND(MatchData[[#this row],[drawbridge sum]]/MatchData[[#this row],[drawbridge avail countigh6]],2),0)</f>
        <v>#VALUE!</v>
      </c>
      <c r="CW60" s="5" t="e">
        <f aca="false">IFERROR(ROUND(MatchData[[#this row],[sally port sum]]/MatchData[[#this row],[sally port avail count]],2),0)</f>
        <v>#VALUE!</v>
      </c>
      <c r="CX60" s="5" t="e">
        <f aca="false">IFERROR(ROUND(MatchData[[#this row],[rock wall sum]]/MatchData[[#this row],[rock wall avail count]],2),0)</f>
        <v>#VALUE!</v>
      </c>
      <c r="CY60" s="5" t="e">
        <f aca="false">IFERROR(ROUND(MatchData[[#this row],[rough terrain sum]]/MatchData[[#this row],[rough terrain avail count]],2),0)</f>
        <v>#VALUE!</v>
      </c>
      <c r="CZ60" s="5" t="e">
        <f aca="false">IFERROR(ROUND(MatchData[[#this row],[low bar sum]]/MatchData[[#this row],[low bar avail count]],2),0)</f>
        <v>#VALUE!</v>
      </c>
      <c r="DA60" s="5" t="e">
        <f aca="false">SUM(MatchData[[#this row],[cheval sum]:[low bar sum]])/MatchData[match count]</f>
        <v>#VALUE!</v>
      </c>
      <c r="DB60" s="16" t="n">
        <f aca="false">MAX(IF(C$2:C$74=C60,BP$2:BP$74))</f>
        <v>-1.79769313486232E+308</v>
      </c>
      <c r="DC60" s="16" t="e">
        <f aca="false">AVERAGEIF(MatchData[team],MatchData[[#this row],[team]],MatchData[total score])</f>
        <v>#VALUE!</v>
      </c>
      <c r="DD60" s="16" t="e">
        <f aca="false">ROUND(AVERAGEIF(MatchData[team],MatchData[team],MatchData[climb or challenge flag]),2)</f>
        <v>#VALUE!</v>
      </c>
    </row>
    <row r="61" customFormat="false" ht="14.5" hidden="false" customHeight="false" outlineLevel="0" collapsed="false">
      <c r="A61" s="17" t="s">
        <v>108</v>
      </c>
      <c r="B61" s="18" t="n">
        <v>10</v>
      </c>
      <c r="C61" s="15" t="n">
        <v>4043</v>
      </c>
      <c r="D61" s="5" t="s">
        <v>113</v>
      </c>
      <c r="E61" s="5" t="s">
        <v>138</v>
      </c>
      <c r="H61" s="5"/>
      <c r="J61" s="5" t="n">
        <v>1</v>
      </c>
      <c r="K61" s="5"/>
      <c r="L61" s="5" t="n">
        <v>1</v>
      </c>
      <c r="M61" s="5"/>
      <c r="N61" s="5" t="n">
        <v>1</v>
      </c>
      <c r="O61" s="5" t="n">
        <v>1</v>
      </c>
      <c r="P61" s="5"/>
      <c r="Q61" s="5" t="n">
        <v>1</v>
      </c>
      <c r="R61" s="0"/>
      <c r="T61" s="0"/>
      <c r="V61" s="0"/>
      <c r="W61" s="0"/>
      <c r="X61" s="0"/>
      <c r="AR61" s="5" t="n">
        <v>1</v>
      </c>
      <c r="BC61" s="5" t="e">
        <f aca="false">MatchData[cheval scored crossings]*5</f>
        <v>#VALUE!</v>
      </c>
      <c r="BD61" s="5" t="e">
        <f aca="false">MatchData[moat scored crosings]*5</f>
        <v>#VALUE!</v>
      </c>
      <c r="BE61" s="5" t="e">
        <f aca="false">MatchData[ramparts scored crossings]*5</f>
        <v>#VALUE!</v>
      </c>
      <c r="BF61" s="5" t="e">
        <f aca="false">MatchData[drawbridge scored crossings]*5</f>
        <v>#VALUE!</v>
      </c>
      <c r="BG61" s="5" t="e">
        <f aca="false">MatchData[sally port scored crossings]*5</f>
        <v>#VALUE!</v>
      </c>
      <c r="BH61" s="5" t="e">
        <f aca="false">MatchData[rock wall scored crossings]*5</f>
        <v>#VALUE!</v>
      </c>
      <c r="BI61" s="5" t="e">
        <f aca="false">MatchData[rough terrain scored crossings]*5</f>
        <v>#VALUE!</v>
      </c>
      <c r="BJ61" s="5" t="e">
        <f aca="false">MatchData[low bar scored crossings]*5</f>
        <v>#VALUE!</v>
      </c>
      <c r="BK61" s="5" t="e">
        <f aca="false">SUM(MatchData[[#this row],[low bar teleop crossings]:[rough terrain scored crossings]])</f>
        <v>#VALUE!</v>
      </c>
      <c r="BL61" s="5" t="e">
        <f aca="false">IFERROR(IF(OR(MatchData[[#this row],[challenge flag]],MatchData[[#this row],[climb flag]]),1,0),0)</f>
        <v>#VALUE!</v>
      </c>
      <c r="BM61" s="5" t="e">
        <f aca="false">MatchData[auto high goals]*10+MatchData[teleop high goals]*5</f>
        <v>#VALUE!</v>
      </c>
      <c r="BN61" s="5" t="e">
        <f aca="false">MatchData[auto low goals]*5+MatchData[teleop low goals]*2</f>
        <v>#VALUE!</v>
      </c>
      <c r="BO61" s="5" t="e">
        <f aca="false">MatchData[high goal score]+MatchData[low goal score]</f>
        <v>#VALUE!</v>
      </c>
      <c r="BP61" s="5" t="e">
        <f aca="false">MatchData[teleop high goals]+MatchData[teleop low goals]</f>
        <v>#VALUE!</v>
      </c>
      <c r="BQ61" s="5" t="e">
        <f aca="false">MatchData[[#this row],[auto reach flag]]*2+SUM(MatchData[[#this row],[portcullis auto crossings]:[low bar auto crossings]])*10+MatchData[[#this row],[auto low goals]]*5+MatchData[auto high goals]*10</f>
        <v>#VALUE!</v>
      </c>
      <c r="BR61" s="5" t="e">
        <f aca="false">SUM(MatchData[[#this row],[cheval teleop crossing score]:[low bar teleop crossing score]])</f>
        <v>#VALUE!</v>
      </c>
      <c r="BS61" s="5" t="e">
        <f aca="false">SUMIF(MatchData[team],MatchData[[#this row],[team]],MatchData[total auto score])/MatchData[match count]</f>
        <v>#VALUE!</v>
      </c>
      <c r="BT61" s="5" t="e">
        <f aca="false">MatchData[challenge flag]*5</f>
        <v>#VALUE!</v>
      </c>
      <c r="BU61" s="5" t="e">
        <f aca="false">MatchData[climb flag]*15</f>
        <v>#VALUE!</v>
      </c>
      <c r="BV61" s="5" t="e">
        <f aca="false">SUM(MatchData[[#this row],[total goal score]],MatchData[[#this row],[crossing score]],MatchData[[#this row],[challenge score]],MatchData[[#this row],[climb score]],MatchData[[#this row],[total auto score]])</f>
        <v>#VALUE!</v>
      </c>
      <c r="BW61" s="16" t="e">
        <f aca="false">ROUND(SUMIF(MatchData[team],MatchData[[#this row],[team]],MatchData[teleop low goals])/COUNTIF(MatchData[team],MatchData[[#this row],[team]]),2)</f>
        <v>#VALUE!</v>
      </c>
      <c r="BX61" s="16" t="e">
        <f aca="false">ROUND(SUMIF(MatchData[team],MatchData[[#this row],[team]],MatchData[teleop high goals])/COUNTIF(MatchData[team],MatchData[[#this row],[team]]),2)</f>
        <v>#VALUE!</v>
      </c>
      <c r="BY61" s="16" t="e">
        <f aca="false">COUNTIF(MatchData[team],MatchData[[#this row],[team]])</f>
        <v>#VALUE!</v>
      </c>
      <c r="BZ61" s="16" t="e">
        <f aca="false">SUMIF(MatchData[team],MatchData[[#this row],[team]],MatchData[portcullis available])</f>
        <v>#VALUE!</v>
      </c>
      <c r="CA61" s="16" t="e">
        <f aca="false">SUMIF(MatchData[team],MatchData[[#this row],[team]],MatchData[cheval available])</f>
        <v>#VALUE!</v>
      </c>
      <c r="CB61" s="16" t="e">
        <f aca="false">SUMIF(MatchData[team],MatchData[[#this row],[team]],MatchData[moat available])</f>
        <v>#VALUE!</v>
      </c>
      <c r="CC61" s="16" t="e">
        <f aca="false">SUMIF(MatchData[team],MatchData[[#this row],[team]],MatchData[ramparts available])</f>
        <v>#VALUE!</v>
      </c>
      <c r="CD61" s="16" t="e">
        <f aca="false">SUMIF(MatchData[team],MatchData[[#this row],[team]],MatchData[drawbridge available])</f>
        <v>#VALUE!</v>
      </c>
      <c r="CE61" s="16" t="e">
        <f aca="false">SUMIF(MatchData[team],MatchData[[#this row],[team]],MatchData[sally port available])</f>
        <v>#VALUE!</v>
      </c>
      <c r="CF61" s="16" t="e">
        <f aca="false">SUMIF(MatchData[team],MatchData[[#this row],[team]],MatchData[rock wall available])</f>
        <v>#VALUE!</v>
      </c>
      <c r="CG61" s="16" t="e">
        <f aca="false">SUMIF(MatchData[team],MatchData[[#this row],[team]],MatchData[rough terrain available])</f>
        <v>#VALUE!</v>
      </c>
      <c r="CH61" s="16" t="e">
        <f aca="false">SUMIF(MatchData[team],MatchData[[#this row],[team]],MatchData[low bar available])</f>
        <v>#VALUE!</v>
      </c>
      <c r="CI61" s="16" t="e">
        <f aca="false">SUMIF(MatchData[team],MatchData[[#this row],[team]],MatchData[portcullis teleop crossings]:MatchData[portcullis scored crossings])</f>
        <v>#VALUE!</v>
      </c>
      <c r="CJ61" s="16" t="e">
        <f aca="false">SUMIF(MatchData[team],MatchData[[#this row],[team]],MatchData[cheval teleop crossings])+SUMIF(MatchData[team],MatchData[[#this row],[team]],MatchData[cheval scored crossings])</f>
        <v>#VALUE!</v>
      </c>
      <c r="CK61" s="16" t="e">
        <f aca="false">SUMIF(MatchData[team],MatchData[[#this row],[team]],MatchData[moat teleop crossings])+SUMIF(MatchData[team],MatchData[[#this row],[team]],MatchData[moat scored crosings])</f>
        <v>#VALUE!</v>
      </c>
      <c r="CL61" s="16" t="e">
        <f aca="false">SUMIF(MatchData[team],MatchData[[#this row],[team]],MatchData[ramparts teleop crossings])+SUMIF(MatchData[team],MatchData[[#this row],[team]],MatchData[ramparts scored crossings])</f>
        <v>#VALUE!</v>
      </c>
      <c r="CM61" s="16" t="e">
        <f aca="false">SUMIF(MatchData[team],MatchData[[#this row],[team]],MatchData[drawbridge teleop crossings])+SUMIF(MatchData[team],MatchData[[#this row],[team]],MatchData[drawbridge scored crossings])</f>
        <v>#VALUE!</v>
      </c>
      <c r="CN61" s="16" t="e">
        <f aca="false">SUMIF(MatchData[team],MatchData[[#this row],[team]],MatchData[sally port teleop crossings])+SUMIF(MatchData[team],MatchData[[#this row],[team]],MatchData[sally port scored crossings])</f>
        <v>#VALUE!</v>
      </c>
      <c r="CO61" s="16" t="e">
        <f aca="false">SUMIF(MatchData[team],MatchData[[#this row],[team]],MatchData[rock wall teleop crossings])+SUMIF(MatchData[team],MatchData[[#this row],[team]],MatchData[rock wall scored crossings])</f>
        <v>#VALUE!</v>
      </c>
      <c r="CP61" s="16" t="e">
        <f aca="false">SUMIF(MatchData[team],MatchData[[#this row],[team]],MatchData[rough terrain teleop crossings])+SUMIF(MatchData[team],MatchData[[#this row],[team]],MatchData[rough terrain scored crossings])</f>
        <v>#VALUE!</v>
      </c>
      <c r="CQ61" s="16" t="e">
        <f aca="false">SUMIF(MatchData[team],MatchData[[#this row],[team]],MatchData[low bar teleop crossings])+SUMIF(MatchData[team],MatchData[[#this row],[team]],MatchData[low bar scored crossings])</f>
        <v>#VALUE!</v>
      </c>
      <c r="CR61" s="16" t="e">
        <f aca="false">IFERROR(ROUND(MatchData[[#this row],[portcullis sum]]/MatchData[[#this row],[portcullis avail count]],2),0)</f>
        <v>#VALUE!</v>
      </c>
      <c r="CS61" s="5" t="e">
        <f aca="false">IFERROR(ROUND(MatchData[[#this row],[cheval sum]]/MatchData[[#this row],[cheval avail count]],2),0)</f>
        <v>#VALUE!</v>
      </c>
      <c r="CT61" s="5" t="e">
        <f aca="false">IFERROR(ROUND(MatchData[[#this row],[moat sum]]/MatchData[[#this row],[moat avail count]],2),0)</f>
        <v>#VALUE!</v>
      </c>
      <c r="CU61" s="5" t="e">
        <f aca="false">IFERROR(ROUND(MatchData[[#this row],[ramparts sum]]/MatchData[[#this row],[ramparts avail count]],2),0)</f>
        <v>#VALUE!</v>
      </c>
      <c r="CV61" s="5" t="e">
        <f aca="false">IFERROR(ROUND(MatchData[[#this row],[drawbridge sum]]/MatchData[[#this row],[drawbridge avail countigh6]],2),0)</f>
        <v>#VALUE!</v>
      </c>
      <c r="CW61" s="5" t="e">
        <f aca="false">IFERROR(ROUND(MatchData[[#this row],[sally port sum]]/MatchData[[#this row],[sally port avail count]],2),0)</f>
        <v>#VALUE!</v>
      </c>
      <c r="CX61" s="5" t="e">
        <f aca="false">IFERROR(ROUND(MatchData[[#this row],[rock wall sum]]/MatchData[[#this row],[rock wall avail count]],2),0)</f>
        <v>#VALUE!</v>
      </c>
      <c r="CY61" s="5" t="e">
        <f aca="false">IFERROR(ROUND(MatchData[[#this row],[rough terrain sum]]/MatchData[[#this row],[rough terrain avail count]],2),0)</f>
        <v>#VALUE!</v>
      </c>
      <c r="CZ61" s="5" t="e">
        <f aca="false">IFERROR(ROUND(MatchData[[#this row],[low bar sum]]/MatchData[[#this row],[low bar avail count]],2),0)</f>
        <v>#VALUE!</v>
      </c>
      <c r="DA61" s="5" t="e">
        <f aca="false">SUM(MatchData[[#this row],[cheval sum]:[low bar sum]])/MatchData[match count]</f>
        <v>#VALUE!</v>
      </c>
      <c r="DB61" s="16" t="n">
        <f aca="false">MAX(IF(C$2:C$74=C61,BP$2:BP$74))</f>
        <v>-1.79769313486232E+308</v>
      </c>
      <c r="DC61" s="16" t="e">
        <f aca="false">AVERAGEIF(MatchData[team],MatchData[[#this row],[team]],MatchData[total score])</f>
        <v>#VALUE!</v>
      </c>
      <c r="DD61" s="16" t="e">
        <f aca="false">ROUND(AVERAGEIF(MatchData[team],MatchData[team],MatchData[climb or challenge flag]),2)</f>
        <v>#VALUE!</v>
      </c>
    </row>
    <row r="62" customFormat="false" ht="14.5" hidden="false" customHeight="false" outlineLevel="0" collapsed="false">
      <c r="A62" s="13" t="s">
        <v>108</v>
      </c>
      <c r="B62" s="14" t="n">
        <v>11</v>
      </c>
      <c r="C62" s="15" t="n">
        <v>957</v>
      </c>
      <c r="D62" s="5" t="s">
        <v>109</v>
      </c>
      <c r="E62" s="5" t="s">
        <v>135</v>
      </c>
      <c r="H62" s="5"/>
      <c r="J62" s="0"/>
      <c r="K62" s="5"/>
      <c r="L62" s="5"/>
      <c r="M62" s="5"/>
      <c r="N62" s="5"/>
      <c r="O62" s="5"/>
      <c r="P62" s="5"/>
      <c r="Q62" s="5"/>
      <c r="R62" s="0"/>
      <c r="S62" s="19"/>
      <c r="T62" s="19"/>
      <c r="U62" s="19"/>
      <c r="V62" s="19"/>
      <c r="W62" s="19"/>
      <c r="X62" s="19"/>
      <c r="Y62" s="19"/>
      <c r="Z62" s="19"/>
      <c r="BC62" s="5" t="e">
        <f aca="false">MatchData[cheval scored crossings]*5</f>
        <v>#VALUE!</v>
      </c>
      <c r="BD62" s="5" t="e">
        <f aca="false">MatchData[moat scored crosings]*5</f>
        <v>#VALUE!</v>
      </c>
      <c r="BE62" s="5" t="e">
        <f aca="false">MatchData[ramparts scored crossings]*5</f>
        <v>#VALUE!</v>
      </c>
      <c r="BF62" s="5" t="e">
        <f aca="false">MatchData[drawbridge scored crossings]*5</f>
        <v>#VALUE!</v>
      </c>
      <c r="BG62" s="5" t="e">
        <f aca="false">MatchData[sally port scored crossings]*5</f>
        <v>#VALUE!</v>
      </c>
      <c r="BH62" s="5" t="e">
        <f aca="false">MatchData[rock wall scored crossings]*5</f>
        <v>#VALUE!</v>
      </c>
      <c r="BI62" s="5" t="e">
        <f aca="false">MatchData[rough terrain scored crossings]*5</f>
        <v>#VALUE!</v>
      </c>
      <c r="BJ62" s="5" t="e">
        <f aca="false">MatchData[low bar scored crossings]*5</f>
        <v>#VALUE!</v>
      </c>
      <c r="BK62" s="5" t="e">
        <f aca="false">SUM(MatchData[[#this row],[low bar teleop crossings]:[rough terrain scored crossings]])</f>
        <v>#VALUE!</v>
      </c>
      <c r="BL62" s="5" t="e">
        <f aca="false">IFERROR(IF(OR(MatchData[[#this row],[challenge flag]],MatchData[[#this row],[climb flag]]),1,0),0)</f>
        <v>#VALUE!</v>
      </c>
      <c r="BM62" s="5" t="e">
        <f aca="false">MatchData[auto high goals]*10+MatchData[teleop high goals]*5</f>
        <v>#VALUE!</v>
      </c>
      <c r="BN62" s="5" t="e">
        <f aca="false">MatchData[auto low goals]*5+MatchData[teleop low goals]*2</f>
        <v>#VALUE!</v>
      </c>
      <c r="BO62" s="5" t="e">
        <f aca="false">MatchData[high goal score]+MatchData[low goal score]</f>
        <v>#VALUE!</v>
      </c>
      <c r="BP62" s="5" t="e">
        <f aca="false">MatchData[teleop high goals]+MatchData[teleop low goals]</f>
        <v>#VALUE!</v>
      </c>
      <c r="BQ62" s="5" t="e">
        <f aca="false">MatchData[[#this row],[auto reach flag]]*2+SUM(MatchData[[#this row],[portcullis auto crossings]:[low bar auto crossings]])*10+MatchData[[#this row],[auto low goals]]*5+MatchData[auto high goals]*10</f>
        <v>#VALUE!</v>
      </c>
      <c r="BR62" s="5" t="e">
        <f aca="false">SUM(MatchData[[#this row],[cheval teleop crossing score]:[low bar teleop crossing score]])</f>
        <v>#VALUE!</v>
      </c>
      <c r="BS62" s="5" t="e">
        <f aca="false">SUMIF(MatchData[team],MatchData[[#this row],[team]],MatchData[total auto score])/MatchData[match count]</f>
        <v>#VALUE!</v>
      </c>
      <c r="BT62" s="5" t="e">
        <f aca="false">MatchData[challenge flag]*5</f>
        <v>#VALUE!</v>
      </c>
      <c r="BU62" s="5" t="e">
        <f aca="false">MatchData[climb flag]*15</f>
        <v>#VALUE!</v>
      </c>
      <c r="BV62" s="5" t="e">
        <f aca="false">SUM(MatchData[[#this row],[total goal score]],MatchData[[#this row],[crossing score]],MatchData[[#this row],[challenge score]],MatchData[[#this row],[climb score]],MatchData[[#this row],[total auto score]])</f>
        <v>#VALUE!</v>
      </c>
      <c r="BW62" s="16" t="e">
        <f aca="false">ROUND(SUMIF(MatchData[team],MatchData[[#this row],[team]],MatchData[teleop low goals])/COUNTIF(MatchData[team],MatchData[[#this row],[team]]),2)</f>
        <v>#VALUE!</v>
      </c>
      <c r="BX62" s="16" t="e">
        <f aca="false">ROUND(SUMIF(MatchData[team],MatchData[[#this row],[team]],MatchData[teleop high goals])/COUNTIF(MatchData[team],MatchData[[#this row],[team]]),2)</f>
        <v>#VALUE!</v>
      </c>
      <c r="BY62" s="16" t="e">
        <f aca="false">COUNTIF(MatchData[team],MatchData[[#this row],[team]])</f>
        <v>#VALUE!</v>
      </c>
      <c r="BZ62" s="16" t="e">
        <f aca="false">SUMIF(MatchData[team],MatchData[[#this row],[team]],MatchData[portcullis available])</f>
        <v>#VALUE!</v>
      </c>
      <c r="CA62" s="16" t="e">
        <f aca="false">SUMIF(MatchData[team],MatchData[[#this row],[team]],MatchData[cheval available])</f>
        <v>#VALUE!</v>
      </c>
      <c r="CB62" s="16" t="e">
        <f aca="false">SUMIF(MatchData[team],MatchData[[#this row],[team]],MatchData[moat available])</f>
        <v>#VALUE!</v>
      </c>
      <c r="CC62" s="16" t="e">
        <f aca="false">SUMIF(MatchData[team],MatchData[[#this row],[team]],MatchData[ramparts available])</f>
        <v>#VALUE!</v>
      </c>
      <c r="CD62" s="16" t="e">
        <f aca="false">SUMIF(MatchData[team],MatchData[[#this row],[team]],MatchData[drawbridge available])</f>
        <v>#VALUE!</v>
      </c>
      <c r="CE62" s="16" t="e">
        <f aca="false">SUMIF(MatchData[team],MatchData[[#this row],[team]],MatchData[sally port available])</f>
        <v>#VALUE!</v>
      </c>
      <c r="CF62" s="16" t="e">
        <f aca="false">SUMIF(MatchData[team],MatchData[[#this row],[team]],MatchData[rock wall available])</f>
        <v>#VALUE!</v>
      </c>
      <c r="CG62" s="16" t="e">
        <f aca="false">SUMIF(MatchData[team],MatchData[[#this row],[team]],MatchData[rough terrain available])</f>
        <v>#VALUE!</v>
      </c>
      <c r="CH62" s="16" t="e">
        <f aca="false">SUMIF(MatchData[team],MatchData[[#this row],[team]],MatchData[low bar available])</f>
        <v>#VALUE!</v>
      </c>
      <c r="CI62" s="16" t="e">
        <f aca="false">SUMIF(MatchData[team],MatchData[[#this row],[team]],MatchData[portcullis teleop crossings]:MatchData[portcullis scored crossings])</f>
        <v>#VALUE!</v>
      </c>
      <c r="CJ62" s="16" t="e">
        <f aca="false">SUMIF(MatchData[team],MatchData[[#this row],[team]],MatchData[cheval teleop crossings])+SUMIF(MatchData[team],MatchData[[#this row],[team]],MatchData[cheval scored crossings])</f>
        <v>#VALUE!</v>
      </c>
      <c r="CK62" s="16" t="e">
        <f aca="false">SUMIF(MatchData[team],MatchData[[#this row],[team]],MatchData[moat teleop crossings])+SUMIF(MatchData[team],MatchData[[#this row],[team]],MatchData[moat scored crosings])</f>
        <v>#VALUE!</v>
      </c>
      <c r="CL62" s="16" t="e">
        <f aca="false">SUMIF(MatchData[team],MatchData[[#this row],[team]],MatchData[ramparts teleop crossings])+SUMIF(MatchData[team],MatchData[[#this row],[team]],MatchData[ramparts scored crossings])</f>
        <v>#VALUE!</v>
      </c>
      <c r="CM62" s="16" t="e">
        <f aca="false">SUMIF(MatchData[team],MatchData[[#this row],[team]],MatchData[drawbridge teleop crossings])+SUMIF(MatchData[team],MatchData[[#this row],[team]],MatchData[drawbridge scored crossings])</f>
        <v>#VALUE!</v>
      </c>
      <c r="CN62" s="16" t="e">
        <f aca="false">SUMIF(MatchData[team],MatchData[[#this row],[team]],MatchData[sally port teleop crossings])+SUMIF(MatchData[team],MatchData[[#this row],[team]],MatchData[sally port scored crossings])</f>
        <v>#VALUE!</v>
      </c>
      <c r="CO62" s="16" t="e">
        <f aca="false">SUMIF(MatchData[team],MatchData[[#this row],[team]],MatchData[rock wall teleop crossings])+SUMIF(MatchData[team],MatchData[[#this row],[team]],MatchData[rock wall scored crossings])</f>
        <v>#VALUE!</v>
      </c>
      <c r="CP62" s="16" t="e">
        <f aca="false">SUMIF(MatchData[team],MatchData[[#this row],[team]],MatchData[rough terrain teleop crossings])+SUMIF(MatchData[team],MatchData[[#this row],[team]],MatchData[rough terrain scored crossings])</f>
        <v>#VALUE!</v>
      </c>
      <c r="CQ62" s="16" t="e">
        <f aca="false">SUMIF(MatchData[team],MatchData[[#this row],[team]],MatchData[low bar teleop crossings])+SUMIF(MatchData[team],MatchData[[#this row],[team]],MatchData[low bar scored crossings])</f>
        <v>#VALUE!</v>
      </c>
      <c r="CR62" s="16" t="e">
        <f aca="false">IFERROR(ROUND(MatchData[[#this row],[portcullis sum]]/MatchData[[#this row],[portcullis avail count]],2),0)</f>
        <v>#VALUE!</v>
      </c>
      <c r="CS62" s="5" t="e">
        <f aca="false">IFERROR(ROUND(MatchData[[#this row],[cheval sum]]/MatchData[[#this row],[cheval avail count]],2),0)</f>
        <v>#VALUE!</v>
      </c>
      <c r="CT62" s="5" t="e">
        <f aca="false">IFERROR(ROUND(MatchData[[#this row],[moat sum]]/MatchData[[#this row],[moat avail count]],2),0)</f>
        <v>#VALUE!</v>
      </c>
      <c r="CU62" s="5" t="e">
        <f aca="false">IFERROR(ROUND(MatchData[[#this row],[ramparts sum]]/MatchData[[#this row],[ramparts avail count]],2),0)</f>
        <v>#VALUE!</v>
      </c>
      <c r="CV62" s="5" t="e">
        <f aca="false">IFERROR(ROUND(MatchData[[#this row],[drawbridge sum]]/MatchData[[#this row],[drawbridge avail countigh6]],2),0)</f>
        <v>#VALUE!</v>
      </c>
      <c r="CW62" s="5" t="e">
        <f aca="false">IFERROR(ROUND(MatchData[[#this row],[sally port sum]]/MatchData[[#this row],[sally port avail count]],2),0)</f>
        <v>#VALUE!</v>
      </c>
      <c r="CX62" s="5" t="e">
        <f aca="false">IFERROR(ROUND(MatchData[[#this row],[rock wall sum]]/MatchData[[#this row],[rock wall avail count]],2),0)</f>
        <v>#VALUE!</v>
      </c>
      <c r="CY62" s="5" t="e">
        <f aca="false">IFERROR(ROUND(MatchData[[#this row],[rough terrain sum]]/MatchData[[#this row],[rough terrain avail count]],2),0)</f>
        <v>#VALUE!</v>
      </c>
      <c r="CZ62" s="5" t="e">
        <f aca="false">IFERROR(ROUND(MatchData[[#this row],[low bar sum]]/MatchData[[#this row],[low bar avail count]],2),0)</f>
        <v>#VALUE!</v>
      </c>
      <c r="DA62" s="5" t="e">
        <f aca="false">SUM(MatchData[[#this row],[cheval sum]:[low bar sum]])/MatchData[match count]</f>
        <v>#VALUE!</v>
      </c>
      <c r="DB62" s="16" t="n">
        <f aca="false">MAX(IF(C$2:C$74=C62,BP$2:BP$74))</f>
        <v>-1.79769313486232E+308</v>
      </c>
      <c r="DC62" s="16" t="e">
        <f aca="false">AVERAGEIF(MatchData[team],MatchData[[#this row],[team]],MatchData[total score])</f>
        <v>#VALUE!</v>
      </c>
      <c r="DD62" s="16" t="e">
        <f aca="false">ROUND(AVERAGEIF(MatchData[team],MatchData[team],MatchData[climb or challenge flag]),2)</f>
        <v>#VALUE!</v>
      </c>
    </row>
    <row r="63" customFormat="false" ht="14.5" hidden="false" customHeight="false" outlineLevel="0" collapsed="false">
      <c r="A63" s="17" t="s">
        <v>108</v>
      </c>
      <c r="B63" s="18" t="n">
        <v>11</v>
      </c>
      <c r="C63" s="15" t="n">
        <v>4488</v>
      </c>
      <c r="D63" s="5" t="s">
        <v>109</v>
      </c>
      <c r="E63" s="5" t="s">
        <v>119</v>
      </c>
      <c r="H63" s="5"/>
      <c r="J63" s="5" t="n">
        <v>1</v>
      </c>
      <c r="K63" s="5"/>
      <c r="L63" s="5" t="n">
        <v>1</v>
      </c>
      <c r="M63" s="5"/>
      <c r="N63" s="5" t="n">
        <v>1</v>
      </c>
      <c r="O63" s="5"/>
      <c r="P63" s="5" t="n">
        <v>1</v>
      </c>
      <c r="Q63" s="5" t="n">
        <v>1</v>
      </c>
      <c r="R63" s="0"/>
      <c r="S63" s="19"/>
      <c r="T63" s="19"/>
      <c r="U63" s="19" t="n">
        <v>1</v>
      </c>
      <c r="V63" s="19"/>
      <c r="W63" s="19"/>
      <c r="X63" s="19"/>
      <c r="Y63" s="19"/>
      <c r="Z63" s="19"/>
      <c r="AD63" s="5" t="n">
        <v>2</v>
      </c>
      <c r="AH63" s="5" t="n">
        <v>1</v>
      </c>
      <c r="AL63" s="5" t="n">
        <v>2</v>
      </c>
      <c r="AR63" s="5" t="n">
        <v>2</v>
      </c>
      <c r="AW63" s="5" t="n">
        <v>1</v>
      </c>
      <c r="BB63" s="5" t="n">
        <v>1</v>
      </c>
      <c r="BC63" s="5" t="e">
        <f aca="false">MatchData[cheval scored crossings]*5</f>
        <v>#VALUE!</v>
      </c>
      <c r="BD63" s="5" t="e">
        <f aca="false">MatchData[moat scored crosings]*5</f>
        <v>#VALUE!</v>
      </c>
      <c r="BE63" s="5" t="e">
        <f aca="false">MatchData[ramparts scored crossings]*5</f>
        <v>#VALUE!</v>
      </c>
      <c r="BF63" s="5" t="e">
        <f aca="false">MatchData[drawbridge scored crossings]*5</f>
        <v>#VALUE!</v>
      </c>
      <c r="BG63" s="5" t="e">
        <f aca="false">MatchData[sally port scored crossings]*5</f>
        <v>#VALUE!</v>
      </c>
      <c r="BH63" s="5" t="e">
        <f aca="false">MatchData[rock wall scored crossings]*5</f>
        <v>#VALUE!</v>
      </c>
      <c r="BI63" s="5" t="e">
        <f aca="false">MatchData[rough terrain scored crossings]*5</f>
        <v>#VALUE!</v>
      </c>
      <c r="BJ63" s="5" t="e">
        <f aca="false">MatchData[low bar scored crossings]*5</f>
        <v>#VALUE!</v>
      </c>
      <c r="BK63" s="5" t="e">
        <f aca="false">SUM(MatchData[[#this row],[low bar teleop crossings]:[rough terrain scored crossings]])</f>
        <v>#VALUE!</v>
      </c>
      <c r="BL63" s="5" t="e">
        <f aca="false">IFERROR(IF(OR(MatchData[[#this row],[challenge flag]],MatchData[[#this row],[climb flag]]),1,0),0)</f>
        <v>#VALUE!</v>
      </c>
      <c r="BM63" s="5" t="e">
        <f aca="false">MatchData[auto high goals]*10+MatchData[teleop high goals]*5</f>
        <v>#VALUE!</v>
      </c>
      <c r="BN63" s="5" t="e">
        <f aca="false">MatchData[auto low goals]*5+MatchData[teleop low goals]*2</f>
        <v>#VALUE!</v>
      </c>
      <c r="BO63" s="5" t="e">
        <f aca="false">MatchData[high goal score]+MatchData[low goal score]</f>
        <v>#VALUE!</v>
      </c>
      <c r="BP63" s="5" t="e">
        <f aca="false">MatchData[teleop high goals]+MatchData[teleop low goals]</f>
        <v>#VALUE!</v>
      </c>
      <c r="BQ63" s="5" t="e">
        <f aca="false">MatchData[[#this row],[auto reach flag]]*2+SUM(MatchData[[#this row],[portcullis auto crossings]:[low bar auto crossings]])*10+MatchData[[#this row],[auto low goals]]*5+MatchData[auto high goals]*10</f>
        <v>#VALUE!</v>
      </c>
      <c r="BR63" s="5" t="e">
        <f aca="false">SUM(MatchData[[#this row],[cheval teleop crossing score]:[low bar teleop crossing score]])</f>
        <v>#VALUE!</v>
      </c>
      <c r="BS63" s="5" t="e">
        <f aca="false">SUMIF(MatchData[team],MatchData[[#this row],[team]],MatchData[total auto score])/MatchData[match count]</f>
        <v>#VALUE!</v>
      </c>
      <c r="BT63" s="5" t="e">
        <f aca="false">MatchData[challenge flag]*5</f>
        <v>#VALUE!</v>
      </c>
      <c r="BU63" s="5" t="e">
        <f aca="false">MatchData[climb flag]*15</f>
        <v>#VALUE!</v>
      </c>
      <c r="BV63" s="5" t="e">
        <f aca="false">SUM(MatchData[[#this row],[total goal score]],MatchData[[#this row],[crossing score]],MatchData[[#this row],[challenge score]],MatchData[[#this row],[climb score]],MatchData[[#this row],[total auto score]])</f>
        <v>#VALUE!</v>
      </c>
      <c r="BW63" s="16" t="e">
        <f aca="false">ROUND(SUMIF(MatchData[team],MatchData[[#this row],[team]],MatchData[teleop low goals])/COUNTIF(MatchData[team],MatchData[[#this row],[team]]),2)</f>
        <v>#VALUE!</v>
      </c>
      <c r="BX63" s="16" t="e">
        <f aca="false">ROUND(SUMIF(MatchData[team],MatchData[[#this row],[team]],MatchData[teleop high goals])/COUNTIF(MatchData[team],MatchData[[#this row],[team]]),2)</f>
        <v>#VALUE!</v>
      </c>
      <c r="BY63" s="16" t="e">
        <f aca="false">COUNTIF(MatchData[team],MatchData[[#this row],[team]])</f>
        <v>#VALUE!</v>
      </c>
      <c r="BZ63" s="16" t="e">
        <f aca="false">SUMIF(MatchData[team],MatchData[[#this row],[team]],MatchData[portcullis available])</f>
        <v>#VALUE!</v>
      </c>
      <c r="CA63" s="16" t="e">
        <f aca="false">SUMIF(MatchData[team],MatchData[[#this row],[team]],MatchData[cheval available])</f>
        <v>#VALUE!</v>
      </c>
      <c r="CB63" s="16" t="e">
        <f aca="false">SUMIF(MatchData[team],MatchData[[#this row],[team]],MatchData[moat available])</f>
        <v>#VALUE!</v>
      </c>
      <c r="CC63" s="16" t="e">
        <f aca="false">SUMIF(MatchData[team],MatchData[[#this row],[team]],MatchData[ramparts available])</f>
        <v>#VALUE!</v>
      </c>
      <c r="CD63" s="16" t="e">
        <f aca="false">SUMIF(MatchData[team],MatchData[[#this row],[team]],MatchData[drawbridge available])</f>
        <v>#VALUE!</v>
      </c>
      <c r="CE63" s="16" t="e">
        <f aca="false">SUMIF(MatchData[team],MatchData[[#this row],[team]],MatchData[sally port available])</f>
        <v>#VALUE!</v>
      </c>
      <c r="CF63" s="16" t="e">
        <f aca="false">SUMIF(MatchData[team],MatchData[[#this row],[team]],MatchData[rock wall available])</f>
        <v>#VALUE!</v>
      </c>
      <c r="CG63" s="16" t="e">
        <f aca="false">SUMIF(MatchData[team],MatchData[[#this row],[team]],MatchData[rough terrain available])</f>
        <v>#VALUE!</v>
      </c>
      <c r="CH63" s="16" t="e">
        <f aca="false">SUMIF(MatchData[team],MatchData[[#this row],[team]],MatchData[low bar available])</f>
        <v>#VALUE!</v>
      </c>
      <c r="CI63" s="16" t="e">
        <f aca="false">SUMIF(MatchData[team],MatchData[[#this row],[team]],MatchData[portcullis teleop crossings]:MatchData[portcullis scored crossings])</f>
        <v>#VALUE!</v>
      </c>
      <c r="CJ63" s="16" t="e">
        <f aca="false">SUMIF(MatchData[team],MatchData[[#this row],[team]],MatchData[cheval teleop crossings])+SUMIF(MatchData[team],MatchData[[#this row],[team]],MatchData[cheval scored crossings])</f>
        <v>#VALUE!</v>
      </c>
      <c r="CK63" s="16" t="e">
        <f aca="false">SUMIF(MatchData[team],MatchData[[#this row],[team]],MatchData[moat teleop crossings])+SUMIF(MatchData[team],MatchData[[#this row],[team]],MatchData[moat scored crosings])</f>
        <v>#VALUE!</v>
      </c>
      <c r="CL63" s="16" t="e">
        <f aca="false">SUMIF(MatchData[team],MatchData[[#this row],[team]],MatchData[ramparts teleop crossings])+SUMIF(MatchData[team],MatchData[[#this row],[team]],MatchData[ramparts scored crossings])</f>
        <v>#VALUE!</v>
      </c>
      <c r="CM63" s="16" t="e">
        <f aca="false">SUMIF(MatchData[team],MatchData[[#this row],[team]],MatchData[drawbridge teleop crossings])+SUMIF(MatchData[team],MatchData[[#this row],[team]],MatchData[drawbridge scored crossings])</f>
        <v>#VALUE!</v>
      </c>
      <c r="CN63" s="16" t="e">
        <f aca="false">SUMIF(MatchData[team],MatchData[[#this row],[team]],MatchData[sally port teleop crossings])+SUMIF(MatchData[team],MatchData[[#this row],[team]],MatchData[sally port scored crossings])</f>
        <v>#VALUE!</v>
      </c>
      <c r="CO63" s="16" t="e">
        <f aca="false">SUMIF(MatchData[team],MatchData[[#this row],[team]],MatchData[rock wall teleop crossings])+SUMIF(MatchData[team],MatchData[[#this row],[team]],MatchData[rock wall scored crossings])</f>
        <v>#VALUE!</v>
      </c>
      <c r="CP63" s="16" t="e">
        <f aca="false">SUMIF(MatchData[team],MatchData[[#this row],[team]],MatchData[rough terrain teleop crossings])+SUMIF(MatchData[team],MatchData[[#this row],[team]],MatchData[rough terrain scored crossings])</f>
        <v>#VALUE!</v>
      </c>
      <c r="CQ63" s="16" t="e">
        <f aca="false">SUMIF(MatchData[team],MatchData[[#this row],[team]],MatchData[low bar teleop crossings])+SUMIF(MatchData[team],MatchData[[#this row],[team]],MatchData[low bar scored crossings])</f>
        <v>#VALUE!</v>
      </c>
      <c r="CR63" s="16" t="e">
        <f aca="false">IFERROR(ROUND(MatchData[[#this row],[portcullis sum]]/MatchData[[#this row],[portcullis avail count]],2),0)</f>
        <v>#VALUE!</v>
      </c>
      <c r="CS63" s="5" t="e">
        <f aca="false">IFERROR(ROUND(MatchData[[#this row],[cheval sum]]/MatchData[[#this row],[cheval avail count]],2),0)</f>
        <v>#VALUE!</v>
      </c>
      <c r="CT63" s="5" t="e">
        <f aca="false">IFERROR(ROUND(MatchData[[#this row],[moat sum]]/MatchData[[#this row],[moat avail count]],2),0)</f>
        <v>#VALUE!</v>
      </c>
      <c r="CU63" s="5" t="e">
        <f aca="false">IFERROR(ROUND(MatchData[[#this row],[ramparts sum]]/MatchData[[#this row],[ramparts avail count]],2),0)</f>
        <v>#VALUE!</v>
      </c>
      <c r="CV63" s="5" t="e">
        <f aca="false">IFERROR(ROUND(MatchData[[#this row],[drawbridge sum]]/MatchData[[#this row],[drawbridge avail countigh6]],2),0)</f>
        <v>#VALUE!</v>
      </c>
      <c r="CW63" s="5" t="e">
        <f aca="false">IFERROR(ROUND(MatchData[[#this row],[sally port sum]]/MatchData[[#this row],[sally port avail count]],2),0)</f>
        <v>#VALUE!</v>
      </c>
      <c r="CX63" s="5" t="e">
        <f aca="false">IFERROR(ROUND(MatchData[[#this row],[rock wall sum]]/MatchData[[#this row],[rock wall avail count]],2),0)</f>
        <v>#VALUE!</v>
      </c>
      <c r="CY63" s="5" t="e">
        <f aca="false">IFERROR(ROUND(MatchData[[#this row],[rough terrain sum]]/MatchData[[#this row],[rough terrain avail count]],2),0)</f>
        <v>#VALUE!</v>
      </c>
      <c r="CZ63" s="5" t="e">
        <f aca="false">IFERROR(ROUND(MatchData[[#this row],[low bar sum]]/MatchData[[#this row],[low bar avail count]],2),0)</f>
        <v>#VALUE!</v>
      </c>
      <c r="DA63" s="5" t="e">
        <f aca="false">SUM(MatchData[[#this row],[cheval sum]:[low bar sum]])/MatchData[match count]</f>
        <v>#VALUE!</v>
      </c>
      <c r="DB63" s="16" t="n">
        <f aca="false">MAX(IF(C$2:C$74=C63,BP$2:BP$74))</f>
        <v>-1.79769313486232E+308</v>
      </c>
      <c r="DC63" s="16" t="e">
        <f aca="false">AVERAGEIF(MatchData[team],MatchData[[#this row],[team]],MatchData[total score])</f>
        <v>#VALUE!</v>
      </c>
      <c r="DD63" s="16" t="e">
        <f aca="false">ROUND(AVERAGEIF(MatchData[team],MatchData[team],MatchData[climb or challenge flag]),2)</f>
        <v>#VALUE!</v>
      </c>
    </row>
    <row r="64" customFormat="false" ht="14.5" hidden="false" customHeight="false" outlineLevel="0" collapsed="false">
      <c r="A64" s="17" t="s">
        <v>108</v>
      </c>
      <c r="B64" s="18" t="n">
        <v>11</v>
      </c>
      <c r="C64" s="15" t="n">
        <v>5085</v>
      </c>
      <c r="D64" s="5" t="s">
        <v>109</v>
      </c>
      <c r="E64" s="5" t="s">
        <v>118</v>
      </c>
      <c r="H64" s="5"/>
      <c r="J64" s="5" t="n">
        <v>1</v>
      </c>
      <c r="K64" s="5"/>
      <c r="L64" s="5" t="n">
        <v>1</v>
      </c>
      <c r="M64" s="5"/>
      <c r="N64" s="5" t="n">
        <v>1</v>
      </c>
      <c r="O64" s="5" t="n">
        <v>1</v>
      </c>
      <c r="P64" s="5"/>
      <c r="Q64" s="5" t="n">
        <v>1</v>
      </c>
      <c r="R64" s="0"/>
      <c r="S64" s="19"/>
      <c r="T64" s="19"/>
      <c r="U64" s="19"/>
      <c r="V64" s="19"/>
      <c r="W64" s="19"/>
      <c r="X64" s="19"/>
      <c r="Y64" s="19"/>
      <c r="Z64" s="19"/>
      <c r="AZ64" s="5" t="n">
        <v>1</v>
      </c>
      <c r="BB64" s="5" t="n">
        <v>1</v>
      </c>
      <c r="BC64" s="5" t="e">
        <f aca="false">MatchData[cheval scored crossings]*5</f>
        <v>#VALUE!</v>
      </c>
      <c r="BD64" s="5" t="e">
        <f aca="false">MatchData[moat scored crosings]*5</f>
        <v>#VALUE!</v>
      </c>
      <c r="BE64" s="5" t="e">
        <f aca="false">MatchData[ramparts scored crossings]*5</f>
        <v>#VALUE!</v>
      </c>
      <c r="BF64" s="5" t="e">
        <f aca="false">MatchData[drawbridge scored crossings]*5</f>
        <v>#VALUE!</v>
      </c>
      <c r="BG64" s="5" t="e">
        <f aca="false">MatchData[sally port scored crossings]*5</f>
        <v>#VALUE!</v>
      </c>
      <c r="BH64" s="5" t="e">
        <f aca="false">MatchData[rock wall scored crossings]*5</f>
        <v>#VALUE!</v>
      </c>
      <c r="BI64" s="5" t="e">
        <f aca="false">MatchData[rough terrain scored crossings]*5</f>
        <v>#VALUE!</v>
      </c>
      <c r="BJ64" s="5" t="e">
        <f aca="false">MatchData[low bar scored crossings]*5</f>
        <v>#VALUE!</v>
      </c>
      <c r="BK64" s="5" t="e">
        <f aca="false">SUM(MatchData[[#this row],[low bar teleop crossings]:[rough terrain scored crossings]])</f>
        <v>#VALUE!</v>
      </c>
      <c r="BL64" s="5" t="e">
        <f aca="false">IFERROR(IF(OR(MatchData[[#this row],[challenge flag]],MatchData[[#this row],[climb flag]]),1,0),0)</f>
        <v>#VALUE!</v>
      </c>
      <c r="BM64" s="5" t="e">
        <f aca="false">MatchData[auto high goals]*10+MatchData[teleop high goals]*5</f>
        <v>#VALUE!</v>
      </c>
      <c r="BN64" s="5" t="e">
        <f aca="false">MatchData[auto low goals]*5+MatchData[teleop low goals]*2</f>
        <v>#VALUE!</v>
      </c>
      <c r="BO64" s="5" t="e">
        <f aca="false">MatchData[high goal score]+MatchData[low goal score]</f>
        <v>#VALUE!</v>
      </c>
      <c r="BP64" s="5" t="e">
        <f aca="false">MatchData[teleop high goals]+MatchData[teleop low goals]</f>
        <v>#VALUE!</v>
      </c>
      <c r="BQ64" s="5" t="e">
        <f aca="false">MatchData[[#this row],[auto reach flag]]*2+SUM(MatchData[[#this row],[portcullis auto crossings]:[low bar auto crossings]])*10+MatchData[[#this row],[auto low goals]]*5+MatchData[auto high goals]*10</f>
        <v>#VALUE!</v>
      </c>
      <c r="BR64" s="5" t="e">
        <f aca="false">SUM(MatchData[[#this row],[cheval teleop crossing score]:[low bar teleop crossing score]])</f>
        <v>#VALUE!</v>
      </c>
      <c r="BS64" s="5" t="e">
        <f aca="false">SUMIF(MatchData[team],MatchData[[#this row],[team]],MatchData[total auto score])/MatchData[match count]</f>
        <v>#VALUE!</v>
      </c>
      <c r="BT64" s="5" t="e">
        <f aca="false">MatchData[challenge flag]*5</f>
        <v>#VALUE!</v>
      </c>
      <c r="BU64" s="5" t="e">
        <f aca="false">MatchData[climb flag]*15</f>
        <v>#VALUE!</v>
      </c>
      <c r="BV64" s="5" t="e">
        <f aca="false">SUM(MatchData[[#this row],[total goal score]],MatchData[[#this row],[crossing score]],MatchData[[#this row],[challenge score]],MatchData[[#this row],[climb score]],MatchData[[#this row],[total auto score]])</f>
        <v>#VALUE!</v>
      </c>
      <c r="BW64" s="16" t="e">
        <f aca="false">ROUND(SUMIF(MatchData[team],MatchData[[#this row],[team]],MatchData[teleop low goals])/COUNTIF(MatchData[team],MatchData[[#this row],[team]]),2)</f>
        <v>#VALUE!</v>
      </c>
      <c r="BX64" s="16" t="e">
        <f aca="false">ROUND(SUMIF(MatchData[team],MatchData[[#this row],[team]],MatchData[teleop high goals])/COUNTIF(MatchData[team],MatchData[[#this row],[team]]),2)</f>
        <v>#VALUE!</v>
      </c>
      <c r="BY64" s="16" t="e">
        <f aca="false">COUNTIF(MatchData[team],MatchData[[#this row],[team]])</f>
        <v>#VALUE!</v>
      </c>
      <c r="BZ64" s="16" t="e">
        <f aca="false">SUMIF(MatchData[team],MatchData[[#this row],[team]],MatchData[portcullis available])</f>
        <v>#VALUE!</v>
      </c>
      <c r="CA64" s="16" t="e">
        <f aca="false">SUMIF(MatchData[team],MatchData[[#this row],[team]],MatchData[cheval available])</f>
        <v>#VALUE!</v>
      </c>
      <c r="CB64" s="16" t="e">
        <f aca="false">SUMIF(MatchData[team],MatchData[[#this row],[team]],MatchData[moat available])</f>
        <v>#VALUE!</v>
      </c>
      <c r="CC64" s="16" t="e">
        <f aca="false">SUMIF(MatchData[team],MatchData[[#this row],[team]],MatchData[ramparts available])</f>
        <v>#VALUE!</v>
      </c>
      <c r="CD64" s="16" t="e">
        <f aca="false">SUMIF(MatchData[team],MatchData[[#this row],[team]],MatchData[drawbridge available])</f>
        <v>#VALUE!</v>
      </c>
      <c r="CE64" s="16" t="e">
        <f aca="false">SUMIF(MatchData[team],MatchData[[#this row],[team]],MatchData[sally port available])</f>
        <v>#VALUE!</v>
      </c>
      <c r="CF64" s="16" t="e">
        <f aca="false">SUMIF(MatchData[team],MatchData[[#this row],[team]],MatchData[rock wall available])</f>
        <v>#VALUE!</v>
      </c>
      <c r="CG64" s="16" t="e">
        <f aca="false">SUMIF(MatchData[team],MatchData[[#this row],[team]],MatchData[rough terrain available])</f>
        <v>#VALUE!</v>
      </c>
      <c r="CH64" s="16" t="e">
        <f aca="false">SUMIF(MatchData[team],MatchData[[#this row],[team]],MatchData[low bar available])</f>
        <v>#VALUE!</v>
      </c>
      <c r="CI64" s="16" t="e">
        <f aca="false">SUMIF(MatchData[team],MatchData[[#this row],[team]],MatchData[portcullis teleop crossings]:MatchData[portcullis scored crossings])</f>
        <v>#VALUE!</v>
      </c>
      <c r="CJ64" s="16" t="e">
        <f aca="false">SUMIF(MatchData[team],MatchData[[#this row],[team]],MatchData[cheval teleop crossings])+SUMIF(MatchData[team],MatchData[[#this row],[team]],MatchData[cheval scored crossings])</f>
        <v>#VALUE!</v>
      </c>
      <c r="CK64" s="16" t="e">
        <f aca="false">SUMIF(MatchData[team],MatchData[[#this row],[team]],MatchData[moat teleop crossings])+SUMIF(MatchData[team],MatchData[[#this row],[team]],MatchData[moat scored crosings])</f>
        <v>#VALUE!</v>
      </c>
      <c r="CL64" s="16" t="e">
        <f aca="false">SUMIF(MatchData[team],MatchData[[#this row],[team]],MatchData[ramparts teleop crossings])+SUMIF(MatchData[team],MatchData[[#this row],[team]],MatchData[ramparts scored crossings])</f>
        <v>#VALUE!</v>
      </c>
      <c r="CM64" s="16" t="e">
        <f aca="false">SUMIF(MatchData[team],MatchData[[#this row],[team]],MatchData[drawbridge teleop crossings])+SUMIF(MatchData[team],MatchData[[#this row],[team]],MatchData[drawbridge scored crossings])</f>
        <v>#VALUE!</v>
      </c>
      <c r="CN64" s="16" t="e">
        <f aca="false">SUMIF(MatchData[team],MatchData[[#this row],[team]],MatchData[sally port teleop crossings])+SUMIF(MatchData[team],MatchData[[#this row],[team]],MatchData[sally port scored crossings])</f>
        <v>#VALUE!</v>
      </c>
      <c r="CO64" s="16" t="e">
        <f aca="false">SUMIF(MatchData[team],MatchData[[#this row],[team]],MatchData[rock wall teleop crossings])+SUMIF(MatchData[team],MatchData[[#this row],[team]],MatchData[rock wall scored crossings])</f>
        <v>#VALUE!</v>
      </c>
      <c r="CP64" s="16" t="e">
        <f aca="false">SUMIF(MatchData[team],MatchData[[#this row],[team]],MatchData[rough terrain teleop crossings])+SUMIF(MatchData[team],MatchData[[#this row],[team]],MatchData[rough terrain scored crossings])</f>
        <v>#VALUE!</v>
      </c>
      <c r="CQ64" s="16" t="e">
        <f aca="false">SUMIF(MatchData[team],MatchData[[#this row],[team]],MatchData[low bar teleop crossings])+SUMIF(MatchData[team],MatchData[[#this row],[team]],MatchData[low bar scored crossings])</f>
        <v>#VALUE!</v>
      </c>
      <c r="CR64" s="16" t="e">
        <f aca="false">IFERROR(ROUND(MatchData[[#this row],[portcullis sum]]/MatchData[[#this row],[portcullis avail count]],2),0)</f>
        <v>#VALUE!</v>
      </c>
      <c r="CS64" s="5" t="e">
        <f aca="false">IFERROR(ROUND(MatchData[[#this row],[cheval sum]]/MatchData[[#this row],[cheval avail count]],2),0)</f>
        <v>#VALUE!</v>
      </c>
      <c r="CT64" s="5" t="e">
        <f aca="false">IFERROR(ROUND(MatchData[[#this row],[moat sum]]/MatchData[[#this row],[moat avail count]],2),0)</f>
        <v>#VALUE!</v>
      </c>
      <c r="CU64" s="5" t="e">
        <f aca="false">IFERROR(ROUND(MatchData[[#this row],[ramparts sum]]/MatchData[[#this row],[ramparts avail count]],2),0)</f>
        <v>#VALUE!</v>
      </c>
      <c r="CV64" s="5" t="e">
        <f aca="false">IFERROR(ROUND(MatchData[[#this row],[drawbridge sum]]/MatchData[[#this row],[drawbridge avail countigh6]],2),0)</f>
        <v>#VALUE!</v>
      </c>
      <c r="CW64" s="5" t="e">
        <f aca="false">IFERROR(ROUND(MatchData[[#this row],[sally port sum]]/MatchData[[#this row],[sally port avail count]],2),0)</f>
        <v>#VALUE!</v>
      </c>
      <c r="CX64" s="5" t="e">
        <f aca="false">IFERROR(ROUND(MatchData[[#this row],[rock wall sum]]/MatchData[[#this row],[rock wall avail count]],2),0)</f>
        <v>#VALUE!</v>
      </c>
      <c r="CY64" s="5" t="e">
        <f aca="false">IFERROR(ROUND(MatchData[[#this row],[rough terrain sum]]/MatchData[[#this row],[rough terrain avail count]],2),0)</f>
        <v>#VALUE!</v>
      </c>
      <c r="CZ64" s="5" t="e">
        <f aca="false">IFERROR(ROUND(MatchData[[#this row],[low bar sum]]/MatchData[[#this row],[low bar avail count]],2),0)</f>
        <v>#VALUE!</v>
      </c>
      <c r="DA64" s="5" t="e">
        <f aca="false">SUM(MatchData[[#this row],[cheval sum]:[low bar sum]])/MatchData[match count]</f>
        <v>#VALUE!</v>
      </c>
      <c r="DB64" s="16" t="n">
        <f aca="false">MAX(IF(C$2:C$74=C64,BP$2:BP$74))</f>
        <v>-1.79769313486232E+308</v>
      </c>
      <c r="DC64" s="16" t="e">
        <f aca="false">AVERAGEIF(MatchData[team],MatchData[[#this row],[team]],MatchData[total score])</f>
        <v>#VALUE!</v>
      </c>
      <c r="DD64" s="16" t="e">
        <f aca="false">ROUND(AVERAGEIF(MatchData[team],MatchData[team],MatchData[climb or challenge flag]),2)</f>
        <v>#VALUE!</v>
      </c>
    </row>
    <row r="65" customFormat="false" ht="14.5" hidden="false" customHeight="false" outlineLevel="0" collapsed="false">
      <c r="A65" s="13" t="s">
        <v>108</v>
      </c>
      <c r="B65" s="14" t="n">
        <v>11</v>
      </c>
      <c r="C65" s="15" t="n">
        <v>847</v>
      </c>
      <c r="D65" s="5" t="s">
        <v>113</v>
      </c>
      <c r="E65" s="5" t="s">
        <v>137</v>
      </c>
      <c r="H65" s="5"/>
      <c r="J65" s="5" t="n">
        <v>1</v>
      </c>
      <c r="K65" s="5"/>
      <c r="L65" s="5" t="n">
        <v>1</v>
      </c>
      <c r="M65" s="5"/>
      <c r="N65" s="5" t="n">
        <v>1</v>
      </c>
      <c r="O65" s="5"/>
      <c r="P65" s="5" t="n">
        <v>1</v>
      </c>
      <c r="Q65" s="5" t="n">
        <v>1</v>
      </c>
      <c r="R65" s="0"/>
      <c r="S65" s="19"/>
      <c r="T65" s="19"/>
      <c r="U65" s="19"/>
      <c r="V65" s="19"/>
      <c r="W65" s="19"/>
      <c r="X65" s="19"/>
      <c r="Y65" s="19"/>
      <c r="Z65" s="19"/>
      <c r="AZ65" s="5" t="n">
        <v>1</v>
      </c>
      <c r="BC65" s="5" t="e">
        <f aca="false">MatchData[cheval scored crossings]*5</f>
        <v>#VALUE!</v>
      </c>
      <c r="BD65" s="5" t="e">
        <f aca="false">MatchData[moat scored crosings]*5</f>
        <v>#VALUE!</v>
      </c>
      <c r="BE65" s="5" t="e">
        <f aca="false">MatchData[ramparts scored crossings]*5</f>
        <v>#VALUE!</v>
      </c>
      <c r="BF65" s="5" t="e">
        <f aca="false">MatchData[drawbridge scored crossings]*5</f>
        <v>#VALUE!</v>
      </c>
      <c r="BG65" s="5" t="e">
        <f aca="false">MatchData[sally port scored crossings]*5</f>
        <v>#VALUE!</v>
      </c>
      <c r="BH65" s="5" t="e">
        <f aca="false">MatchData[rock wall scored crossings]*5</f>
        <v>#VALUE!</v>
      </c>
      <c r="BI65" s="5" t="e">
        <f aca="false">MatchData[rough terrain scored crossings]*5</f>
        <v>#VALUE!</v>
      </c>
      <c r="BJ65" s="5" t="e">
        <f aca="false">MatchData[low bar scored crossings]*5</f>
        <v>#VALUE!</v>
      </c>
      <c r="BK65" s="5" t="e">
        <f aca="false">SUM(MatchData[[#this row],[low bar teleop crossings]:[rough terrain scored crossings]])</f>
        <v>#VALUE!</v>
      </c>
      <c r="BL65" s="5" t="e">
        <f aca="false">IFERROR(IF(OR(MatchData[[#this row],[challenge flag]],MatchData[[#this row],[climb flag]]),1,0),0)</f>
        <v>#VALUE!</v>
      </c>
      <c r="BM65" s="5" t="e">
        <f aca="false">MatchData[auto high goals]*10+MatchData[teleop high goals]*5</f>
        <v>#VALUE!</v>
      </c>
      <c r="BN65" s="5" t="e">
        <f aca="false">MatchData[auto low goals]*5+MatchData[teleop low goals]*2</f>
        <v>#VALUE!</v>
      </c>
      <c r="BO65" s="5" t="e">
        <f aca="false">MatchData[high goal score]+MatchData[low goal score]</f>
        <v>#VALUE!</v>
      </c>
      <c r="BP65" s="5" t="e">
        <f aca="false">MatchData[teleop high goals]+MatchData[teleop low goals]</f>
        <v>#VALUE!</v>
      </c>
      <c r="BQ65" s="5" t="e">
        <f aca="false">MatchData[[#this row],[auto reach flag]]*2+SUM(MatchData[[#this row],[portcullis auto crossings]:[low bar auto crossings]])*10+MatchData[[#this row],[auto low goals]]*5+MatchData[auto high goals]*10</f>
        <v>#VALUE!</v>
      </c>
      <c r="BR65" s="5" t="e">
        <f aca="false">SUM(MatchData[[#this row],[cheval teleop crossing score]:[low bar teleop crossing score]])</f>
        <v>#VALUE!</v>
      </c>
      <c r="BS65" s="5" t="e">
        <f aca="false">SUMIF(MatchData[team],MatchData[[#this row],[team]],MatchData[total auto score])/MatchData[match count]</f>
        <v>#VALUE!</v>
      </c>
      <c r="BT65" s="5" t="e">
        <f aca="false">MatchData[challenge flag]*5</f>
        <v>#VALUE!</v>
      </c>
      <c r="BU65" s="5" t="e">
        <f aca="false">MatchData[climb flag]*15</f>
        <v>#VALUE!</v>
      </c>
      <c r="BV65" s="5" t="e">
        <f aca="false">SUM(MatchData[[#this row],[total goal score]],MatchData[[#this row],[crossing score]],MatchData[[#this row],[challenge score]],MatchData[[#this row],[climb score]],MatchData[[#this row],[total auto score]])</f>
        <v>#VALUE!</v>
      </c>
      <c r="BW65" s="16" t="e">
        <f aca="false">ROUND(SUMIF(MatchData[team],MatchData[[#this row],[team]],MatchData[teleop low goals])/COUNTIF(MatchData[team],MatchData[[#this row],[team]]),2)</f>
        <v>#VALUE!</v>
      </c>
      <c r="BX65" s="16" t="e">
        <f aca="false">ROUND(SUMIF(MatchData[team],MatchData[[#this row],[team]],MatchData[teleop high goals])/COUNTIF(MatchData[team],MatchData[[#this row],[team]]),2)</f>
        <v>#VALUE!</v>
      </c>
      <c r="BY65" s="16" t="e">
        <f aca="false">COUNTIF(MatchData[team],MatchData[[#this row],[team]])</f>
        <v>#VALUE!</v>
      </c>
      <c r="BZ65" s="16" t="e">
        <f aca="false">SUMIF(MatchData[team],MatchData[[#this row],[team]],MatchData[portcullis available])</f>
        <v>#VALUE!</v>
      </c>
      <c r="CA65" s="16" t="e">
        <f aca="false">SUMIF(MatchData[team],MatchData[[#this row],[team]],MatchData[cheval available])</f>
        <v>#VALUE!</v>
      </c>
      <c r="CB65" s="16" t="e">
        <f aca="false">SUMIF(MatchData[team],MatchData[[#this row],[team]],MatchData[moat available])</f>
        <v>#VALUE!</v>
      </c>
      <c r="CC65" s="16" t="e">
        <f aca="false">SUMIF(MatchData[team],MatchData[[#this row],[team]],MatchData[ramparts available])</f>
        <v>#VALUE!</v>
      </c>
      <c r="CD65" s="16" t="e">
        <f aca="false">SUMIF(MatchData[team],MatchData[[#this row],[team]],MatchData[drawbridge available])</f>
        <v>#VALUE!</v>
      </c>
      <c r="CE65" s="16" t="e">
        <f aca="false">SUMIF(MatchData[team],MatchData[[#this row],[team]],MatchData[sally port available])</f>
        <v>#VALUE!</v>
      </c>
      <c r="CF65" s="16" t="e">
        <f aca="false">SUMIF(MatchData[team],MatchData[[#this row],[team]],MatchData[rock wall available])</f>
        <v>#VALUE!</v>
      </c>
      <c r="CG65" s="16" t="e">
        <f aca="false">SUMIF(MatchData[team],MatchData[[#this row],[team]],MatchData[rough terrain available])</f>
        <v>#VALUE!</v>
      </c>
      <c r="CH65" s="16" t="e">
        <f aca="false">SUMIF(MatchData[team],MatchData[[#this row],[team]],MatchData[low bar available])</f>
        <v>#VALUE!</v>
      </c>
      <c r="CI65" s="16" t="e">
        <f aca="false">SUMIF(MatchData[team],MatchData[[#this row],[team]],MatchData[portcullis teleop crossings]:MatchData[portcullis scored crossings])</f>
        <v>#VALUE!</v>
      </c>
      <c r="CJ65" s="16" t="e">
        <f aca="false">SUMIF(MatchData[team],MatchData[[#this row],[team]],MatchData[cheval teleop crossings])+SUMIF(MatchData[team],MatchData[[#this row],[team]],MatchData[cheval scored crossings])</f>
        <v>#VALUE!</v>
      </c>
      <c r="CK65" s="16" t="e">
        <f aca="false">SUMIF(MatchData[team],MatchData[[#this row],[team]],MatchData[moat teleop crossings])+SUMIF(MatchData[team],MatchData[[#this row],[team]],MatchData[moat scored crosings])</f>
        <v>#VALUE!</v>
      </c>
      <c r="CL65" s="16" t="e">
        <f aca="false">SUMIF(MatchData[team],MatchData[[#this row],[team]],MatchData[ramparts teleop crossings])+SUMIF(MatchData[team],MatchData[[#this row],[team]],MatchData[ramparts scored crossings])</f>
        <v>#VALUE!</v>
      </c>
      <c r="CM65" s="16" t="e">
        <f aca="false">SUMIF(MatchData[team],MatchData[[#this row],[team]],MatchData[drawbridge teleop crossings])+SUMIF(MatchData[team],MatchData[[#this row],[team]],MatchData[drawbridge scored crossings])</f>
        <v>#VALUE!</v>
      </c>
      <c r="CN65" s="16" t="e">
        <f aca="false">SUMIF(MatchData[team],MatchData[[#this row],[team]],MatchData[sally port teleop crossings])+SUMIF(MatchData[team],MatchData[[#this row],[team]],MatchData[sally port scored crossings])</f>
        <v>#VALUE!</v>
      </c>
      <c r="CO65" s="16" t="e">
        <f aca="false">SUMIF(MatchData[team],MatchData[[#this row],[team]],MatchData[rock wall teleop crossings])+SUMIF(MatchData[team],MatchData[[#this row],[team]],MatchData[rock wall scored crossings])</f>
        <v>#VALUE!</v>
      </c>
      <c r="CP65" s="16" t="e">
        <f aca="false">SUMIF(MatchData[team],MatchData[[#this row],[team]],MatchData[rough terrain teleop crossings])+SUMIF(MatchData[team],MatchData[[#this row],[team]],MatchData[rough terrain scored crossings])</f>
        <v>#VALUE!</v>
      </c>
      <c r="CQ65" s="16" t="e">
        <f aca="false">SUMIF(MatchData[team],MatchData[[#this row],[team]],MatchData[low bar teleop crossings])+SUMIF(MatchData[team],MatchData[[#this row],[team]],MatchData[low bar scored crossings])</f>
        <v>#VALUE!</v>
      </c>
      <c r="CR65" s="16" t="e">
        <f aca="false">IFERROR(ROUND(MatchData[[#this row],[portcullis sum]]/MatchData[[#this row],[portcullis avail count]],2),0)</f>
        <v>#VALUE!</v>
      </c>
      <c r="CS65" s="5" t="e">
        <f aca="false">IFERROR(ROUND(MatchData[[#this row],[cheval sum]]/MatchData[[#this row],[cheval avail count]],2),0)</f>
        <v>#VALUE!</v>
      </c>
      <c r="CT65" s="5" t="e">
        <f aca="false">IFERROR(ROUND(MatchData[[#this row],[moat sum]]/MatchData[[#this row],[moat avail count]],2),0)</f>
        <v>#VALUE!</v>
      </c>
      <c r="CU65" s="5" t="e">
        <f aca="false">IFERROR(ROUND(MatchData[[#this row],[ramparts sum]]/MatchData[[#this row],[ramparts avail count]],2),0)</f>
        <v>#VALUE!</v>
      </c>
      <c r="CV65" s="5" t="e">
        <f aca="false">IFERROR(ROUND(MatchData[[#this row],[drawbridge sum]]/MatchData[[#this row],[drawbridge avail countigh6]],2),0)</f>
        <v>#VALUE!</v>
      </c>
      <c r="CW65" s="5" t="e">
        <f aca="false">IFERROR(ROUND(MatchData[[#this row],[sally port sum]]/MatchData[[#this row],[sally port avail count]],2),0)</f>
        <v>#VALUE!</v>
      </c>
      <c r="CX65" s="5" t="e">
        <f aca="false">IFERROR(ROUND(MatchData[[#this row],[rock wall sum]]/MatchData[[#this row],[rock wall avail count]],2),0)</f>
        <v>#VALUE!</v>
      </c>
      <c r="CY65" s="5" t="e">
        <f aca="false">IFERROR(ROUND(MatchData[[#this row],[rough terrain sum]]/MatchData[[#this row],[rough terrain avail count]],2),0)</f>
        <v>#VALUE!</v>
      </c>
      <c r="CZ65" s="5" t="e">
        <f aca="false">IFERROR(ROUND(MatchData[[#this row],[low bar sum]]/MatchData[[#this row],[low bar avail count]],2),0)</f>
        <v>#VALUE!</v>
      </c>
      <c r="DA65" s="5" t="e">
        <f aca="false">SUM(MatchData[[#this row],[cheval sum]:[low bar sum]])/MatchData[match count]</f>
        <v>#VALUE!</v>
      </c>
      <c r="DB65" s="16" t="n">
        <f aca="false">MAX(IF(C$2:C$74=C65,BP$2:BP$74))</f>
        <v>-1.79769313486232E+308</v>
      </c>
      <c r="DC65" s="16" t="e">
        <f aca="false">AVERAGEIF(MatchData[team],MatchData[[#this row],[team]],MatchData[total score])</f>
        <v>#VALUE!</v>
      </c>
      <c r="DD65" s="16" t="e">
        <f aca="false">ROUND(AVERAGEIF(MatchData[team],MatchData[team],MatchData[climb or challenge flag]),2)</f>
        <v>#VALUE!</v>
      </c>
    </row>
    <row r="66" customFormat="false" ht="14.5" hidden="false" customHeight="false" outlineLevel="0" collapsed="false">
      <c r="A66" s="13" t="s">
        <v>108</v>
      </c>
      <c r="B66" s="14" t="n">
        <v>11</v>
      </c>
      <c r="C66" s="15" t="n">
        <v>955</v>
      </c>
      <c r="D66" s="5" t="s">
        <v>113</v>
      </c>
      <c r="E66" s="5" t="s">
        <v>134</v>
      </c>
      <c r="G66" s="5" t="n">
        <v>1</v>
      </c>
      <c r="H66" s="5"/>
      <c r="J66" s="5" t="n">
        <v>1</v>
      </c>
      <c r="K66" s="5"/>
      <c r="L66" s="5" t="n">
        <v>1</v>
      </c>
      <c r="M66" s="5"/>
      <c r="N66" s="5" t="n">
        <v>1</v>
      </c>
      <c r="O66" s="5"/>
      <c r="P66" s="5" t="n">
        <v>1</v>
      </c>
      <c r="Q66" s="5" t="n">
        <v>1</v>
      </c>
      <c r="R66" s="0"/>
      <c r="S66" s="19"/>
      <c r="T66" s="19"/>
      <c r="U66" s="19"/>
      <c r="V66" s="19"/>
      <c r="W66" s="19"/>
      <c r="X66" s="19"/>
      <c r="Y66" s="19"/>
      <c r="Z66" s="19"/>
      <c r="AK66" s="5" t="n">
        <v>1</v>
      </c>
      <c r="AL66" s="5" t="n">
        <v>2</v>
      </c>
      <c r="AP66" s="5" t="n">
        <v>1</v>
      </c>
      <c r="AQ66" s="5" t="n">
        <v>1</v>
      </c>
      <c r="AR66" s="5" t="n">
        <v>2</v>
      </c>
      <c r="AU66" s="5" t="n">
        <v>1</v>
      </c>
      <c r="AW66" s="5" t="n">
        <v>1</v>
      </c>
      <c r="BC66" s="5" t="e">
        <f aca="false">MatchData[cheval scored crossings]*5</f>
        <v>#VALUE!</v>
      </c>
      <c r="BD66" s="5" t="e">
        <f aca="false">MatchData[moat scored crosings]*5</f>
        <v>#VALUE!</v>
      </c>
      <c r="BE66" s="5" t="e">
        <f aca="false">MatchData[ramparts scored crossings]*5</f>
        <v>#VALUE!</v>
      </c>
      <c r="BF66" s="5" t="e">
        <f aca="false">MatchData[drawbridge scored crossings]*5</f>
        <v>#VALUE!</v>
      </c>
      <c r="BG66" s="5" t="e">
        <f aca="false">MatchData[sally port scored crossings]*5</f>
        <v>#VALUE!</v>
      </c>
      <c r="BH66" s="5" t="e">
        <f aca="false">MatchData[rock wall scored crossings]*5</f>
        <v>#VALUE!</v>
      </c>
      <c r="BI66" s="5" t="e">
        <f aca="false">MatchData[rough terrain scored crossings]*5</f>
        <v>#VALUE!</v>
      </c>
      <c r="BJ66" s="5" t="e">
        <f aca="false">MatchData[low bar scored crossings]*5</f>
        <v>#VALUE!</v>
      </c>
      <c r="BK66" s="5" t="e">
        <f aca="false">SUM(MatchData[[#this row],[low bar teleop crossings]:[rough terrain scored crossings]])</f>
        <v>#VALUE!</v>
      </c>
      <c r="BL66" s="5" t="e">
        <f aca="false">IFERROR(IF(OR(MatchData[[#this row],[challenge flag]],MatchData[[#this row],[climb flag]]),1,0),0)</f>
        <v>#VALUE!</v>
      </c>
      <c r="BM66" s="5" t="e">
        <f aca="false">MatchData[auto high goals]*10+MatchData[teleop high goals]*5</f>
        <v>#VALUE!</v>
      </c>
      <c r="BN66" s="5" t="e">
        <f aca="false">MatchData[auto low goals]*5+MatchData[teleop low goals]*2</f>
        <v>#VALUE!</v>
      </c>
      <c r="BO66" s="5" t="e">
        <f aca="false">MatchData[high goal score]+MatchData[low goal score]</f>
        <v>#VALUE!</v>
      </c>
      <c r="BP66" s="5" t="e">
        <f aca="false">MatchData[teleop high goals]+MatchData[teleop low goals]</f>
        <v>#VALUE!</v>
      </c>
      <c r="BQ66" s="5" t="e">
        <f aca="false">MatchData[[#this row],[auto reach flag]]*2+SUM(MatchData[[#this row],[portcullis auto crossings]:[low bar auto crossings]])*10+MatchData[[#this row],[auto low goals]]*5+MatchData[auto high goals]*10</f>
        <v>#VALUE!</v>
      </c>
      <c r="BR66" s="5" t="e">
        <f aca="false">SUM(MatchData[[#this row],[cheval teleop crossing score]:[low bar teleop crossing score]])</f>
        <v>#VALUE!</v>
      </c>
      <c r="BS66" s="5" t="e">
        <f aca="false">SUMIF(MatchData[team],MatchData[[#this row],[team]],MatchData[total auto score])/MatchData[match count]</f>
        <v>#VALUE!</v>
      </c>
      <c r="BT66" s="5" t="e">
        <f aca="false">MatchData[challenge flag]*5</f>
        <v>#VALUE!</v>
      </c>
      <c r="BU66" s="5" t="e">
        <f aca="false">MatchData[climb flag]*15</f>
        <v>#VALUE!</v>
      </c>
      <c r="BV66" s="5" t="e">
        <f aca="false">SUM(MatchData[[#this row],[total goal score]],MatchData[[#this row],[crossing score]],MatchData[[#this row],[challenge score]],MatchData[[#this row],[climb score]],MatchData[[#this row],[total auto score]])</f>
        <v>#VALUE!</v>
      </c>
      <c r="BW66" s="16" t="e">
        <f aca="false">ROUND(SUMIF(MatchData[team],MatchData[[#this row],[team]],MatchData[teleop low goals])/COUNTIF(MatchData[team],MatchData[[#this row],[team]]),2)</f>
        <v>#VALUE!</v>
      </c>
      <c r="BX66" s="16" t="e">
        <f aca="false">ROUND(SUMIF(MatchData[team],MatchData[[#this row],[team]],MatchData[teleop high goals])/COUNTIF(MatchData[team],MatchData[[#this row],[team]]),2)</f>
        <v>#VALUE!</v>
      </c>
      <c r="BY66" s="16" t="e">
        <f aca="false">COUNTIF(MatchData[team],MatchData[[#this row],[team]])</f>
        <v>#VALUE!</v>
      </c>
      <c r="BZ66" s="16" t="e">
        <f aca="false">SUMIF(MatchData[team],MatchData[[#this row],[team]],MatchData[portcullis available])</f>
        <v>#VALUE!</v>
      </c>
      <c r="CA66" s="16" t="e">
        <f aca="false">SUMIF(MatchData[team],MatchData[[#this row],[team]],MatchData[cheval available])</f>
        <v>#VALUE!</v>
      </c>
      <c r="CB66" s="16" t="e">
        <f aca="false">SUMIF(MatchData[team],MatchData[[#this row],[team]],MatchData[moat available])</f>
        <v>#VALUE!</v>
      </c>
      <c r="CC66" s="16" t="e">
        <f aca="false">SUMIF(MatchData[team],MatchData[[#this row],[team]],MatchData[ramparts available])</f>
        <v>#VALUE!</v>
      </c>
      <c r="CD66" s="16" t="e">
        <f aca="false">SUMIF(MatchData[team],MatchData[[#this row],[team]],MatchData[drawbridge available])</f>
        <v>#VALUE!</v>
      </c>
      <c r="CE66" s="16" t="e">
        <f aca="false">SUMIF(MatchData[team],MatchData[[#this row],[team]],MatchData[sally port available])</f>
        <v>#VALUE!</v>
      </c>
      <c r="CF66" s="16" t="e">
        <f aca="false">SUMIF(MatchData[team],MatchData[[#this row],[team]],MatchData[rock wall available])</f>
        <v>#VALUE!</v>
      </c>
      <c r="CG66" s="16" t="e">
        <f aca="false">SUMIF(MatchData[team],MatchData[[#this row],[team]],MatchData[rough terrain available])</f>
        <v>#VALUE!</v>
      </c>
      <c r="CH66" s="16" t="e">
        <f aca="false">SUMIF(MatchData[team],MatchData[[#this row],[team]],MatchData[low bar available])</f>
        <v>#VALUE!</v>
      </c>
      <c r="CI66" s="16" t="e">
        <f aca="false">SUMIF(MatchData[team],MatchData[[#this row],[team]],MatchData[portcullis teleop crossings]:MatchData[portcullis scored crossings])</f>
        <v>#VALUE!</v>
      </c>
      <c r="CJ66" s="16" t="e">
        <f aca="false">SUMIF(MatchData[team],MatchData[[#this row],[team]],MatchData[cheval teleop crossings])+SUMIF(MatchData[team],MatchData[[#this row],[team]],MatchData[cheval scored crossings])</f>
        <v>#VALUE!</v>
      </c>
      <c r="CK66" s="16" t="e">
        <f aca="false">SUMIF(MatchData[team],MatchData[[#this row],[team]],MatchData[moat teleop crossings])+SUMIF(MatchData[team],MatchData[[#this row],[team]],MatchData[moat scored crosings])</f>
        <v>#VALUE!</v>
      </c>
      <c r="CL66" s="16" t="e">
        <f aca="false">SUMIF(MatchData[team],MatchData[[#this row],[team]],MatchData[ramparts teleop crossings])+SUMIF(MatchData[team],MatchData[[#this row],[team]],MatchData[ramparts scored crossings])</f>
        <v>#VALUE!</v>
      </c>
      <c r="CM66" s="16" t="e">
        <f aca="false">SUMIF(MatchData[team],MatchData[[#this row],[team]],MatchData[drawbridge teleop crossings])+SUMIF(MatchData[team],MatchData[[#this row],[team]],MatchData[drawbridge scored crossings])</f>
        <v>#VALUE!</v>
      </c>
      <c r="CN66" s="16" t="e">
        <f aca="false">SUMIF(MatchData[team],MatchData[[#this row],[team]],MatchData[sally port teleop crossings])+SUMIF(MatchData[team],MatchData[[#this row],[team]],MatchData[sally port scored crossings])</f>
        <v>#VALUE!</v>
      </c>
      <c r="CO66" s="16" t="e">
        <f aca="false">SUMIF(MatchData[team],MatchData[[#this row],[team]],MatchData[rock wall teleop crossings])+SUMIF(MatchData[team],MatchData[[#this row],[team]],MatchData[rock wall scored crossings])</f>
        <v>#VALUE!</v>
      </c>
      <c r="CP66" s="16" t="e">
        <f aca="false">SUMIF(MatchData[team],MatchData[[#this row],[team]],MatchData[rough terrain teleop crossings])+SUMIF(MatchData[team],MatchData[[#this row],[team]],MatchData[rough terrain scored crossings])</f>
        <v>#VALUE!</v>
      </c>
      <c r="CQ66" s="16" t="e">
        <f aca="false">SUMIF(MatchData[team],MatchData[[#this row],[team]],MatchData[low bar teleop crossings])+SUMIF(MatchData[team],MatchData[[#this row],[team]],MatchData[low bar scored crossings])</f>
        <v>#VALUE!</v>
      </c>
      <c r="CR66" s="16" t="e">
        <f aca="false">IFERROR(ROUND(MatchData[[#this row],[portcullis sum]]/MatchData[[#this row],[portcullis avail count]],2),0)</f>
        <v>#VALUE!</v>
      </c>
      <c r="CS66" s="5" t="e">
        <f aca="false">IFERROR(ROUND(MatchData[[#this row],[cheval sum]]/MatchData[[#this row],[cheval avail count]],2),0)</f>
        <v>#VALUE!</v>
      </c>
      <c r="CT66" s="5" t="e">
        <f aca="false">IFERROR(ROUND(MatchData[[#this row],[moat sum]]/MatchData[[#this row],[moat avail count]],2),0)</f>
        <v>#VALUE!</v>
      </c>
      <c r="CU66" s="5" t="e">
        <f aca="false">IFERROR(ROUND(MatchData[[#this row],[ramparts sum]]/MatchData[[#this row],[ramparts avail count]],2),0)</f>
        <v>#VALUE!</v>
      </c>
      <c r="CV66" s="5" t="e">
        <f aca="false">IFERROR(ROUND(MatchData[[#this row],[drawbridge sum]]/MatchData[[#this row],[drawbridge avail countigh6]],2),0)</f>
        <v>#VALUE!</v>
      </c>
      <c r="CW66" s="5" t="e">
        <f aca="false">IFERROR(ROUND(MatchData[[#this row],[sally port sum]]/MatchData[[#this row],[sally port avail count]],2),0)</f>
        <v>#VALUE!</v>
      </c>
      <c r="CX66" s="5" t="e">
        <f aca="false">IFERROR(ROUND(MatchData[[#this row],[rock wall sum]]/MatchData[[#this row],[rock wall avail count]],2),0)</f>
        <v>#VALUE!</v>
      </c>
      <c r="CY66" s="5" t="e">
        <f aca="false">IFERROR(ROUND(MatchData[[#this row],[rough terrain sum]]/MatchData[[#this row],[rough terrain avail count]],2),0)</f>
        <v>#VALUE!</v>
      </c>
      <c r="CZ66" s="5" t="e">
        <f aca="false">IFERROR(ROUND(MatchData[[#this row],[low bar sum]]/MatchData[[#this row],[low bar avail count]],2),0)</f>
        <v>#VALUE!</v>
      </c>
      <c r="DA66" s="5" t="e">
        <f aca="false">SUM(MatchData[[#this row],[cheval sum]:[low bar sum]])/MatchData[match count]</f>
        <v>#VALUE!</v>
      </c>
      <c r="DB66" s="16" t="n">
        <f aca="false">MAX(IF(C$2:C$74=C66,BP$2:BP$74))</f>
        <v>-1.79769313486232E+308</v>
      </c>
      <c r="DC66" s="16" t="e">
        <f aca="false">AVERAGEIF(MatchData[team],MatchData[[#this row],[team]],MatchData[total score])</f>
        <v>#VALUE!</v>
      </c>
      <c r="DD66" s="16" t="e">
        <f aca="false">ROUND(AVERAGEIF(MatchData[team],MatchData[team],MatchData[climb or challenge flag]),2)</f>
        <v>#VALUE!</v>
      </c>
    </row>
    <row r="67" customFormat="false" ht="14.5" hidden="false" customHeight="false" outlineLevel="0" collapsed="false">
      <c r="A67" s="13" t="s">
        <v>108</v>
      </c>
      <c r="B67" s="14" t="n">
        <v>11</v>
      </c>
      <c r="C67" s="15" t="n">
        <v>2811</v>
      </c>
      <c r="D67" s="5" t="s">
        <v>113</v>
      </c>
      <c r="E67" s="5" t="s">
        <v>136</v>
      </c>
      <c r="H67" s="5"/>
      <c r="J67" s="5" t="n">
        <v>1</v>
      </c>
      <c r="K67" s="5"/>
      <c r="L67" s="5" t="n">
        <v>1</v>
      </c>
      <c r="M67" s="5"/>
      <c r="N67" s="5" t="n">
        <v>1</v>
      </c>
      <c r="O67" s="5"/>
      <c r="P67" s="5" t="n">
        <v>1</v>
      </c>
      <c r="Q67" s="5" t="n">
        <v>1</v>
      </c>
      <c r="R67" s="0"/>
      <c r="S67" s="19"/>
      <c r="T67" s="19"/>
      <c r="U67" s="19"/>
      <c r="V67" s="19"/>
      <c r="W67" s="19"/>
      <c r="X67" s="19"/>
      <c r="Y67" s="19"/>
      <c r="Z67" s="19"/>
      <c r="AB67" s="5" t="n">
        <v>1</v>
      </c>
      <c r="AD67" s="5" t="n">
        <v>1</v>
      </c>
      <c r="AK67" s="5" t="n">
        <v>1</v>
      </c>
      <c r="AZ67" s="5" t="n">
        <v>1</v>
      </c>
      <c r="BB67" s="5" t="n">
        <v>1</v>
      </c>
      <c r="BC67" s="5" t="e">
        <f aca="false">MatchData[cheval scored crossings]*5</f>
        <v>#VALUE!</v>
      </c>
      <c r="BD67" s="5" t="e">
        <f aca="false">MatchData[moat scored crosings]*5</f>
        <v>#VALUE!</v>
      </c>
      <c r="BE67" s="5" t="e">
        <f aca="false">MatchData[ramparts scored crossings]*5</f>
        <v>#VALUE!</v>
      </c>
      <c r="BF67" s="5" t="e">
        <f aca="false">MatchData[drawbridge scored crossings]*5</f>
        <v>#VALUE!</v>
      </c>
      <c r="BG67" s="5" t="e">
        <f aca="false">MatchData[sally port scored crossings]*5</f>
        <v>#VALUE!</v>
      </c>
      <c r="BH67" s="5" t="e">
        <f aca="false">MatchData[rock wall scored crossings]*5</f>
        <v>#VALUE!</v>
      </c>
      <c r="BI67" s="5" t="e">
        <f aca="false">MatchData[rough terrain scored crossings]*5</f>
        <v>#VALUE!</v>
      </c>
      <c r="BJ67" s="5" t="e">
        <f aca="false">MatchData[low bar scored crossings]*5</f>
        <v>#VALUE!</v>
      </c>
      <c r="BK67" s="5" t="e">
        <f aca="false">SUM(MatchData[[#this row],[low bar teleop crossings]:[rough terrain scored crossings]])</f>
        <v>#VALUE!</v>
      </c>
      <c r="BL67" s="5" t="e">
        <f aca="false">IFERROR(IF(OR(MatchData[[#this row],[challenge flag]],MatchData[[#this row],[climb flag]]),1,0),0)</f>
        <v>#VALUE!</v>
      </c>
      <c r="BM67" s="5" t="e">
        <f aca="false">MatchData[auto high goals]*10+MatchData[teleop high goals]*5</f>
        <v>#VALUE!</v>
      </c>
      <c r="BN67" s="5" t="e">
        <f aca="false">MatchData[auto low goals]*5+MatchData[teleop low goals]*2</f>
        <v>#VALUE!</v>
      </c>
      <c r="BO67" s="5" t="e">
        <f aca="false">MatchData[high goal score]+MatchData[low goal score]</f>
        <v>#VALUE!</v>
      </c>
      <c r="BP67" s="5" t="e">
        <f aca="false">MatchData[teleop high goals]+MatchData[teleop low goals]</f>
        <v>#VALUE!</v>
      </c>
      <c r="BQ67" s="5" t="e">
        <f aca="false">MatchData[[#this row],[auto reach flag]]*2+SUM(MatchData[[#this row],[portcullis auto crossings]:[low bar auto crossings]])*10+MatchData[[#this row],[auto low goals]]*5+MatchData[auto high goals]*10</f>
        <v>#VALUE!</v>
      </c>
      <c r="BR67" s="5" t="e">
        <f aca="false">SUM(MatchData[[#this row],[cheval teleop crossing score]:[low bar teleop crossing score]])</f>
        <v>#VALUE!</v>
      </c>
      <c r="BS67" s="5" t="e">
        <f aca="false">SUMIF(MatchData[team],MatchData[[#this row],[team]],MatchData[total auto score])/MatchData[match count]</f>
        <v>#VALUE!</v>
      </c>
      <c r="BT67" s="5" t="e">
        <f aca="false">MatchData[challenge flag]*5</f>
        <v>#VALUE!</v>
      </c>
      <c r="BU67" s="5" t="e">
        <f aca="false">MatchData[climb flag]*15</f>
        <v>#VALUE!</v>
      </c>
      <c r="BV67" s="5" t="e">
        <f aca="false">SUM(MatchData[[#this row],[total goal score]],MatchData[[#this row],[crossing score]],MatchData[[#this row],[challenge score]],MatchData[[#this row],[climb score]],MatchData[[#this row],[total auto score]])</f>
        <v>#VALUE!</v>
      </c>
      <c r="BW67" s="16" t="e">
        <f aca="false">ROUND(SUMIF(MatchData[team],MatchData[[#this row],[team]],MatchData[teleop low goals])/COUNTIF(MatchData[team],MatchData[[#this row],[team]]),2)</f>
        <v>#VALUE!</v>
      </c>
      <c r="BX67" s="16" t="e">
        <f aca="false">ROUND(SUMIF(MatchData[team],MatchData[[#this row],[team]],MatchData[teleop high goals])/COUNTIF(MatchData[team],MatchData[[#this row],[team]]),2)</f>
        <v>#VALUE!</v>
      </c>
      <c r="BY67" s="16" t="e">
        <f aca="false">COUNTIF(MatchData[team],MatchData[[#this row],[team]])</f>
        <v>#VALUE!</v>
      </c>
      <c r="BZ67" s="16" t="e">
        <f aca="false">SUMIF(MatchData[team],MatchData[[#this row],[team]],MatchData[portcullis available])</f>
        <v>#VALUE!</v>
      </c>
      <c r="CA67" s="16" t="e">
        <f aca="false">SUMIF(MatchData[team],MatchData[[#this row],[team]],MatchData[cheval available])</f>
        <v>#VALUE!</v>
      </c>
      <c r="CB67" s="16" t="e">
        <f aca="false">SUMIF(MatchData[team],MatchData[[#this row],[team]],MatchData[moat available])</f>
        <v>#VALUE!</v>
      </c>
      <c r="CC67" s="16" t="e">
        <f aca="false">SUMIF(MatchData[team],MatchData[[#this row],[team]],MatchData[ramparts available])</f>
        <v>#VALUE!</v>
      </c>
      <c r="CD67" s="16" t="e">
        <f aca="false">SUMIF(MatchData[team],MatchData[[#this row],[team]],MatchData[drawbridge available])</f>
        <v>#VALUE!</v>
      </c>
      <c r="CE67" s="16" t="e">
        <f aca="false">SUMIF(MatchData[team],MatchData[[#this row],[team]],MatchData[sally port available])</f>
        <v>#VALUE!</v>
      </c>
      <c r="CF67" s="16" t="e">
        <f aca="false">SUMIF(MatchData[team],MatchData[[#this row],[team]],MatchData[rock wall available])</f>
        <v>#VALUE!</v>
      </c>
      <c r="CG67" s="16" t="e">
        <f aca="false">SUMIF(MatchData[team],MatchData[[#this row],[team]],MatchData[rough terrain available])</f>
        <v>#VALUE!</v>
      </c>
      <c r="CH67" s="16" t="e">
        <f aca="false">SUMIF(MatchData[team],MatchData[[#this row],[team]],MatchData[low bar available])</f>
        <v>#VALUE!</v>
      </c>
      <c r="CI67" s="16" t="e">
        <f aca="false">SUMIF(MatchData[team],MatchData[[#this row],[team]],MatchData[portcullis teleop crossings]:MatchData[portcullis scored crossings])</f>
        <v>#VALUE!</v>
      </c>
      <c r="CJ67" s="16" t="e">
        <f aca="false">SUMIF(MatchData[team],MatchData[[#this row],[team]],MatchData[cheval teleop crossings])+SUMIF(MatchData[team],MatchData[[#this row],[team]],MatchData[cheval scored crossings])</f>
        <v>#VALUE!</v>
      </c>
      <c r="CK67" s="16" t="e">
        <f aca="false">SUMIF(MatchData[team],MatchData[[#this row],[team]],MatchData[moat teleop crossings])+SUMIF(MatchData[team],MatchData[[#this row],[team]],MatchData[moat scored crosings])</f>
        <v>#VALUE!</v>
      </c>
      <c r="CL67" s="16" t="e">
        <f aca="false">SUMIF(MatchData[team],MatchData[[#this row],[team]],MatchData[ramparts teleop crossings])+SUMIF(MatchData[team],MatchData[[#this row],[team]],MatchData[ramparts scored crossings])</f>
        <v>#VALUE!</v>
      </c>
      <c r="CM67" s="16" t="e">
        <f aca="false">SUMIF(MatchData[team],MatchData[[#this row],[team]],MatchData[drawbridge teleop crossings])+SUMIF(MatchData[team],MatchData[[#this row],[team]],MatchData[drawbridge scored crossings])</f>
        <v>#VALUE!</v>
      </c>
      <c r="CN67" s="16" t="e">
        <f aca="false">SUMIF(MatchData[team],MatchData[[#this row],[team]],MatchData[sally port teleop crossings])+SUMIF(MatchData[team],MatchData[[#this row],[team]],MatchData[sally port scored crossings])</f>
        <v>#VALUE!</v>
      </c>
      <c r="CO67" s="16" t="e">
        <f aca="false">SUMIF(MatchData[team],MatchData[[#this row],[team]],MatchData[rock wall teleop crossings])+SUMIF(MatchData[team],MatchData[[#this row],[team]],MatchData[rock wall scored crossings])</f>
        <v>#VALUE!</v>
      </c>
      <c r="CP67" s="16" t="e">
        <f aca="false">SUMIF(MatchData[team],MatchData[[#this row],[team]],MatchData[rough terrain teleop crossings])+SUMIF(MatchData[team],MatchData[[#this row],[team]],MatchData[rough terrain scored crossings])</f>
        <v>#VALUE!</v>
      </c>
      <c r="CQ67" s="16" t="e">
        <f aca="false">SUMIF(MatchData[team],MatchData[[#this row],[team]],MatchData[low bar teleop crossings])+SUMIF(MatchData[team],MatchData[[#this row],[team]],MatchData[low bar scored crossings])</f>
        <v>#VALUE!</v>
      </c>
      <c r="CR67" s="16" t="e">
        <f aca="false">IFERROR(ROUND(MatchData[[#this row],[portcullis sum]]/MatchData[[#this row],[portcullis avail count]],2),0)</f>
        <v>#VALUE!</v>
      </c>
      <c r="CS67" s="5" t="e">
        <f aca="false">IFERROR(ROUND(MatchData[[#this row],[cheval sum]]/MatchData[[#this row],[cheval avail count]],2),0)</f>
        <v>#VALUE!</v>
      </c>
      <c r="CT67" s="5" t="e">
        <f aca="false">IFERROR(ROUND(MatchData[[#this row],[moat sum]]/MatchData[[#this row],[moat avail count]],2),0)</f>
        <v>#VALUE!</v>
      </c>
      <c r="CU67" s="5" t="e">
        <f aca="false">IFERROR(ROUND(MatchData[[#this row],[ramparts sum]]/MatchData[[#this row],[ramparts avail count]],2),0)</f>
        <v>#VALUE!</v>
      </c>
      <c r="CV67" s="5" t="e">
        <f aca="false">IFERROR(ROUND(MatchData[[#this row],[drawbridge sum]]/MatchData[[#this row],[drawbridge avail countigh6]],2),0)</f>
        <v>#VALUE!</v>
      </c>
      <c r="CW67" s="5" t="e">
        <f aca="false">IFERROR(ROUND(MatchData[[#this row],[sally port sum]]/MatchData[[#this row],[sally port avail count]],2),0)</f>
        <v>#VALUE!</v>
      </c>
      <c r="CX67" s="5" t="e">
        <f aca="false">IFERROR(ROUND(MatchData[[#this row],[rock wall sum]]/MatchData[[#this row],[rock wall avail count]],2),0)</f>
        <v>#VALUE!</v>
      </c>
      <c r="CY67" s="5" t="e">
        <f aca="false">IFERROR(ROUND(MatchData[[#this row],[rough terrain sum]]/MatchData[[#this row],[rough terrain avail count]],2),0)</f>
        <v>#VALUE!</v>
      </c>
      <c r="CZ67" s="5" t="e">
        <f aca="false">IFERROR(ROUND(MatchData[[#this row],[low bar sum]]/MatchData[[#this row],[low bar avail count]],2),0)</f>
        <v>#VALUE!</v>
      </c>
      <c r="DA67" s="5" t="e">
        <f aca="false">SUM(MatchData[[#this row],[cheval sum]:[low bar sum]])/MatchData[match count]</f>
        <v>#VALUE!</v>
      </c>
      <c r="DB67" s="16" t="n">
        <f aca="false">MAX(IF(C$2:C$74=C67,BP$2:BP$74))</f>
        <v>-1.79769313486232E+308</v>
      </c>
      <c r="DC67" s="16" t="e">
        <f aca="false">AVERAGEIF(MatchData[team],MatchData[[#this row],[team]],MatchData[total score])</f>
        <v>#VALUE!</v>
      </c>
      <c r="DD67" s="16" t="e">
        <f aca="false">ROUND(AVERAGEIF(MatchData[team],MatchData[team],MatchData[climb or challenge flag]),2)</f>
        <v>#VALUE!</v>
      </c>
    </row>
    <row r="68" customFormat="false" ht="14.5" hidden="false" customHeight="false" outlineLevel="0" collapsed="false">
      <c r="A68" s="13" t="s">
        <v>108</v>
      </c>
      <c r="B68" s="14" t="n">
        <v>12</v>
      </c>
      <c r="C68" s="15" t="n">
        <v>753</v>
      </c>
      <c r="D68" s="5" t="s">
        <v>109</v>
      </c>
      <c r="E68" s="5" t="s">
        <v>119</v>
      </c>
      <c r="H68" s="5"/>
      <c r="J68" s="5" t="n">
        <v>1</v>
      </c>
      <c r="K68" s="5"/>
      <c r="L68" s="5" t="n">
        <v>1</v>
      </c>
      <c r="M68" s="5"/>
      <c r="N68" s="5" t="n">
        <v>1</v>
      </c>
      <c r="O68" s="5"/>
      <c r="P68" s="5" t="n">
        <v>1</v>
      </c>
      <c r="Q68" s="5" t="n">
        <v>1</v>
      </c>
      <c r="R68" s="0"/>
      <c r="T68" s="0"/>
      <c r="V68" s="0"/>
      <c r="W68" s="0"/>
      <c r="X68" s="0"/>
      <c r="AL68" s="5" t="n">
        <v>2</v>
      </c>
      <c r="AP68" s="5" t="n">
        <v>1</v>
      </c>
      <c r="BB68" s="5" t="n">
        <v>1</v>
      </c>
      <c r="BC68" s="5" t="e">
        <f aca="false">MatchData[cheval scored crossings]*5</f>
        <v>#VALUE!</v>
      </c>
      <c r="BD68" s="5" t="e">
        <f aca="false">MatchData[moat scored crosings]*5</f>
        <v>#VALUE!</v>
      </c>
      <c r="BE68" s="5" t="e">
        <f aca="false">MatchData[ramparts scored crossings]*5</f>
        <v>#VALUE!</v>
      </c>
      <c r="BF68" s="5" t="e">
        <f aca="false">MatchData[drawbridge scored crossings]*5</f>
        <v>#VALUE!</v>
      </c>
      <c r="BG68" s="5" t="e">
        <f aca="false">MatchData[sally port scored crossings]*5</f>
        <v>#VALUE!</v>
      </c>
      <c r="BH68" s="5" t="e">
        <f aca="false">MatchData[rock wall scored crossings]*5</f>
        <v>#VALUE!</v>
      </c>
      <c r="BI68" s="5" t="e">
        <f aca="false">MatchData[rough terrain scored crossings]*5</f>
        <v>#VALUE!</v>
      </c>
      <c r="BJ68" s="5" t="e">
        <f aca="false">MatchData[low bar scored crossings]*5</f>
        <v>#VALUE!</v>
      </c>
      <c r="BK68" s="5" t="e">
        <f aca="false">SUM(MatchData[[#this row],[low bar teleop crossings]:[rough terrain scored crossings]])</f>
        <v>#VALUE!</v>
      </c>
      <c r="BL68" s="5" t="e">
        <f aca="false">IFERROR(IF(OR(MatchData[[#this row],[challenge flag]],MatchData[[#this row],[climb flag]]),1,0),0)</f>
        <v>#VALUE!</v>
      </c>
      <c r="BM68" s="5" t="e">
        <f aca="false">MatchData[auto high goals]*10+MatchData[teleop high goals]*5</f>
        <v>#VALUE!</v>
      </c>
      <c r="BN68" s="5" t="e">
        <f aca="false">MatchData[auto low goals]*5+MatchData[teleop low goals]*2</f>
        <v>#VALUE!</v>
      </c>
      <c r="BO68" s="5" t="e">
        <f aca="false">MatchData[high goal score]+MatchData[low goal score]</f>
        <v>#VALUE!</v>
      </c>
      <c r="BP68" s="5" t="e">
        <f aca="false">MatchData[teleop high goals]+MatchData[teleop low goals]</f>
        <v>#VALUE!</v>
      </c>
      <c r="BQ68" s="5" t="e">
        <f aca="false">MatchData[[#this row],[auto reach flag]]*2+SUM(MatchData[[#this row],[portcullis auto crossings]:[low bar auto crossings]])*10+MatchData[[#this row],[auto low goals]]*5+MatchData[auto high goals]*10</f>
        <v>#VALUE!</v>
      </c>
      <c r="BR68" s="5" t="e">
        <f aca="false">SUM(MatchData[[#this row],[cheval teleop crossing score]:[low bar teleop crossing score]])</f>
        <v>#VALUE!</v>
      </c>
      <c r="BS68" s="5" t="e">
        <f aca="false">SUMIF(MatchData[team],MatchData[[#this row],[team]],MatchData[total auto score])/MatchData[match count]</f>
        <v>#VALUE!</v>
      </c>
      <c r="BT68" s="5" t="e">
        <f aca="false">MatchData[challenge flag]*5</f>
        <v>#VALUE!</v>
      </c>
      <c r="BU68" s="5" t="e">
        <f aca="false">MatchData[climb flag]*15</f>
        <v>#VALUE!</v>
      </c>
      <c r="BV68" s="5" t="e">
        <f aca="false">SUM(MatchData[[#this row],[total goal score]],MatchData[[#this row],[crossing score]],MatchData[[#this row],[challenge score]],MatchData[[#this row],[climb score]],MatchData[[#this row],[total auto score]])</f>
        <v>#VALUE!</v>
      </c>
      <c r="BW68" s="16" t="e">
        <f aca="false">ROUND(SUMIF(MatchData[team],MatchData[[#this row],[team]],MatchData[teleop low goals])/COUNTIF(MatchData[team],MatchData[[#this row],[team]]),2)</f>
        <v>#VALUE!</v>
      </c>
      <c r="BX68" s="16" t="e">
        <f aca="false">ROUND(SUMIF(MatchData[team],MatchData[[#this row],[team]],MatchData[teleop high goals])/COUNTIF(MatchData[team],MatchData[[#this row],[team]]),2)</f>
        <v>#VALUE!</v>
      </c>
      <c r="BY68" s="16" t="e">
        <f aca="false">COUNTIF(MatchData[team],MatchData[[#this row],[team]])</f>
        <v>#VALUE!</v>
      </c>
      <c r="BZ68" s="16" t="e">
        <f aca="false">SUMIF(MatchData[team],MatchData[[#this row],[team]],MatchData[portcullis available])</f>
        <v>#VALUE!</v>
      </c>
      <c r="CA68" s="16" t="e">
        <f aca="false">SUMIF(MatchData[team],MatchData[[#this row],[team]],MatchData[cheval available])</f>
        <v>#VALUE!</v>
      </c>
      <c r="CB68" s="16" t="e">
        <f aca="false">SUMIF(MatchData[team],MatchData[[#this row],[team]],MatchData[moat available])</f>
        <v>#VALUE!</v>
      </c>
      <c r="CC68" s="16" t="e">
        <f aca="false">SUMIF(MatchData[team],MatchData[[#this row],[team]],MatchData[ramparts available])</f>
        <v>#VALUE!</v>
      </c>
      <c r="CD68" s="16" t="e">
        <f aca="false">SUMIF(MatchData[team],MatchData[[#this row],[team]],MatchData[drawbridge available])</f>
        <v>#VALUE!</v>
      </c>
      <c r="CE68" s="16" t="e">
        <f aca="false">SUMIF(MatchData[team],MatchData[[#this row],[team]],MatchData[sally port available])</f>
        <v>#VALUE!</v>
      </c>
      <c r="CF68" s="16" t="e">
        <f aca="false">SUMIF(MatchData[team],MatchData[[#this row],[team]],MatchData[rock wall available])</f>
        <v>#VALUE!</v>
      </c>
      <c r="CG68" s="16" t="e">
        <f aca="false">SUMIF(MatchData[team],MatchData[[#this row],[team]],MatchData[rough terrain available])</f>
        <v>#VALUE!</v>
      </c>
      <c r="CH68" s="16" t="e">
        <f aca="false">SUMIF(MatchData[team],MatchData[[#this row],[team]],MatchData[low bar available])</f>
        <v>#VALUE!</v>
      </c>
      <c r="CI68" s="16" t="e">
        <f aca="false">SUMIF(MatchData[team],MatchData[[#this row],[team]],MatchData[portcullis teleop crossings]:MatchData[portcullis scored crossings])</f>
        <v>#VALUE!</v>
      </c>
      <c r="CJ68" s="16" t="e">
        <f aca="false">SUMIF(MatchData[team],MatchData[[#this row],[team]],MatchData[cheval teleop crossings])+SUMIF(MatchData[team],MatchData[[#this row],[team]],MatchData[cheval scored crossings])</f>
        <v>#VALUE!</v>
      </c>
      <c r="CK68" s="16" t="e">
        <f aca="false">SUMIF(MatchData[team],MatchData[[#this row],[team]],MatchData[moat teleop crossings])+SUMIF(MatchData[team],MatchData[[#this row],[team]],MatchData[moat scored crosings])</f>
        <v>#VALUE!</v>
      </c>
      <c r="CL68" s="16" t="e">
        <f aca="false">SUMIF(MatchData[team],MatchData[[#this row],[team]],MatchData[ramparts teleop crossings])+SUMIF(MatchData[team],MatchData[[#this row],[team]],MatchData[ramparts scored crossings])</f>
        <v>#VALUE!</v>
      </c>
      <c r="CM68" s="16" t="e">
        <f aca="false">SUMIF(MatchData[team],MatchData[[#this row],[team]],MatchData[drawbridge teleop crossings])+SUMIF(MatchData[team],MatchData[[#this row],[team]],MatchData[drawbridge scored crossings])</f>
        <v>#VALUE!</v>
      </c>
      <c r="CN68" s="16" t="e">
        <f aca="false">SUMIF(MatchData[team],MatchData[[#this row],[team]],MatchData[sally port teleop crossings])+SUMIF(MatchData[team],MatchData[[#this row],[team]],MatchData[sally port scored crossings])</f>
        <v>#VALUE!</v>
      </c>
      <c r="CO68" s="16" t="e">
        <f aca="false">SUMIF(MatchData[team],MatchData[[#this row],[team]],MatchData[rock wall teleop crossings])+SUMIF(MatchData[team],MatchData[[#this row],[team]],MatchData[rock wall scored crossings])</f>
        <v>#VALUE!</v>
      </c>
      <c r="CP68" s="16" t="e">
        <f aca="false">SUMIF(MatchData[team],MatchData[[#this row],[team]],MatchData[rough terrain teleop crossings])+SUMIF(MatchData[team],MatchData[[#this row],[team]],MatchData[rough terrain scored crossings])</f>
        <v>#VALUE!</v>
      </c>
      <c r="CQ68" s="16" t="e">
        <f aca="false">SUMIF(MatchData[team],MatchData[[#this row],[team]],MatchData[low bar teleop crossings])+SUMIF(MatchData[team],MatchData[[#this row],[team]],MatchData[low bar scored crossings])</f>
        <v>#VALUE!</v>
      </c>
      <c r="CR68" s="16" t="e">
        <f aca="false">IFERROR(ROUND(MatchData[[#this row],[portcullis sum]]/MatchData[[#this row],[portcullis avail count]],2),0)</f>
        <v>#VALUE!</v>
      </c>
      <c r="CS68" s="5" t="e">
        <f aca="false">IFERROR(ROUND(MatchData[[#this row],[cheval sum]]/MatchData[[#this row],[cheval avail count]],2),0)</f>
        <v>#VALUE!</v>
      </c>
      <c r="CT68" s="5" t="e">
        <f aca="false">IFERROR(ROUND(MatchData[[#this row],[moat sum]]/MatchData[[#this row],[moat avail count]],2),0)</f>
        <v>#VALUE!</v>
      </c>
      <c r="CU68" s="5" t="e">
        <f aca="false">IFERROR(ROUND(MatchData[[#this row],[ramparts sum]]/MatchData[[#this row],[ramparts avail count]],2),0)</f>
        <v>#VALUE!</v>
      </c>
      <c r="CV68" s="5" t="e">
        <f aca="false">IFERROR(ROUND(MatchData[[#this row],[drawbridge sum]]/MatchData[[#this row],[drawbridge avail countigh6]],2),0)</f>
        <v>#VALUE!</v>
      </c>
      <c r="CW68" s="5" t="e">
        <f aca="false">IFERROR(ROUND(MatchData[[#this row],[sally port sum]]/MatchData[[#this row],[sally port avail count]],2),0)</f>
        <v>#VALUE!</v>
      </c>
      <c r="CX68" s="5" t="e">
        <f aca="false">IFERROR(ROUND(MatchData[[#this row],[rock wall sum]]/MatchData[[#this row],[rock wall avail count]],2),0)</f>
        <v>#VALUE!</v>
      </c>
      <c r="CY68" s="5" t="e">
        <f aca="false">IFERROR(ROUND(MatchData[[#this row],[rough terrain sum]]/MatchData[[#this row],[rough terrain avail count]],2),0)</f>
        <v>#VALUE!</v>
      </c>
      <c r="CZ68" s="5" t="e">
        <f aca="false">IFERROR(ROUND(MatchData[[#this row],[low bar sum]]/MatchData[[#this row],[low bar avail count]],2),0)</f>
        <v>#VALUE!</v>
      </c>
      <c r="DA68" s="5" t="e">
        <f aca="false">SUM(MatchData[[#this row],[cheval sum]:[low bar sum]])/MatchData[match count]</f>
        <v>#VALUE!</v>
      </c>
      <c r="DB68" s="16" t="n">
        <f aca="false">MAX(IF(C$2:C$74=C68,BP$2:BP$74))</f>
        <v>-1.79769313486232E+308</v>
      </c>
      <c r="DC68" s="16" t="e">
        <f aca="false">AVERAGEIF(MatchData[team],MatchData[[#this row],[team]],MatchData[total score])</f>
        <v>#VALUE!</v>
      </c>
      <c r="DD68" s="16" t="e">
        <f aca="false">ROUND(AVERAGEIF(MatchData[team],MatchData[team],MatchData[climb or challenge flag]),2)</f>
        <v>#VALUE!</v>
      </c>
    </row>
    <row r="69" customFormat="false" ht="14.5" hidden="false" customHeight="false" outlineLevel="0" collapsed="false">
      <c r="A69" s="13" t="s">
        <v>108</v>
      </c>
      <c r="B69" s="14" t="n">
        <v>12</v>
      </c>
      <c r="C69" s="15" t="n">
        <v>1540</v>
      </c>
      <c r="D69" s="5" t="s">
        <v>109</v>
      </c>
      <c r="E69" s="5" t="s">
        <v>136</v>
      </c>
      <c r="G69" s="5" t="n">
        <v>3</v>
      </c>
      <c r="H69" s="5"/>
      <c r="J69" s="5" t="n">
        <v>1</v>
      </c>
      <c r="K69" s="5"/>
      <c r="L69" s="5" t="n">
        <v>1</v>
      </c>
      <c r="M69" s="5"/>
      <c r="N69" s="5" t="n">
        <v>1</v>
      </c>
      <c r="O69" s="5"/>
      <c r="P69" s="5" t="n">
        <v>1</v>
      </c>
      <c r="Q69" s="5" t="n">
        <v>1</v>
      </c>
      <c r="R69" s="0"/>
      <c r="S69" s="5" t="n">
        <v>1</v>
      </c>
      <c r="T69" s="0"/>
      <c r="V69" s="0"/>
      <c r="W69" s="0"/>
      <c r="X69" s="0"/>
      <c r="AD69" s="5" t="n">
        <v>2</v>
      </c>
      <c r="AH69" s="5" t="n">
        <v>2</v>
      </c>
      <c r="AW69" s="5" t="n">
        <v>1</v>
      </c>
      <c r="BB69" s="5" t="n">
        <v>1</v>
      </c>
      <c r="BC69" s="5" t="e">
        <f aca="false">MatchData[cheval scored crossings]*5</f>
        <v>#VALUE!</v>
      </c>
      <c r="BD69" s="5" t="e">
        <f aca="false">MatchData[moat scored crosings]*5</f>
        <v>#VALUE!</v>
      </c>
      <c r="BE69" s="5" t="e">
        <f aca="false">MatchData[ramparts scored crossings]*5</f>
        <v>#VALUE!</v>
      </c>
      <c r="BF69" s="5" t="e">
        <f aca="false">MatchData[drawbridge scored crossings]*5</f>
        <v>#VALUE!</v>
      </c>
      <c r="BG69" s="5" t="e">
        <f aca="false">MatchData[sally port scored crossings]*5</f>
        <v>#VALUE!</v>
      </c>
      <c r="BH69" s="5" t="e">
        <f aca="false">MatchData[rock wall scored crossings]*5</f>
        <v>#VALUE!</v>
      </c>
      <c r="BI69" s="5" t="e">
        <f aca="false">MatchData[rough terrain scored crossings]*5</f>
        <v>#VALUE!</v>
      </c>
      <c r="BJ69" s="5" t="e">
        <f aca="false">MatchData[low bar scored crossings]*5</f>
        <v>#VALUE!</v>
      </c>
      <c r="BK69" s="5" t="e">
        <f aca="false">SUM(MatchData[[#this row],[low bar teleop crossings]:[rough terrain scored crossings]])</f>
        <v>#VALUE!</v>
      </c>
      <c r="BL69" s="5" t="e">
        <f aca="false">IFERROR(IF(OR(MatchData[[#this row],[challenge flag]],MatchData[[#this row],[climb flag]]),1,0),0)</f>
        <v>#VALUE!</v>
      </c>
      <c r="BM69" s="5" t="e">
        <f aca="false">MatchData[auto high goals]*10+MatchData[teleop high goals]*5</f>
        <v>#VALUE!</v>
      </c>
      <c r="BN69" s="5" t="e">
        <f aca="false">MatchData[auto low goals]*5+MatchData[teleop low goals]*2</f>
        <v>#VALUE!</v>
      </c>
      <c r="BO69" s="5" t="e">
        <f aca="false">MatchData[high goal score]+MatchData[low goal score]</f>
        <v>#VALUE!</v>
      </c>
      <c r="BP69" s="5" t="e">
        <f aca="false">MatchData[teleop high goals]+MatchData[teleop low goals]</f>
        <v>#VALUE!</v>
      </c>
      <c r="BQ69" s="5" t="e">
        <f aca="false">MatchData[[#this row],[auto reach flag]]*2+SUM(MatchData[[#this row],[portcullis auto crossings]:[low bar auto crossings]])*10+MatchData[[#this row],[auto low goals]]*5+MatchData[auto high goals]*10</f>
        <v>#VALUE!</v>
      </c>
      <c r="BR69" s="5" t="e">
        <f aca="false">SUM(MatchData[[#this row],[cheval teleop crossing score]:[low bar teleop crossing score]])</f>
        <v>#VALUE!</v>
      </c>
      <c r="BS69" s="5" t="e">
        <f aca="false">SUMIF(MatchData[team],MatchData[[#this row],[team]],MatchData[total auto score])/MatchData[match count]</f>
        <v>#VALUE!</v>
      </c>
      <c r="BT69" s="5" t="e">
        <f aca="false">MatchData[challenge flag]*5</f>
        <v>#VALUE!</v>
      </c>
      <c r="BU69" s="5" t="e">
        <f aca="false">MatchData[climb flag]*15</f>
        <v>#VALUE!</v>
      </c>
      <c r="BV69" s="5" t="e">
        <f aca="false">SUM(MatchData[[#this row],[total goal score]],MatchData[[#this row],[crossing score]],MatchData[[#this row],[challenge score]],MatchData[[#this row],[climb score]],MatchData[[#this row],[total auto score]])</f>
        <v>#VALUE!</v>
      </c>
      <c r="BW69" s="16" t="e">
        <f aca="false">ROUND(SUMIF(MatchData[team],MatchData[[#this row],[team]],MatchData[teleop low goals])/COUNTIF(MatchData[team],MatchData[[#this row],[team]]),2)</f>
        <v>#VALUE!</v>
      </c>
      <c r="BX69" s="16" t="e">
        <f aca="false">ROUND(SUMIF(MatchData[team],MatchData[[#this row],[team]],MatchData[teleop high goals])/COUNTIF(MatchData[team],MatchData[[#this row],[team]]),2)</f>
        <v>#VALUE!</v>
      </c>
      <c r="BY69" s="16" t="e">
        <f aca="false">COUNTIF(MatchData[team],MatchData[[#this row],[team]])</f>
        <v>#VALUE!</v>
      </c>
      <c r="BZ69" s="16" t="e">
        <f aca="false">SUMIF(MatchData[team],MatchData[[#this row],[team]],MatchData[portcullis available])</f>
        <v>#VALUE!</v>
      </c>
      <c r="CA69" s="16" t="e">
        <f aca="false">SUMIF(MatchData[team],MatchData[[#this row],[team]],MatchData[cheval available])</f>
        <v>#VALUE!</v>
      </c>
      <c r="CB69" s="16" t="e">
        <f aca="false">SUMIF(MatchData[team],MatchData[[#this row],[team]],MatchData[moat available])</f>
        <v>#VALUE!</v>
      </c>
      <c r="CC69" s="16" t="e">
        <f aca="false">SUMIF(MatchData[team],MatchData[[#this row],[team]],MatchData[ramparts available])</f>
        <v>#VALUE!</v>
      </c>
      <c r="CD69" s="16" t="e">
        <f aca="false">SUMIF(MatchData[team],MatchData[[#this row],[team]],MatchData[drawbridge available])</f>
        <v>#VALUE!</v>
      </c>
      <c r="CE69" s="16" t="e">
        <f aca="false">SUMIF(MatchData[team],MatchData[[#this row],[team]],MatchData[sally port available])</f>
        <v>#VALUE!</v>
      </c>
      <c r="CF69" s="16" t="e">
        <f aca="false">SUMIF(MatchData[team],MatchData[[#this row],[team]],MatchData[rock wall available])</f>
        <v>#VALUE!</v>
      </c>
      <c r="CG69" s="16" t="e">
        <f aca="false">SUMIF(MatchData[team],MatchData[[#this row],[team]],MatchData[rough terrain available])</f>
        <v>#VALUE!</v>
      </c>
      <c r="CH69" s="16" t="e">
        <f aca="false">SUMIF(MatchData[team],MatchData[[#this row],[team]],MatchData[low bar available])</f>
        <v>#VALUE!</v>
      </c>
      <c r="CI69" s="16" t="e">
        <f aca="false">SUMIF(MatchData[team],MatchData[[#this row],[team]],MatchData[portcullis teleop crossings]:MatchData[portcullis scored crossings])</f>
        <v>#VALUE!</v>
      </c>
      <c r="CJ69" s="16" t="e">
        <f aca="false">SUMIF(MatchData[team],MatchData[[#this row],[team]],MatchData[cheval teleop crossings])+SUMIF(MatchData[team],MatchData[[#this row],[team]],MatchData[cheval scored crossings])</f>
        <v>#VALUE!</v>
      </c>
      <c r="CK69" s="16" t="e">
        <f aca="false">SUMIF(MatchData[team],MatchData[[#this row],[team]],MatchData[moat teleop crossings])+SUMIF(MatchData[team],MatchData[[#this row],[team]],MatchData[moat scored crosings])</f>
        <v>#VALUE!</v>
      </c>
      <c r="CL69" s="16" t="e">
        <f aca="false">SUMIF(MatchData[team],MatchData[[#this row],[team]],MatchData[ramparts teleop crossings])+SUMIF(MatchData[team],MatchData[[#this row],[team]],MatchData[ramparts scored crossings])</f>
        <v>#VALUE!</v>
      </c>
      <c r="CM69" s="16" t="e">
        <f aca="false">SUMIF(MatchData[team],MatchData[[#this row],[team]],MatchData[drawbridge teleop crossings])+SUMIF(MatchData[team],MatchData[[#this row],[team]],MatchData[drawbridge scored crossings])</f>
        <v>#VALUE!</v>
      </c>
      <c r="CN69" s="16" t="e">
        <f aca="false">SUMIF(MatchData[team],MatchData[[#this row],[team]],MatchData[sally port teleop crossings])+SUMIF(MatchData[team],MatchData[[#this row],[team]],MatchData[sally port scored crossings])</f>
        <v>#VALUE!</v>
      </c>
      <c r="CO69" s="16" t="e">
        <f aca="false">SUMIF(MatchData[team],MatchData[[#this row],[team]],MatchData[rock wall teleop crossings])+SUMIF(MatchData[team],MatchData[[#this row],[team]],MatchData[rock wall scored crossings])</f>
        <v>#VALUE!</v>
      </c>
      <c r="CP69" s="16" t="e">
        <f aca="false">SUMIF(MatchData[team],MatchData[[#this row],[team]],MatchData[rough terrain teleop crossings])+SUMIF(MatchData[team],MatchData[[#this row],[team]],MatchData[rough terrain scored crossings])</f>
        <v>#VALUE!</v>
      </c>
      <c r="CQ69" s="16" t="e">
        <f aca="false">SUMIF(MatchData[team],MatchData[[#this row],[team]],MatchData[low bar teleop crossings])+SUMIF(MatchData[team],MatchData[[#this row],[team]],MatchData[low bar scored crossings])</f>
        <v>#VALUE!</v>
      </c>
      <c r="CR69" s="16" t="e">
        <f aca="false">IFERROR(ROUND(MatchData[[#this row],[portcullis sum]]/MatchData[[#this row],[portcullis avail count]],2),0)</f>
        <v>#VALUE!</v>
      </c>
      <c r="CS69" s="5" t="e">
        <f aca="false">IFERROR(ROUND(MatchData[[#this row],[cheval sum]]/MatchData[[#this row],[cheval avail count]],2),0)</f>
        <v>#VALUE!</v>
      </c>
      <c r="CT69" s="5" t="e">
        <f aca="false">IFERROR(ROUND(MatchData[[#this row],[moat sum]]/MatchData[[#this row],[moat avail count]],2),0)</f>
        <v>#VALUE!</v>
      </c>
      <c r="CU69" s="5" t="e">
        <f aca="false">IFERROR(ROUND(MatchData[[#this row],[ramparts sum]]/MatchData[[#this row],[ramparts avail count]],2),0)</f>
        <v>#VALUE!</v>
      </c>
      <c r="CV69" s="5" t="e">
        <f aca="false">IFERROR(ROUND(MatchData[[#this row],[drawbridge sum]]/MatchData[[#this row],[drawbridge avail countigh6]],2),0)</f>
        <v>#VALUE!</v>
      </c>
      <c r="CW69" s="5" t="e">
        <f aca="false">IFERROR(ROUND(MatchData[[#this row],[sally port sum]]/MatchData[[#this row],[sally port avail count]],2),0)</f>
        <v>#VALUE!</v>
      </c>
      <c r="CX69" s="5" t="e">
        <f aca="false">IFERROR(ROUND(MatchData[[#this row],[rock wall sum]]/MatchData[[#this row],[rock wall avail count]],2),0)</f>
        <v>#VALUE!</v>
      </c>
      <c r="CY69" s="5" t="e">
        <f aca="false">IFERROR(ROUND(MatchData[[#this row],[rough terrain sum]]/MatchData[[#this row],[rough terrain avail count]],2),0)</f>
        <v>#VALUE!</v>
      </c>
      <c r="CZ69" s="5" t="e">
        <f aca="false">IFERROR(ROUND(MatchData[[#this row],[low bar sum]]/MatchData[[#this row],[low bar avail count]],2),0)</f>
        <v>#VALUE!</v>
      </c>
      <c r="DA69" s="5" t="e">
        <f aca="false">SUM(MatchData[[#this row],[cheval sum]:[low bar sum]])/MatchData[match count]</f>
        <v>#VALUE!</v>
      </c>
      <c r="DB69" s="16" t="n">
        <f aca="false">MAX(IF(C$2:C$74=C69,BP$2:BP$74))</f>
        <v>-1.79769313486232E+308</v>
      </c>
      <c r="DC69" s="16" t="e">
        <f aca="false">AVERAGEIF(MatchData[team],MatchData[[#this row],[team]],MatchData[total score])</f>
        <v>#VALUE!</v>
      </c>
      <c r="DD69" s="16" t="e">
        <f aca="false">ROUND(AVERAGEIF(MatchData[team],MatchData[team],MatchData[climb or challenge flag]),2)</f>
        <v>#VALUE!</v>
      </c>
    </row>
    <row r="70" customFormat="false" ht="14.5" hidden="false" customHeight="false" outlineLevel="0" collapsed="false">
      <c r="A70" s="13" t="s">
        <v>108</v>
      </c>
      <c r="B70" s="14" t="n">
        <v>12</v>
      </c>
      <c r="C70" s="15" t="n">
        <v>2374</v>
      </c>
      <c r="D70" s="5" t="s">
        <v>109</v>
      </c>
      <c r="E70" s="5" t="s">
        <v>118</v>
      </c>
      <c r="H70" s="5"/>
      <c r="J70" s="5" t="n">
        <v>1</v>
      </c>
      <c r="K70" s="5"/>
      <c r="L70" s="5" t="n">
        <v>1</v>
      </c>
      <c r="M70" s="5"/>
      <c r="N70" s="5" t="n">
        <v>1</v>
      </c>
      <c r="O70" s="5"/>
      <c r="P70" s="5" t="n">
        <v>1</v>
      </c>
      <c r="Q70" s="5" t="n">
        <v>1</v>
      </c>
      <c r="R70" s="0"/>
      <c r="T70" s="0"/>
      <c r="V70" s="0"/>
      <c r="W70" s="0"/>
      <c r="X70" s="0"/>
      <c r="AZ70" s="5" t="n">
        <v>1</v>
      </c>
      <c r="BB70" s="5" t="n">
        <v>1</v>
      </c>
      <c r="BC70" s="5" t="e">
        <f aca="false">MatchData[cheval scored crossings]*5</f>
        <v>#VALUE!</v>
      </c>
      <c r="BD70" s="5" t="e">
        <f aca="false">MatchData[moat scored crosings]*5</f>
        <v>#VALUE!</v>
      </c>
      <c r="BE70" s="5" t="e">
        <f aca="false">MatchData[ramparts scored crossings]*5</f>
        <v>#VALUE!</v>
      </c>
      <c r="BF70" s="5" t="e">
        <f aca="false">MatchData[drawbridge scored crossings]*5</f>
        <v>#VALUE!</v>
      </c>
      <c r="BG70" s="5" t="e">
        <f aca="false">MatchData[sally port scored crossings]*5</f>
        <v>#VALUE!</v>
      </c>
      <c r="BH70" s="5" t="e">
        <f aca="false">MatchData[rock wall scored crossings]*5</f>
        <v>#VALUE!</v>
      </c>
      <c r="BI70" s="5" t="e">
        <f aca="false">MatchData[rough terrain scored crossings]*5</f>
        <v>#VALUE!</v>
      </c>
      <c r="BJ70" s="5" t="e">
        <f aca="false">MatchData[low bar scored crossings]*5</f>
        <v>#VALUE!</v>
      </c>
      <c r="BK70" s="5" t="e">
        <f aca="false">SUM(MatchData[[#this row],[low bar teleop crossings]:[rough terrain scored crossings]])</f>
        <v>#VALUE!</v>
      </c>
      <c r="BL70" s="5" t="e">
        <f aca="false">IFERROR(IF(OR(MatchData[[#this row],[challenge flag]],MatchData[[#this row],[climb flag]]),1,0),0)</f>
        <v>#VALUE!</v>
      </c>
      <c r="BM70" s="5" t="e">
        <f aca="false">MatchData[auto high goals]*10+MatchData[teleop high goals]*5</f>
        <v>#VALUE!</v>
      </c>
      <c r="BN70" s="5" t="e">
        <f aca="false">MatchData[auto low goals]*5+MatchData[teleop low goals]*2</f>
        <v>#VALUE!</v>
      </c>
      <c r="BO70" s="5" t="e">
        <f aca="false">MatchData[high goal score]+MatchData[low goal score]</f>
        <v>#VALUE!</v>
      </c>
      <c r="BP70" s="5" t="e">
        <f aca="false">MatchData[teleop high goals]+MatchData[teleop low goals]</f>
        <v>#VALUE!</v>
      </c>
      <c r="BQ70" s="5" t="e">
        <f aca="false">MatchData[[#this row],[auto reach flag]]*2+SUM(MatchData[[#this row],[portcullis auto crossings]:[low bar auto crossings]])*10+MatchData[[#this row],[auto low goals]]*5+MatchData[auto high goals]*10</f>
        <v>#VALUE!</v>
      </c>
      <c r="BR70" s="5" t="e">
        <f aca="false">SUM(MatchData[[#this row],[cheval teleop crossing score]:[low bar teleop crossing score]])</f>
        <v>#VALUE!</v>
      </c>
      <c r="BS70" s="5" t="e">
        <f aca="false">SUMIF(MatchData[team],MatchData[[#this row],[team]],MatchData[total auto score])/MatchData[match count]</f>
        <v>#VALUE!</v>
      </c>
      <c r="BT70" s="5" t="e">
        <f aca="false">MatchData[challenge flag]*5</f>
        <v>#VALUE!</v>
      </c>
      <c r="BU70" s="5" t="e">
        <f aca="false">MatchData[climb flag]*15</f>
        <v>#VALUE!</v>
      </c>
      <c r="BV70" s="5" t="e">
        <f aca="false">SUM(MatchData[[#this row],[total goal score]],MatchData[[#this row],[crossing score]],MatchData[[#this row],[challenge score]],MatchData[[#this row],[climb score]],MatchData[[#this row],[total auto score]])</f>
        <v>#VALUE!</v>
      </c>
      <c r="BW70" s="16" t="e">
        <f aca="false">ROUND(SUMIF(MatchData[team],MatchData[[#this row],[team]],MatchData[teleop low goals])/COUNTIF(MatchData[team],MatchData[[#this row],[team]]),2)</f>
        <v>#VALUE!</v>
      </c>
      <c r="BX70" s="16" t="e">
        <f aca="false">ROUND(SUMIF(MatchData[team],MatchData[[#this row],[team]],MatchData[teleop high goals])/COUNTIF(MatchData[team],MatchData[[#this row],[team]]),2)</f>
        <v>#VALUE!</v>
      </c>
      <c r="BY70" s="16" t="e">
        <f aca="false">COUNTIF(MatchData[team],MatchData[[#this row],[team]])</f>
        <v>#VALUE!</v>
      </c>
      <c r="BZ70" s="16" t="e">
        <f aca="false">SUMIF(MatchData[team],MatchData[[#this row],[team]],MatchData[portcullis available])</f>
        <v>#VALUE!</v>
      </c>
      <c r="CA70" s="16" t="e">
        <f aca="false">SUMIF(MatchData[team],MatchData[[#this row],[team]],MatchData[cheval available])</f>
        <v>#VALUE!</v>
      </c>
      <c r="CB70" s="16" t="e">
        <f aca="false">SUMIF(MatchData[team],MatchData[[#this row],[team]],MatchData[moat available])</f>
        <v>#VALUE!</v>
      </c>
      <c r="CC70" s="16" t="e">
        <f aca="false">SUMIF(MatchData[team],MatchData[[#this row],[team]],MatchData[ramparts available])</f>
        <v>#VALUE!</v>
      </c>
      <c r="CD70" s="16" t="e">
        <f aca="false">SUMIF(MatchData[team],MatchData[[#this row],[team]],MatchData[drawbridge available])</f>
        <v>#VALUE!</v>
      </c>
      <c r="CE70" s="16" t="e">
        <f aca="false">SUMIF(MatchData[team],MatchData[[#this row],[team]],MatchData[sally port available])</f>
        <v>#VALUE!</v>
      </c>
      <c r="CF70" s="16" t="e">
        <f aca="false">SUMIF(MatchData[team],MatchData[[#this row],[team]],MatchData[rock wall available])</f>
        <v>#VALUE!</v>
      </c>
      <c r="CG70" s="16" t="e">
        <f aca="false">SUMIF(MatchData[team],MatchData[[#this row],[team]],MatchData[rough terrain available])</f>
        <v>#VALUE!</v>
      </c>
      <c r="CH70" s="16" t="e">
        <f aca="false">SUMIF(MatchData[team],MatchData[[#this row],[team]],MatchData[low bar available])</f>
        <v>#VALUE!</v>
      </c>
      <c r="CI70" s="16" t="e">
        <f aca="false">SUMIF(MatchData[team],MatchData[[#this row],[team]],MatchData[portcullis teleop crossings]:MatchData[portcullis scored crossings])</f>
        <v>#VALUE!</v>
      </c>
      <c r="CJ70" s="16" t="e">
        <f aca="false">SUMIF(MatchData[team],MatchData[[#this row],[team]],MatchData[cheval teleop crossings])+SUMIF(MatchData[team],MatchData[[#this row],[team]],MatchData[cheval scored crossings])</f>
        <v>#VALUE!</v>
      </c>
      <c r="CK70" s="16" t="e">
        <f aca="false">SUMIF(MatchData[team],MatchData[[#this row],[team]],MatchData[moat teleop crossings])+SUMIF(MatchData[team],MatchData[[#this row],[team]],MatchData[moat scored crosings])</f>
        <v>#VALUE!</v>
      </c>
      <c r="CL70" s="16" t="e">
        <f aca="false">SUMIF(MatchData[team],MatchData[[#this row],[team]],MatchData[ramparts teleop crossings])+SUMIF(MatchData[team],MatchData[[#this row],[team]],MatchData[ramparts scored crossings])</f>
        <v>#VALUE!</v>
      </c>
      <c r="CM70" s="16" t="e">
        <f aca="false">SUMIF(MatchData[team],MatchData[[#this row],[team]],MatchData[drawbridge teleop crossings])+SUMIF(MatchData[team],MatchData[[#this row],[team]],MatchData[drawbridge scored crossings])</f>
        <v>#VALUE!</v>
      </c>
      <c r="CN70" s="16" t="e">
        <f aca="false">SUMIF(MatchData[team],MatchData[[#this row],[team]],MatchData[sally port teleop crossings])+SUMIF(MatchData[team],MatchData[[#this row],[team]],MatchData[sally port scored crossings])</f>
        <v>#VALUE!</v>
      </c>
      <c r="CO70" s="16" t="e">
        <f aca="false">SUMIF(MatchData[team],MatchData[[#this row],[team]],MatchData[rock wall teleop crossings])+SUMIF(MatchData[team],MatchData[[#this row],[team]],MatchData[rock wall scored crossings])</f>
        <v>#VALUE!</v>
      </c>
      <c r="CP70" s="16" t="e">
        <f aca="false">SUMIF(MatchData[team],MatchData[[#this row],[team]],MatchData[rough terrain teleop crossings])+SUMIF(MatchData[team],MatchData[[#this row],[team]],MatchData[rough terrain scored crossings])</f>
        <v>#VALUE!</v>
      </c>
      <c r="CQ70" s="16" t="e">
        <f aca="false">SUMIF(MatchData[team],MatchData[[#this row],[team]],MatchData[low bar teleop crossings])+SUMIF(MatchData[team],MatchData[[#this row],[team]],MatchData[low bar scored crossings])</f>
        <v>#VALUE!</v>
      </c>
      <c r="CR70" s="16" t="e">
        <f aca="false">IFERROR(ROUND(MatchData[[#this row],[portcullis sum]]/MatchData[[#this row],[portcullis avail count]],2),0)</f>
        <v>#VALUE!</v>
      </c>
      <c r="CS70" s="5" t="e">
        <f aca="false">IFERROR(ROUND(MatchData[[#this row],[cheval sum]]/MatchData[[#this row],[cheval avail count]],2),0)</f>
        <v>#VALUE!</v>
      </c>
      <c r="CT70" s="5" t="e">
        <f aca="false">IFERROR(ROUND(MatchData[[#this row],[moat sum]]/MatchData[[#this row],[moat avail count]],2),0)</f>
        <v>#VALUE!</v>
      </c>
      <c r="CU70" s="5" t="e">
        <f aca="false">IFERROR(ROUND(MatchData[[#this row],[ramparts sum]]/MatchData[[#this row],[ramparts avail count]],2),0)</f>
        <v>#VALUE!</v>
      </c>
      <c r="CV70" s="5" t="e">
        <f aca="false">IFERROR(ROUND(MatchData[[#this row],[drawbridge sum]]/MatchData[[#this row],[drawbridge avail countigh6]],2),0)</f>
        <v>#VALUE!</v>
      </c>
      <c r="CW70" s="5" t="e">
        <f aca="false">IFERROR(ROUND(MatchData[[#this row],[sally port sum]]/MatchData[[#this row],[sally port avail count]],2),0)</f>
        <v>#VALUE!</v>
      </c>
      <c r="CX70" s="5" t="e">
        <f aca="false">IFERROR(ROUND(MatchData[[#this row],[rock wall sum]]/MatchData[[#this row],[rock wall avail count]],2),0)</f>
        <v>#VALUE!</v>
      </c>
      <c r="CY70" s="5" t="e">
        <f aca="false">IFERROR(ROUND(MatchData[[#this row],[rough terrain sum]]/MatchData[[#this row],[rough terrain avail count]],2),0)</f>
        <v>#VALUE!</v>
      </c>
      <c r="CZ70" s="5" t="e">
        <f aca="false">IFERROR(ROUND(MatchData[[#this row],[low bar sum]]/MatchData[[#this row],[low bar avail count]],2),0)</f>
        <v>#VALUE!</v>
      </c>
      <c r="DA70" s="5" t="e">
        <f aca="false">SUM(MatchData[[#this row],[cheval sum]:[low bar sum]])/MatchData[match count]</f>
        <v>#VALUE!</v>
      </c>
      <c r="DB70" s="16" t="n">
        <f aca="false">MAX(IF(C$2:C$74=C70,BP$2:BP$74))</f>
        <v>-1.79769313486232E+308</v>
      </c>
      <c r="DC70" s="16" t="e">
        <f aca="false">AVERAGEIF(MatchData[team],MatchData[[#this row],[team]],MatchData[total score])</f>
        <v>#VALUE!</v>
      </c>
      <c r="DD70" s="16" t="e">
        <f aca="false">ROUND(AVERAGEIF(MatchData[team],MatchData[team],MatchData[climb or challenge flag]),2)</f>
        <v>#VALUE!</v>
      </c>
    </row>
    <row r="71" customFormat="false" ht="14.5" hidden="false" customHeight="false" outlineLevel="0" collapsed="false">
      <c r="A71" s="13" t="s">
        <v>108</v>
      </c>
      <c r="B71" s="14" t="n">
        <v>12</v>
      </c>
      <c r="C71" s="15" t="n">
        <v>1425</v>
      </c>
      <c r="D71" s="5" t="s">
        <v>113</v>
      </c>
      <c r="E71" s="5" t="s">
        <v>139</v>
      </c>
      <c r="H71" s="5"/>
      <c r="J71" s="5" t="n">
        <v>1</v>
      </c>
      <c r="K71" s="5"/>
      <c r="L71" s="5" t="n">
        <v>1</v>
      </c>
      <c r="M71" s="5"/>
      <c r="N71" s="5" t="n">
        <v>1</v>
      </c>
      <c r="O71" s="5"/>
      <c r="P71" s="5" t="n">
        <v>1</v>
      </c>
      <c r="Q71" s="5" t="n">
        <v>1</v>
      </c>
      <c r="R71" s="0"/>
      <c r="T71" s="0"/>
      <c r="V71" s="0"/>
      <c r="W71" s="5" t="n">
        <v>1</v>
      </c>
      <c r="X71" s="0"/>
      <c r="AH71" s="5" t="n">
        <v>2</v>
      </c>
      <c r="AL71" s="5" t="n">
        <v>1</v>
      </c>
      <c r="AP71" s="5" t="n">
        <v>1</v>
      </c>
      <c r="AR71" s="5" t="n">
        <v>2</v>
      </c>
      <c r="AW71" s="5" t="n">
        <v>1</v>
      </c>
      <c r="AX71" s="5" t="n">
        <v>1</v>
      </c>
      <c r="BB71" s="5" t="n">
        <v>1</v>
      </c>
      <c r="BC71" s="5" t="e">
        <f aca="false">MatchData[cheval scored crossings]*5</f>
        <v>#VALUE!</v>
      </c>
      <c r="BD71" s="5" t="e">
        <f aca="false">MatchData[moat scored crosings]*5</f>
        <v>#VALUE!</v>
      </c>
      <c r="BE71" s="5" t="e">
        <f aca="false">MatchData[ramparts scored crossings]*5</f>
        <v>#VALUE!</v>
      </c>
      <c r="BF71" s="5" t="e">
        <f aca="false">MatchData[drawbridge scored crossings]*5</f>
        <v>#VALUE!</v>
      </c>
      <c r="BG71" s="5" t="e">
        <f aca="false">MatchData[sally port scored crossings]*5</f>
        <v>#VALUE!</v>
      </c>
      <c r="BH71" s="5" t="e">
        <f aca="false">MatchData[rock wall scored crossings]*5</f>
        <v>#VALUE!</v>
      </c>
      <c r="BI71" s="5" t="e">
        <f aca="false">MatchData[rough terrain scored crossings]*5</f>
        <v>#VALUE!</v>
      </c>
      <c r="BJ71" s="5" t="e">
        <f aca="false">MatchData[low bar scored crossings]*5</f>
        <v>#VALUE!</v>
      </c>
      <c r="BK71" s="5" t="e">
        <f aca="false">SUM(MatchData[[#this row],[low bar teleop crossings]:[rough terrain scored crossings]])</f>
        <v>#VALUE!</v>
      </c>
      <c r="BL71" s="5" t="e">
        <f aca="false">IFERROR(IF(OR(MatchData[[#this row],[challenge flag]],MatchData[[#this row],[climb flag]]),1,0),0)</f>
        <v>#VALUE!</v>
      </c>
      <c r="BM71" s="5" t="e">
        <f aca="false">MatchData[auto high goals]*10+MatchData[teleop high goals]*5</f>
        <v>#VALUE!</v>
      </c>
      <c r="BN71" s="5" t="e">
        <f aca="false">MatchData[auto low goals]*5+MatchData[teleop low goals]*2</f>
        <v>#VALUE!</v>
      </c>
      <c r="BO71" s="5" t="e">
        <f aca="false">MatchData[high goal score]+MatchData[low goal score]</f>
        <v>#VALUE!</v>
      </c>
      <c r="BP71" s="5" t="e">
        <f aca="false">MatchData[teleop high goals]+MatchData[teleop low goals]</f>
        <v>#VALUE!</v>
      </c>
      <c r="BQ71" s="5" t="e">
        <f aca="false">MatchData[[#this row],[auto reach flag]]*2+SUM(MatchData[[#this row],[portcullis auto crossings]:[low bar auto crossings]])*10+MatchData[[#this row],[auto low goals]]*5+MatchData[auto high goals]*10</f>
        <v>#VALUE!</v>
      </c>
      <c r="BR71" s="5" t="e">
        <f aca="false">SUM(MatchData[[#this row],[cheval teleop crossing score]:[low bar teleop crossing score]])</f>
        <v>#VALUE!</v>
      </c>
      <c r="BS71" s="5" t="e">
        <f aca="false">SUMIF(MatchData[team],MatchData[[#this row],[team]],MatchData[total auto score])/MatchData[match count]</f>
        <v>#VALUE!</v>
      </c>
      <c r="BT71" s="5" t="e">
        <f aca="false">MatchData[challenge flag]*5</f>
        <v>#VALUE!</v>
      </c>
      <c r="BU71" s="5" t="e">
        <f aca="false">MatchData[climb flag]*15</f>
        <v>#VALUE!</v>
      </c>
      <c r="BV71" s="5" t="e">
        <f aca="false">SUM(MatchData[[#this row],[total goal score]],MatchData[[#this row],[crossing score]],MatchData[[#this row],[challenge score]],MatchData[[#this row],[climb score]],MatchData[[#this row],[total auto score]])</f>
        <v>#VALUE!</v>
      </c>
      <c r="BW71" s="16" t="e">
        <f aca="false">ROUND(SUMIF(MatchData[team],MatchData[[#this row],[team]],MatchData[teleop low goals])/COUNTIF(MatchData[team],MatchData[[#this row],[team]]),2)</f>
        <v>#VALUE!</v>
      </c>
      <c r="BX71" s="16" t="e">
        <f aca="false">ROUND(SUMIF(MatchData[team],MatchData[[#this row],[team]],MatchData[teleop high goals])/COUNTIF(MatchData[team],MatchData[[#this row],[team]]),2)</f>
        <v>#VALUE!</v>
      </c>
      <c r="BY71" s="16" t="e">
        <f aca="false">COUNTIF(MatchData[team],MatchData[[#this row],[team]])</f>
        <v>#VALUE!</v>
      </c>
      <c r="BZ71" s="16" t="e">
        <f aca="false">SUMIF(MatchData[team],MatchData[[#this row],[team]],MatchData[portcullis available])</f>
        <v>#VALUE!</v>
      </c>
      <c r="CA71" s="16" t="e">
        <f aca="false">SUMIF(MatchData[team],MatchData[[#this row],[team]],MatchData[cheval available])</f>
        <v>#VALUE!</v>
      </c>
      <c r="CB71" s="16" t="e">
        <f aca="false">SUMIF(MatchData[team],MatchData[[#this row],[team]],MatchData[moat available])</f>
        <v>#VALUE!</v>
      </c>
      <c r="CC71" s="16" t="e">
        <f aca="false">SUMIF(MatchData[team],MatchData[[#this row],[team]],MatchData[ramparts available])</f>
        <v>#VALUE!</v>
      </c>
      <c r="CD71" s="16" t="e">
        <f aca="false">SUMIF(MatchData[team],MatchData[[#this row],[team]],MatchData[drawbridge available])</f>
        <v>#VALUE!</v>
      </c>
      <c r="CE71" s="16" t="e">
        <f aca="false">SUMIF(MatchData[team],MatchData[[#this row],[team]],MatchData[sally port available])</f>
        <v>#VALUE!</v>
      </c>
      <c r="CF71" s="16" t="e">
        <f aca="false">SUMIF(MatchData[team],MatchData[[#this row],[team]],MatchData[rock wall available])</f>
        <v>#VALUE!</v>
      </c>
      <c r="CG71" s="16" t="e">
        <f aca="false">SUMIF(MatchData[team],MatchData[[#this row],[team]],MatchData[rough terrain available])</f>
        <v>#VALUE!</v>
      </c>
      <c r="CH71" s="16" t="e">
        <f aca="false">SUMIF(MatchData[team],MatchData[[#this row],[team]],MatchData[low bar available])</f>
        <v>#VALUE!</v>
      </c>
      <c r="CI71" s="16" t="e">
        <f aca="false">SUMIF(MatchData[team],MatchData[[#this row],[team]],MatchData[portcullis teleop crossings]) + SUMIF(MatchData[team],MatchData[[#this row],[team]],MatchData[portcullis scored crossings])</f>
        <v>#VALUE!</v>
      </c>
      <c r="CJ71" s="16" t="e">
        <f aca="false">SUMIF(MatchData[team],MatchData[[#this row],[team]],MatchData[cheval teleop crossings])+SUMIF(MatchData[team],MatchData[[#this row],[team]],MatchData[cheval scored crossings])</f>
        <v>#VALUE!</v>
      </c>
      <c r="CK71" s="16" t="e">
        <f aca="false">SUMIF(MatchData[team],MatchData[[#this row],[team]],MatchData[moat teleop crossings])+SUMIF(MatchData[team],MatchData[[#this row],[team]],MatchData[moat scored crosings])</f>
        <v>#VALUE!</v>
      </c>
      <c r="CL71" s="16" t="e">
        <f aca="false">SUMIF(MatchData[team],MatchData[[#this row],[team]],MatchData[ramparts teleop crossings])+SUMIF(MatchData[team],MatchData[[#this row],[team]],MatchData[ramparts scored crossings])</f>
        <v>#VALUE!</v>
      </c>
      <c r="CM71" s="16" t="e">
        <f aca="false">SUMIF(MatchData[team],MatchData[[#this row],[team]],MatchData[drawbridge teleop crossings])+SUMIF(MatchData[team],MatchData[[#this row],[team]],MatchData[drawbridge scored crossings])</f>
        <v>#VALUE!</v>
      </c>
      <c r="CN71" s="16" t="e">
        <f aca="false">SUMIF(MatchData[team],MatchData[[#this row],[team]],MatchData[sally port teleop crossings])+SUMIF(MatchData[team],MatchData[[#this row],[team]],MatchData[sally port scored crossings])</f>
        <v>#VALUE!</v>
      </c>
      <c r="CO71" s="16" t="e">
        <f aca="false">SUMIF(MatchData[team],MatchData[[#this row],[team]],MatchData[rock wall teleop crossings])+SUMIF(MatchData[team],MatchData[[#this row],[team]],MatchData[rock wall scored crossings])</f>
        <v>#VALUE!</v>
      </c>
      <c r="CP71" s="16" t="e">
        <f aca="false">SUMIF(MatchData[team],MatchData[[#this row],[team]],MatchData[rough terrain teleop crossings])+SUMIF(MatchData[team],MatchData[[#this row],[team]],MatchData[rough terrain scored crossings])</f>
        <v>#VALUE!</v>
      </c>
      <c r="CQ71" s="16" t="e">
        <f aca="false">SUMIF(MatchData[team],MatchData[[#this row],[team]],MatchData[low bar teleop crossings])+SUMIF(MatchData[team],MatchData[[#this row],[team]],MatchData[low bar scored crossings])</f>
        <v>#VALUE!</v>
      </c>
      <c r="CR71" s="16" t="e">
        <f aca="false">IFERROR(ROUND(MatchData[[#this row],[portcullis sum]]/MatchData[[#this row],[portcullis avail count]],2),0)</f>
        <v>#VALUE!</v>
      </c>
      <c r="CS71" s="5" t="e">
        <f aca="false">IFERROR(ROUND(MatchData[[#this row],[cheval sum]]/MatchData[[#this row],[cheval avail count]],2),0)</f>
        <v>#VALUE!</v>
      </c>
      <c r="CT71" s="5" t="e">
        <f aca="false">IFERROR(ROUND(MatchData[[#this row],[moat sum]]/MatchData[[#this row],[moat avail count]],2),0)</f>
        <v>#VALUE!</v>
      </c>
      <c r="CU71" s="5" t="e">
        <f aca="false">IFERROR(ROUND(MatchData[[#this row],[ramparts sum]]/MatchData[[#this row],[ramparts avail count]],2),0)</f>
        <v>#VALUE!</v>
      </c>
      <c r="CV71" s="5" t="e">
        <f aca="false">IFERROR(ROUND(MatchData[[#this row],[drawbridge sum]]/MatchData[[#this row],[drawbridge avail countigh6]],2),0)</f>
        <v>#VALUE!</v>
      </c>
      <c r="CW71" s="5" t="e">
        <f aca="false">IFERROR(ROUND(MatchData[[#this row],[sally port sum]]/MatchData[[#this row],[sally port avail count]],2),0)</f>
        <v>#VALUE!</v>
      </c>
      <c r="CX71" s="5" t="e">
        <f aca="false">IFERROR(ROUND(MatchData[[#this row],[rock wall sum]]/MatchData[[#this row],[rock wall avail count]],2),0)</f>
        <v>#VALUE!</v>
      </c>
      <c r="CY71" s="5" t="e">
        <f aca="false">IFERROR(ROUND(MatchData[[#this row],[rough terrain sum]]/MatchData[[#this row],[rough terrain avail count]],2),0)</f>
        <v>#VALUE!</v>
      </c>
      <c r="CZ71" s="5" t="e">
        <f aca="false">IFERROR(ROUND(MatchData[[#this row],[low bar sum]]/MatchData[[#this row],[low bar avail count]],2),0)</f>
        <v>#VALUE!</v>
      </c>
      <c r="DA71" s="5" t="e">
        <f aca="false">SUM(MatchData[[#this row],[cheval sum]:[low bar sum]])/MatchData[match count]</f>
        <v>#VALUE!</v>
      </c>
      <c r="DB71" s="16" t="n">
        <f aca="false">MAX(IF(C$2:C$74=C71,BP$2:BP$74))</f>
        <v>-1.79769313486232E+308</v>
      </c>
      <c r="DC71" s="16" t="e">
        <f aca="false">AVERAGEIF(MatchData[team],MatchData[[#this row],[team]],MatchData[total score])</f>
        <v>#VALUE!</v>
      </c>
      <c r="DD71" s="16" t="e">
        <f aca="false">ROUND(AVERAGEIF(MatchData[team],MatchData[team],MatchData[climb or challenge flag]),2)</f>
        <v>#VALUE!</v>
      </c>
    </row>
    <row r="72" customFormat="false" ht="14.5" hidden="false" customHeight="false" outlineLevel="0" collapsed="false">
      <c r="A72" s="13" t="s">
        <v>108</v>
      </c>
      <c r="B72" s="14" t="n">
        <v>12</v>
      </c>
      <c r="C72" s="15" t="n">
        <v>1571</v>
      </c>
      <c r="D72" s="5" t="s">
        <v>113</v>
      </c>
      <c r="E72" s="5" t="s">
        <v>137</v>
      </c>
      <c r="H72" s="5"/>
      <c r="I72" s="5" t="n">
        <v>1</v>
      </c>
      <c r="J72" s="5" t="n">
        <v>1</v>
      </c>
      <c r="K72" s="5"/>
      <c r="L72" s="5" t="n">
        <v>1</v>
      </c>
      <c r="M72" s="5"/>
      <c r="N72" s="5" t="n">
        <v>1</v>
      </c>
      <c r="O72" s="5"/>
      <c r="P72" s="5" t="n">
        <v>1</v>
      </c>
      <c r="Q72" s="5" t="n">
        <v>1</v>
      </c>
      <c r="R72" s="0"/>
      <c r="T72" s="0"/>
      <c r="V72" s="0"/>
      <c r="W72" s="0"/>
      <c r="X72" s="0"/>
      <c r="AD72" s="5" t="n">
        <v>1</v>
      </c>
      <c r="AY72" s="5" t="n">
        <v>1</v>
      </c>
      <c r="BB72" s="5" t="n">
        <v>1</v>
      </c>
      <c r="BC72" s="5" t="e">
        <f aca="false">MatchData[cheval scored crossings]*5</f>
        <v>#VALUE!</v>
      </c>
      <c r="BD72" s="5" t="e">
        <f aca="false">MatchData[moat scored crosings]*5</f>
        <v>#VALUE!</v>
      </c>
      <c r="BE72" s="5" t="e">
        <f aca="false">MatchData[ramparts scored crossings]*5</f>
        <v>#VALUE!</v>
      </c>
      <c r="BF72" s="5" t="e">
        <f aca="false">MatchData[drawbridge scored crossings]*5</f>
        <v>#VALUE!</v>
      </c>
      <c r="BG72" s="5" t="e">
        <f aca="false">MatchData[sally port scored crossings]*5</f>
        <v>#VALUE!</v>
      </c>
      <c r="BH72" s="5" t="e">
        <f aca="false">MatchData[rock wall scored crossings]*5</f>
        <v>#VALUE!</v>
      </c>
      <c r="BI72" s="5" t="e">
        <f aca="false">MatchData[rough terrain scored crossings]*5</f>
        <v>#VALUE!</v>
      </c>
      <c r="BJ72" s="5" t="e">
        <f aca="false">MatchData[low bar scored crossings]*5</f>
        <v>#VALUE!</v>
      </c>
      <c r="BK72" s="5" t="e">
        <f aca="false">SUM(MatchData[[#this row],[low bar teleop crossings]:[rough terrain scored crossings]])</f>
        <v>#VALUE!</v>
      </c>
      <c r="BL72" s="5" t="e">
        <f aca="false">IFERROR(IF(OR(MatchData[[#this row],[challenge flag]],MatchData[[#this row],[climb flag]]),1,0),0)</f>
        <v>#VALUE!</v>
      </c>
      <c r="BM72" s="5" t="e">
        <f aca="false">MatchData[auto high goals]*10+MatchData[teleop high goals]*5</f>
        <v>#VALUE!</v>
      </c>
      <c r="BN72" s="5" t="e">
        <f aca="false">MatchData[auto low goals]*5+MatchData[teleop low goals]*2</f>
        <v>#VALUE!</v>
      </c>
      <c r="BO72" s="5" t="e">
        <f aca="false">MatchData[high goal score]+MatchData[low goal score]</f>
        <v>#VALUE!</v>
      </c>
      <c r="BP72" s="5" t="e">
        <f aca="false">MatchData[teleop high goals]+MatchData[teleop low goals]</f>
        <v>#VALUE!</v>
      </c>
      <c r="BQ72" s="5" t="e">
        <f aca="false">MatchData[[#this row],[auto reach flag]]*2+SUM(MatchData[[#this row],[portcullis auto crossings]:[low bar auto crossings]])*10+MatchData[[#this row],[auto low goals]]*5+MatchData[auto high goals]*10</f>
        <v>#VALUE!</v>
      </c>
      <c r="BR72" s="5" t="e">
        <f aca="false">SUM(MatchData[[#this row],[cheval teleop crossing score]:[low bar teleop crossing score]])</f>
        <v>#VALUE!</v>
      </c>
      <c r="BS72" s="5" t="e">
        <f aca="false">SUMIF(MatchData[team],MatchData[[#this row],[team]],MatchData[total auto score])/MatchData[match count]</f>
        <v>#VALUE!</v>
      </c>
      <c r="BT72" s="5" t="e">
        <f aca="false">MatchData[challenge flag]*5</f>
        <v>#VALUE!</v>
      </c>
      <c r="BU72" s="5" t="e">
        <f aca="false">MatchData[climb flag]*15</f>
        <v>#VALUE!</v>
      </c>
      <c r="BV72" s="5" t="e">
        <f aca="false">SUM(MatchData[[#this row],[total goal score]],MatchData[[#this row],[crossing score]],MatchData[[#this row],[challenge score]],MatchData[[#this row],[climb score]],MatchData[[#this row],[total auto score]])</f>
        <v>#VALUE!</v>
      </c>
      <c r="BW72" s="16" t="e">
        <f aca="false">ROUND(SUMIF(MatchData[team],MatchData[[#this row],[team]],MatchData[teleop low goals])/COUNTIF(MatchData[team],MatchData[[#this row],[team]]),2)</f>
        <v>#VALUE!</v>
      </c>
      <c r="BX72" s="16" t="e">
        <f aca="false">ROUND(SUMIF(MatchData[team],MatchData[[#this row],[team]],MatchData[teleop high goals])/COUNTIF(MatchData[team],MatchData[[#this row],[team]]),2)</f>
        <v>#VALUE!</v>
      </c>
      <c r="BY72" s="16" t="e">
        <f aca="false">COUNTIF(MatchData[team],MatchData[[#this row],[team]])</f>
        <v>#VALUE!</v>
      </c>
      <c r="BZ72" s="16" t="e">
        <f aca="false">SUMIF(MatchData[team],MatchData[[#this row],[team]],MatchData[portcullis available])</f>
        <v>#VALUE!</v>
      </c>
      <c r="CA72" s="16" t="e">
        <f aca="false">SUMIF(MatchData[team],MatchData[[#this row],[team]],MatchData[cheval available])</f>
        <v>#VALUE!</v>
      </c>
      <c r="CB72" s="16" t="e">
        <f aca="false">SUMIF(MatchData[team],MatchData[[#this row],[team]],MatchData[moat available])</f>
        <v>#VALUE!</v>
      </c>
      <c r="CC72" s="16" t="e">
        <f aca="false">SUMIF(MatchData[team],MatchData[[#this row],[team]],MatchData[ramparts available])</f>
        <v>#VALUE!</v>
      </c>
      <c r="CD72" s="16" t="e">
        <f aca="false">SUMIF(MatchData[team],MatchData[[#this row],[team]],MatchData[drawbridge available])</f>
        <v>#VALUE!</v>
      </c>
      <c r="CE72" s="16" t="e">
        <f aca="false">SUMIF(MatchData[team],MatchData[[#this row],[team]],MatchData[sally port available])</f>
        <v>#VALUE!</v>
      </c>
      <c r="CF72" s="16" t="e">
        <f aca="false">SUMIF(MatchData[team],MatchData[[#this row],[team]],MatchData[rock wall available])</f>
        <v>#VALUE!</v>
      </c>
      <c r="CG72" s="16" t="e">
        <f aca="false">SUMIF(MatchData[team],MatchData[[#this row],[team]],MatchData[rough terrain available])</f>
        <v>#VALUE!</v>
      </c>
      <c r="CH72" s="16" t="e">
        <f aca="false">SUMIF(MatchData[team],MatchData[[#this row],[team]],MatchData[low bar available])</f>
        <v>#VALUE!</v>
      </c>
      <c r="CI72" s="16" t="e">
        <f aca="false">SUMIF(MatchData[team],MatchData[[#this row],[team]],MatchData[portcullis teleop crossings]:MatchData[portcullis scored crossings])</f>
        <v>#VALUE!</v>
      </c>
      <c r="CJ72" s="16" t="e">
        <f aca="false">SUMIF(MatchData[team],MatchData[[#this row],[team]],MatchData[cheval teleop crossings])+SUMIF(MatchData[team],MatchData[[#this row],[team]],MatchData[cheval scored crossings])</f>
        <v>#VALUE!</v>
      </c>
      <c r="CK72" s="16" t="e">
        <f aca="false">SUMIF(MatchData[team],MatchData[[#this row],[team]],MatchData[moat teleop crossings])+SUMIF(MatchData[team],MatchData[[#this row],[team]],MatchData[moat scored crosings])</f>
        <v>#VALUE!</v>
      </c>
      <c r="CL72" s="16" t="e">
        <f aca="false">SUMIF(MatchData[team],MatchData[[#this row],[team]],MatchData[ramparts teleop crossings])+SUMIF(MatchData[team],MatchData[[#this row],[team]],MatchData[ramparts scored crossings])</f>
        <v>#VALUE!</v>
      </c>
      <c r="CM72" s="16" t="e">
        <f aca="false">SUMIF(MatchData[team],MatchData[[#this row],[team]],MatchData[drawbridge teleop crossings])+SUMIF(MatchData[team],MatchData[[#this row],[team]],MatchData[drawbridge scored crossings])</f>
        <v>#VALUE!</v>
      </c>
      <c r="CN72" s="16" t="e">
        <f aca="false">SUMIF(MatchData[team],MatchData[[#this row],[team]],MatchData[sally port teleop crossings])+SUMIF(MatchData[team],MatchData[[#this row],[team]],MatchData[sally port scored crossings])</f>
        <v>#VALUE!</v>
      </c>
      <c r="CO72" s="16" t="e">
        <f aca="false">SUMIF(MatchData[team],MatchData[[#this row],[team]],MatchData[rock wall teleop crossings])+SUMIF(MatchData[team],MatchData[[#this row],[team]],MatchData[rock wall scored crossings])</f>
        <v>#VALUE!</v>
      </c>
      <c r="CP72" s="16" t="e">
        <f aca="false">SUMIF(MatchData[team],MatchData[[#this row],[team]],MatchData[rough terrain teleop crossings])+SUMIF(MatchData[team],MatchData[[#this row],[team]],MatchData[rough terrain scored crossings])</f>
        <v>#VALUE!</v>
      </c>
      <c r="CQ72" s="16" t="e">
        <f aca="false">SUMIF(MatchData[team],MatchData[[#this row],[team]],MatchData[low bar teleop crossings])+SUMIF(MatchData[team],MatchData[[#this row],[team]],MatchData[low bar scored crossings])</f>
        <v>#VALUE!</v>
      </c>
      <c r="CR72" s="16" t="e">
        <f aca="false">IFERROR(ROUND(MatchData[[#this row],[portcullis sum]]/MatchData[[#this row],[portcullis avail count]],2),0)</f>
        <v>#VALUE!</v>
      </c>
      <c r="CS72" s="5" t="e">
        <f aca="false">IFERROR(ROUND(MatchData[[#this row],[cheval sum]]/MatchData[[#this row],[cheval avail count]],2),0)</f>
        <v>#VALUE!</v>
      </c>
      <c r="CT72" s="5" t="e">
        <f aca="false">IFERROR(ROUND(MatchData[[#this row],[moat sum]]/MatchData[[#this row],[moat avail count]],2),0)</f>
        <v>#VALUE!</v>
      </c>
      <c r="CU72" s="5" t="e">
        <f aca="false">IFERROR(ROUND(MatchData[[#this row],[ramparts sum]]/MatchData[[#this row],[ramparts avail count]],2),0)</f>
        <v>#VALUE!</v>
      </c>
      <c r="CV72" s="5" t="e">
        <f aca="false">IFERROR(ROUND(MatchData[[#this row],[drawbridge sum]]/MatchData[[#this row],[drawbridge avail countigh6]],2),0)</f>
        <v>#VALUE!</v>
      </c>
      <c r="CW72" s="5" t="e">
        <f aca="false">IFERROR(ROUND(MatchData[[#this row],[sally port sum]]/MatchData[[#this row],[sally port avail count]],2),0)</f>
        <v>#VALUE!</v>
      </c>
      <c r="CX72" s="5" t="e">
        <f aca="false">IFERROR(ROUND(MatchData[[#this row],[rock wall sum]]/MatchData[[#this row],[rock wall avail count]],2),0)</f>
        <v>#VALUE!</v>
      </c>
      <c r="CY72" s="5" t="e">
        <f aca="false">IFERROR(ROUND(MatchData[[#this row],[rough terrain sum]]/MatchData[[#this row],[rough terrain avail count]],2),0)</f>
        <v>#VALUE!</v>
      </c>
      <c r="CZ72" s="5" t="e">
        <f aca="false">IFERROR(ROUND(MatchData[[#this row],[low bar sum]]/MatchData[[#this row],[low bar avail count]],2),0)</f>
        <v>#VALUE!</v>
      </c>
      <c r="DA72" s="5" t="e">
        <f aca="false">SUM(MatchData[[#this row],[cheval sum]:[low bar sum]])/MatchData[match count]</f>
        <v>#VALUE!</v>
      </c>
      <c r="DB72" s="16" t="n">
        <f aca="false">MAX(IF(C$2:C$74=C72,BP$2:BP$74))</f>
        <v>-1.79769313486232E+308</v>
      </c>
      <c r="DC72" s="16" t="e">
        <f aca="false">AVERAGEIF(MatchData[team],MatchData[[#this row],[team]],MatchData[total score])</f>
        <v>#VALUE!</v>
      </c>
      <c r="DD72" s="16" t="e">
        <f aca="false">ROUND(AVERAGEIF(MatchData[team],MatchData[team],MatchData[climb or challenge flag]),2)</f>
        <v>#VALUE!</v>
      </c>
    </row>
    <row r="73" customFormat="false" ht="14.5" hidden="false" customHeight="false" outlineLevel="0" collapsed="false">
      <c r="A73" s="13" t="s">
        <v>108</v>
      </c>
      <c r="B73" s="14" t="n">
        <v>12</v>
      </c>
      <c r="C73" s="15" t="n">
        <v>3674</v>
      </c>
      <c r="D73" s="5" t="s">
        <v>113</v>
      </c>
      <c r="E73" s="5" t="s">
        <v>134</v>
      </c>
      <c r="G73" s="5" t="n">
        <v>1</v>
      </c>
      <c r="H73" s="5"/>
      <c r="J73" s="5" t="n">
        <v>1</v>
      </c>
      <c r="K73" s="5"/>
      <c r="L73" s="5" t="n">
        <v>1</v>
      </c>
      <c r="M73" s="5"/>
      <c r="N73" s="5" t="n">
        <v>1</v>
      </c>
      <c r="O73" s="5"/>
      <c r="P73" s="5" t="n">
        <v>1</v>
      </c>
      <c r="Q73" s="5" t="n">
        <v>1</v>
      </c>
      <c r="R73" s="0"/>
      <c r="T73" s="0"/>
      <c r="V73" s="0"/>
      <c r="W73" s="0"/>
      <c r="X73" s="0"/>
      <c r="AD73" s="5" t="n">
        <v>1</v>
      </c>
      <c r="AP73" s="5" t="n">
        <v>1</v>
      </c>
      <c r="AW73" s="5" t="n">
        <v>1</v>
      </c>
      <c r="BC73" s="5" t="e">
        <f aca="false">MatchData[cheval scored crossings]*5</f>
        <v>#VALUE!</v>
      </c>
      <c r="BD73" s="5" t="e">
        <f aca="false">MatchData[moat scored crosings]*5</f>
        <v>#VALUE!</v>
      </c>
      <c r="BE73" s="5" t="e">
        <f aca="false">MatchData[ramparts scored crossings]*5</f>
        <v>#VALUE!</v>
      </c>
      <c r="BF73" s="5" t="e">
        <f aca="false">MatchData[drawbridge scored crossings]*5</f>
        <v>#VALUE!</v>
      </c>
      <c r="BG73" s="5" t="e">
        <f aca="false">MatchData[sally port scored crossings]*5</f>
        <v>#VALUE!</v>
      </c>
      <c r="BH73" s="5" t="e">
        <f aca="false">MatchData[rock wall scored crossings]*5</f>
        <v>#VALUE!</v>
      </c>
      <c r="BI73" s="5" t="e">
        <f aca="false">MatchData[rough terrain scored crossings]*5</f>
        <v>#VALUE!</v>
      </c>
      <c r="BJ73" s="5" t="e">
        <f aca="false">MatchData[low bar scored crossings]*5</f>
        <v>#VALUE!</v>
      </c>
      <c r="BK73" s="5" t="e">
        <f aca="false">SUM(MatchData[[#this row],[low bar teleop crossings]:[rough terrain scored crossings]])</f>
        <v>#VALUE!</v>
      </c>
      <c r="BL73" s="5" t="e">
        <f aca="false">IFERROR(IF(OR(MatchData[[#this row],[challenge flag]],MatchData[[#this row],[climb flag]]),1,0),0)</f>
        <v>#VALUE!</v>
      </c>
      <c r="BM73" s="5" t="e">
        <f aca="false">MatchData[auto high goals]*10+MatchData[teleop high goals]*5</f>
        <v>#VALUE!</v>
      </c>
      <c r="BN73" s="5" t="e">
        <f aca="false">MatchData[auto low goals]*5+MatchData[teleop low goals]*2</f>
        <v>#VALUE!</v>
      </c>
      <c r="BO73" s="5" t="e">
        <f aca="false">MatchData[high goal score]+MatchData[low goal score]</f>
        <v>#VALUE!</v>
      </c>
      <c r="BP73" s="5" t="e">
        <f aca="false">MatchData[teleop high goals]+MatchData[teleop low goals]</f>
        <v>#VALUE!</v>
      </c>
      <c r="BQ73" s="5" t="e">
        <f aca="false">MatchData[[#this row],[auto reach flag]]*2+SUM(MatchData[[#this row],[portcullis auto crossings]:[low bar auto crossings]])*10+MatchData[[#this row],[auto low goals]]*5+MatchData[auto high goals]*10</f>
        <v>#VALUE!</v>
      </c>
      <c r="BR73" s="5" t="e">
        <f aca="false">SUM(MatchData[[#this row],[cheval teleop crossing score]:[low bar teleop crossing score]])</f>
        <v>#VALUE!</v>
      </c>
      <c r="BS73" s="5" t="e">
        <f aca="false">SUMIF(MatchData[team],MatchData[[#this row],[team]],MatchData[total auto score])/MatchData[match count]</f>
        <v>#VALUE!</v>
      </c>
      <c r="BT73" s="5" t="e">
        <f aca="false">MatchData[challenge flag]*5</f>
        <v>#VALUE!</v>
      </c>
      <c r="BU73" s="5" t="e">
        <f aca="false">MatchData[climb flag]*15</f>
        <v>#VALUE!</v>
      </c>
      <c r="BV73" s="5" t="e">
        <f aca="false">SUM(MatchData[[#this row],[total goal score]],MatchData[[#this row],[crossing score]],MatchData[[#this row],[challenge score]],MatchData[[#this row],[climb score]],MatchData[[#this row],[total auto score]])</f>
        <v>#VALUE!</v>
      </c>
      <c r="BW73" s="16" t="e">
        <f aca="false">ROUND(SUMIF(MatchData[team],MatchData[[#this row],[team]],MatchData[teleop low goals])/COUNTIF(MatchData[team],MatchData[[#this row],[team]]),2)</f>
        <v>#VALUE!</v>
      </c>
      <c r="BX73" s="16" t="e">
        <f aca="false">ROUND(SUMIF(MatchData[team],MatchData[[#this row],[team]],MatchData[teleop high goals])/COUNTIF(MatchData[team],MatchData[[#this row],[team]]),2)</f>
        <v>#VALUE!</v>
      </c>
      <c r="BY73" s="16" t="e">
        <f aca="false">COUNTIF(MatchData[team],MatchData[[#this row],[team]])</f>
        <v>#VALUE!</v>
      </c>
      <c r="BZ73" s="16" t="e">
        <f aca="false">SUMIF(MatchData[team],MatchData[[#this row],[team]],MatchData[portcullis available])</f>
        <v>#VALUE!</v>
      </c>
      <c r="CA73" s="16" t="e">
        <f aca="false">SUMIF(MatchData[team],MatchData[[#this row],[team]],MatchData[cheval available])</f>
        <v>#VALUE!</v>
      </c>
      <c r="CB73" s="16" t="e">
        <f aca="false">SUMIF(MatchData[team],MatchData[[#this row],[team]],MatchData[moat available])</f>
        <v>#VALUE!</v>
      </c>
      <c r="CC73" s="16" t="e">
        <f aca="false">SUMIF(MatchData[team],MatchData[[#this row],[team]],MatchData[ramparts available])</f>
        <v>#VALUE!</v>
      </c>
      <c r="CD73" s="16" t="e">
        <f aca="false">SUMIF(MatchData[team],MatchData[[#this row],[team]],MatchData[drawbridge available])</f>
        <v>#VALUE!</v>
      </c>
      <c r="CE73" s="16" t="e">
        <f aca="false">SUMIF(MatchData[team],MatchData[[#this row],[team]],MatchData[sally port available])</f>
        <v>#VALUE!</v>
      </c>
      <c r="CF73" s="16" t="e">
        <f aca="false">SUMIF(MatchData[team],MatchData[[#this row],[team]],MatchData[rock wall available])</f>
        <v>#VALUE!</v>
      </c>
      <c r="CG73" s="16" t="e">
        <f aca="false">SUMIF(MatchData[team],MatchData[[#this row],[team]],MatchData[rough terrain available])</f>
        <v>#VALUE!</v>
      </c>
      <c r="CH73" s="16" t="e">
        <f aca="false">SUMIF(MatchData[team],MatchData[[#this row],[team]],MatchData[low bar available])</f>
        <v>#VALUE!</v>
      </c>
      <c r="CI73" s="16" t="e">
        <f aca="false">SUMIF(MatchData[team],MatchData[[#this row],[team]],MatchData[portcullis teleop crossings]:MatchData[portcullis scored crossings])</f>
        <v>#VALUE!</v>
      </c>
      <c r="CJ73" s="16" t="e">
        <f aca="false">SUMIF(MatchData[team],MatchData[[#this row],[team]],MatchData[cheval teleop crossings])+SUMIF(MatchData[team],MatchData[[#this row],[team]],MatchData[cheval scored crossings])</f>
        <v>#VALUE!</v>
      </c>
      <c r="CK73" s="16" t="e">
        <f aca="false">SUMIF(MatchData[team],MatchData[[#this row],[team]],MatchData[moat teleop crossings])+SUMIF(MatchData[team],MatchData[[#this row],[team]],MatchData[moat scored crosings])</f>
        <v>#VALUE!</v>
      </c>
      <c r="CL73" s="16" t="e">
        <f aca="false">SUMIF(MatchData[team],MatchData[[#this row],[team]],MatchData[ramparts teleop crossings])+SUMIF(MatchData[team],MatchData[[#this row],[team]],MatchData[ramparts scored crossings])</f>
        <v>#VALUE!</v>
      </c>
      <c r="CM73" s="16" t="e">
        <f aca="false">SUMIF(MatchData[team],MatchData[[#this row],[team]],MatchData[drawbridge teleop crossings])+SUMIF(MatchData[team],MatchData[[#this row],[team]],MatchData[drawbridge scored crossings])</f>
        <v>#VALUE!</v>
      </c>
      <c r="CN73" s="16" t="e">
        <f aca="false">SUMIF(MatchData[team],MatchData[[#this row],[team]],MatchData[sally port teleop crossings])+SUMIF(MatchData[team],MatchData[[#this row],[team]],MatchData[sally port scored crossings])</f>
        <v>#VALUE!</v>
      </c>
      <c r="CO73" s="16" t="e">
        <f aca="false">SUMIF(MatchData[team],MatchData[[#this row],[team]],MatchData[rock wall teleop crossings])+SUMIF(MatchData[team],MatchData[[#this row],[team]],MatchData[rock wall scored crossings])</f>
        <v>#VALUE!</v>
      </c>
      <c r="CP73" s="16" t="e">
        <f aca="false">SUMIF(MatchData[team],MatchData[[#this row],[team]],MatchData[rough terrain teleop crossings])+SUMIF(MatchData[team],MatchData[[#this row],[team]],MatchData[rough terrain scored crossings])</f>
        <v>#VALUE!</v>
      </c>
      <c r="CQ73" s="16" t="e">
        <f aca="false">SUMIF(MatchData[team],MatchData[[#this row],[team]],MatchData[low bar teleop crossings])+SUMIF(MatchData[team],MatchData[[#this row],[team]],MatchData[low bar scored crossings])</f>
        <v>#VALUE!</v>
      </c>
      <c r="CR73" s="16" t="e">
        <f aca="false">IFERROR(ROUND(MatchData[[#this row],[portcullis sum]]/MatchData[[#this row],[portcullis avail count]],2),0)</f>
        <v>#VALUE!</v>
      </c>
      <c r="CS73" s="5" t="e">
        <f aca="false">IFERROR(ROUND(MatchData[[#this row],[cheval sum]]/MatchData[[#this row],[cheval avail count]],2),0)</f>
        <v>#VALUE!</v>
      </c>
      <c r="CT73" s="5" t="e">
        <f aca="false">IFERROR(ROUND(MatchData[[#this row],[moat sum]]/MatchData[[#this row],[moat avail count]],2),0)</f>
        <v>#VALUE!</v>
      </c>
      <c r="CU73" s="5" t="e">
        <f aca="false">IFERROR(ROUND(MatchData[[#this row],[ramparts sum]]/MatchData[[#this row],[ramparts avail count]],2),0)</f>
        <v>#VALUE!</v>
      </c>
      <c r="CV73" s="5" t="e">
        <f aca="false">IFERROR(ROUND(MatchData[[#this row],[drawbridge sum]]/MatchData[[#this row],[drawbridge avail countigh6]],2),0)</f>
        <v>#VALUE!</v>
      </c>
      <c r="CW73" s="5" t="e">
        <f aca="false">IFERROR(ROUND(MatchData[[#this row],[sally port sum]]/MatchData[[#this row],[sally port avail count]],2),0)</f>
        <v>#VALUE!</v>
      </c>
      <c r="CX73" s="5" t="e">
        <f aca="false">IFERROR(ROUND(MatchData[[#this row],[rock wall sum]]/MatchData[[#this row],[rock wall avail count]],2),0)</f>
        <v>#VALUE!</v>
      </c>
      <c r="CY73" s="5" t="e">
        <f aca="false">IFERROR(ROUND(MatchData[[#this row],[rough terrain sum]]/MatchData[[#this row],[rough terrain avail count]],2),0)</f>
        <v>#VALUE!</v>
      </c>
      <c r="CZ73" s="5" t="e">
        <f aca="false">IFERROR(ROUND(MatchData[[#this row],[low bar sum]]/MatchData[[#this row],[low bar avail count]],2),0)</f>
        <v>#VALUE!</v>
      </c>
      <c r="DA73" s="5" t="e">
        <f aca="false">SUM(MatchData[[#this row],[cheval sum]:[low bar sum]])/MatchData[match count]</f>
        <v>#VALUE!</v>
      </c>
      <c r="DB73" s="16" t="n">
        <f aca="false">MAX(IF(C$2:C$74=C73,BP$2:BP$74))</f>
        <v>-1.79769313486232E+308</v>
      </c>
      <c r="DC73" s="16" t="e">
        <f aca="false">AVERAGEIF(MatchData[team],MatchData[[#this row],[team]],MatchData[total score])</f>
        <v>#VALUE!</v>
      </c>
      <c r="DD73" s="16" t="e">
        <f aca="false">ROUND(AVERAGEIF(MatchData[team],MatchData[team],MatchData[climb or challenge flag]),2)</f>
        <v>#VALUE!</v>
      </c>
    </row>
    <row r="74" customFormat="false" ht="14.5" hidden="false" customHeight="false" outlineLevel="0" collapsed="false">
      <c r="A74" s="13" t="s">
        <v>108</v>
      </c>
      <c r="B74" s="14" t="n">
        <v>13</v>
      </c>
      <c r="C74" s="15" t="n">
        <v>2002</v>
      </c>
      <c r="D74" s="5" t="s">
        <v>109</v>
      </c>
      <c r="E74" s="5" t="s">
        <v>140</v>
      </c>
      <c r="G74" s="16"/>
      <c r="H74" s="5"/>
      <c r="I74" s="16"/>
      <c r="J74" s="5" t="n">
        <v>1</v>
      </c>
      <c r="K74" s="16"/>
      <c r="L74" s="5" t="n">
        <v>1</v>
      </c>
      <c r="M74" s="5" t="n">
        <v>1</v>
      </c>
      <c r="N74" s="0"/>
      <c r="O74" s="5" t="n">
        <v>1</v>
      </c>
      <c r="P74" s="0"/>
      <c r="Q74" s="0"/>
      <c r="R74" s="5" t="n">
        <v>1</v>
      </c>
      <c r="S74" s="16" t="n">
        <v>1</v>
      </c>
      <c r="T74" s="0"/>
      <c r="U74" s="16"/>
      <c r="V74" s="16"/>
      <c r="W74" s="0"/>
      <c r="X74" s="0"/>
      <c r="AD74" s="16"/>
      <c r="AE74" s="5"/>
      <c r="AF74" s="16"/>
      <c r="AG74" s="16"/>
      <c r="AH74" s="16"/>
      <c r="AJ74" s="16" t="n">
        <v>1</v>
      </c>
      <c r="AL74" s="16"/>
      <c r="AN74" s="16"/>
      <c r="AP74" s="16"/>
      <c r="AR74" s="16"/>
      <c r="AT74" s="16"/>
      <c r="AU74" s="16"/>
      <c r="AV74" s="16"/>
      <c r="AW74" s="16"/>
      <c r="AX74" s="16"/>
      <c r="AY74" s="16"/>
      <c r="AZ74" s="16"/>
      <c r="BB74" s="16"/>
      <c r="BC74" s="16" t="e">
        <f aca="false">MatchData[cheval scored crossings]*5</f>
        <v>#VALUE!</v>
      </c>
      <c r="BD74" s="16" t="e">
        <f aca="false">MatchData[moat scored crosings]*5</f>
        <v>#VALUE!</v>
      </c>
      <c r="BE74" s="16" t="e">
        <f aca="false">MatchData[ramparts scored crossings]*5</f>
        <v>#VALUE!</v>
      </c>
      <c r="BF74" s="16" t="e">
        <f aca="false">MatchData[drawbridge scored crossings]*5</f>
        <v>#VALUE!</v>
      </c>
      <c r="BG74" s="16" t="e">
        <f aca="false">MatchData[sally port scored crossings]*5</f>
        <v>#VALUE!</v>
      </c>
      <c r="BH74" s="16" t="e">
        <f aca="false">MatchData[rock wall scored crossings]*5</f>
        <v>#VALUE!</v>
      </c>
      <c r="BI74" s="16" t="e">
        <f aca="false">MatchData[rough terrain scored crossings]*5</f>
        <v>#VALUE!</v>
      </c>
      <c r="BJ74" s="16" t="e">
        <f aca="false">MatchData[low bar scored crossings]*5</f>
        <v>#VALUE!</v>
      </c>
      <c r="BK74" s="16" t="e">
        <f aca="false">SUM(MatchData[[#this row],[low bar teleop crossings]:[rough terrain scored crossings]])</f>
        <v>#VALUE!</v>
      </c>
      <c r="BL74" s="16" t="e">
        <f aca="false">IFERROR(IF(OR(MatchData[[#this row],[challenge flag]],MatchData[[#this row],[climb flag]]),1,0),0)</f>
        <v>#VALUE!</v>
      </c>
      <c r="BM74" s="16" t="e">
        <f aca="false">MatchData[auto high goals]*10+MatchData[teleop high goals]*5</f>
        <v>#VALUE!</v>
      </c>
      <c r="BN74" s="16" t="e">
        <f aca="false">MatchData[auto low goals]*5+MatchData[teleop low goals]*2</f>
        <v>#VALUE!</v>
      </c>
      <c r="BO74" s="16" t="e">
        <f aca="false">MatchData[high goal score]+MatchData[low goal score]</f>
        <v>#VALUE!</v>
      </c>
      <c r="BP74" s="16" t="e">
        <f aca="false">MatchData[teleop high goals]+MatchData[teleop low goals]</f>
        <v>#VALUE!</v>
      </c>
      <c r="BQ74" s="16" t="e">
        <f aca="false">MatchData[[#this row],[auto reach flag]]*2+SUM(MatchData[[#this row],[portcullis auto crossings]:[low bar auto crossings]])*10+MatchData[[#this row],[auto low goals]]*5+MatchData[auto high goals]*10</f>
        <v>#VALUE!</v>
      </c>
      <c r="BR74" s="16" t="e">
        <f aca="false">SUM(MatchData[[#this row],[cheval teleop crossing score]:[low bar teleop crossing score]])</f>
        <v>#VALUE!</v>
      </c>
      <c r="BS74" s="16" t="e">
        <f aca="false">SUMIF(MatchData[team],MatchData[[#this row],[team]],MatchData[total auto score])/MatchData[match count]</f>
        <v>#VALUE!</v>
      </c>
      <c r="BT74" s="16" t="e">
        <f aca="false">MatchData[challenge flag]*5</f>
        <v>#VALUE!</v>
      </c>
      <c r="BU74" s="16" t="e">
        <f aca="false">MatchData[climb flag]*15</f>
        <v>#VALUE!</v>
      </c>
      <c r="BV74" s="16" t="e">
        <f aca="false">SUM(MatchData[[#this row],[total goal score]],MatchData[[#this row],[crossing score]],MatchData[[#this row],[challenge score]],MatchData[[#this row],[climb score]],MatchData[[#this row],[total auto score]])</f>
        <v>#VALUE!</v>
      </c>
      <c r="BW74" s="16" t="e">
        <f aca="false">ROUND(SUMIF(MatchData[team],MatchData[[#this row],[team]],MatchData[teleop low goals])/COUNTIF(MatchData[team],MatchData[[#this row],[team]]),2)</f>
        <v>#VALUE!</v>
      </c>
      <c r="BX74" s="16" t="e">
        <f aca="false">ROUND(SUMIF(MatchData[team],MatchData[[#this row],[team]],MatchData[teleop high goals])/COUNTIF(MatchData[team],MatchData[[#this row],[team]]),2)</f>
        <v>#VALUE!</v>
      </c>
      <c r="BY74" s="16" t="e">
        <f aca="false">COUNTIF(MatchData[team],MatchData[[#this row],[team]])</f>
        <v>#VALUE!</v>
      </c>
      <c r="BZ74" s="16" t="e">
        <f aca="false">SUMIF(MatchData[team],MatchData[[#this row],[team]],MatchData[portcullis available])</f>
        <v>#VALUE!</v>
      </c>
      <c r="CA74" s="16" t="e">
        <f aca="false">SUMIF(MatchData[team],MatchData[[#this row],[team]],MatchData[cheval available])</f>
        <v>#VALUE!</v>
      </c>
      <c r="CB74" s="16" t="e">
        <f aca="false">SUMIF(MatchData[team],MatchData[[#this row],[team]],MatchData[moat available])</f>
        <v>#VALUE!</v>
      </c>
      <c r="CC74" s="16" t="e">
        <f aca="false">SUMIF(MatchData[team],MatchData[[#this row],[team]],MatchData[ramparts available])</f>
        <v>#VALUE!</v>
      </c>
      <c r="CD74" s="16" t="e">
        <f aca="false">SUMIF(MatchData[team],MatchData[[#this row],[team]],MatchData[drawbridge available])</f>
        <v>#VALUE!</v>
      </c>
      <c r="CE74" s="16" t="e">
        <f aca="false">SUMIF(MatchData[team],MatchData[[#this row],[team]],MatchData[sally port available])</f>
        <v>#VALUE!</v>
      </c>
      <c r="CF74" s="16" t="e">
        <f aca="false">SUMIF(MatchData[team],MatchData[[#this row],[team]],MatchData[rock wall available])</f>
        <v>#VALUE!</v>
      </c>
      <c r="CG74" s="16" t="e">
        <f aca="false">SUMIF(MatchData[team],MatchData[[#this row],[team]],MatchData[rough terrain available])</f>
        <v>#VALUE!</v>
      </c>
      <c r="CH74" s="16" t="e">
        <f aca="false">SUMIF(MatchData[team],MatchData[[#this row],[team]],MatchData[low bar available])</f>
        <v>#VALUE!</v>
      </c>
      <c r="CI74" s="16" t="e">
        <f aca="false">SUMIF(MatchData[team],MatchData[[#this row],[team]],MatchData[portcullis teleop crossings]:MatchData[portcullis scored crossings])</f>
        <v>#VALUE!</v>
      </c>
      <c r="CJ74" s="16" t="e">
        <f aca="false">SUMIF(MatchData[team],MatchData[[#this row],[team]],MatchData[cheval teleop crossings])+SUMIF(MatchData[team],MatchData[[#this row],[team]],MatchData[cheval scored crossings])</f>
        <v>#VALUE!</v>
      </c>
      <c r="CK74" s="16" t="e">
        <f aca="false">SUMIF(MatchData[team],MatchData[[#this row],[team]],MatchData[moat teleop crossings])+SUMIF(MatchData[team],MatchData[[#this row],[team]],MatchData[moat scored crosings])</f>
        <v>#VALUE!</v>
      </c>
      <c r="CL74" s="16" t="e">
        <f aca="false">SUMIF(MatchData[team],MatchData[[#this row],[team]],MatchData[ramparts teleop crossings])+SUMIF(MatchData[team],MatchData[[#this row],[team]],MatchData[ramparts scored crossings])</f>
        <v>#VALUE!</v>
      </c>
      <c r="CM74" s="16" t="e">
        <f aca="false">SUMIF(MatchData[team],MatchData[[#this row],[team]],MatchData[drawbridge teleop crossings])+SUMIF(MatchData[team],MatchData[[#this row],[team]],MatchData[drawbridge scored crossings])</f>
        <v>#VALUE!</v>
      </c>
      <c r="CN74" s="16" t="e">
        <f aca="false">SUMIF(MatchData[team],MatchData[[#this row],[team]],MatchData[sally port teleop crossings])+SUMIF(MatchData[team],MatchData[[#this row],[team]],MatchData[sally port scored crossings])</f>
        <v>#VALUE!</v>
      </c>
      <c r="CO74" s="16" t="e">
        <f aca="false">SUMIF(MatchData[team],MatchData[[#this row],[team]],MatchData[rock wall teleop crossings])+SUMIF(MatchData[team],MatchData[[#this row],[team]],MatchData[rock wall scored crossings])</f>
        <v>#VALUE!</v>
      </c>
      <c r="CP74" s="16" t="e">
        <f aca="false">SUMIF(MatchData[team],MatchData[[#this row],[team]],MatchData[rough terrain teleop crossings])+SUMIF(MatchData[team],MatchData[[#this row],[team]],MatchData[rough terrain scored crossings])</f>
        <v>#VALUE!</v>
      </c>
      <c r="CQ74" s="16" t="e">
        <f aca="false">SUMIF(MatchData[team],MatchData[[#this row],[team]],MatchData[low bar teleop crossings])+SUMIF(MatchData[team],MatchData[[#this row],[team]],MatchData[low bar scored crossings])</f>
        <v>#VALUE!</v>
      </c>
      <c r="CR74" s="16" t="e">
        <f aca="false">IFERROR(ROUND(MatchData[[#this row],[portcullis sum]]/MatchData[[#this row],[portcullis avail count]],2),0)</f>
        <v>#VALUE!</v>
      </c>
      <c r="CS74" s="16" t="e">
        <f aca="false">IFERROR(ROUND(MatchData[[#this row],[cheval sum]]/MatchData[[#this row],[cheval avail count]],2),0)</f>
        <v>#VALUE!</v>
      </c>
      <c r="CT74" s="16" t="e">
        <f aca="false">IFERROR(ROUND(MatchData[[#this row],[moat sum]]/MatchData[[#this row],[moat avail count]],2),0)</f>
        <v>#VALUE!</v>
      </c>
      <c r="CU74" s="16" t="e">
        <f aca="false">IFERROR(ROUND(MatchData[[#this row],[ramparts sum]]/MatchData[[#this row],[ramparts avail count]],2),0)</f>
        <v>#VALUE!</v>
      </c>
      <c r="CV74" s="16" t="e">
        <f aca="false">IFERROR(ROUND(MatchData[[#this row],[drawbridge sum]]/MatchData[[#this row],[drawbridge avail countigh6]],2),0)</f>
        <v>#VALUE!</v>
      </c>
      <c r="CW74" s="16" t="e">
        <f aca="false">IFERROR(ROUND(MatchData[[#this row],[sally port sum]]/MatchData[[#this row],[sally port avail count]],2),0)</f>
        <v>#VALUE!</v>
      </c>
      <c r="CX74" s="5" t="e">
        <f aca="false">IFERROR(ROUND(MatchData[[#this row],[rock wall sum]]/MatchData[[#this row],[rock wall avail count]],2),0)</f>
        <v>#VALUE!</v>
      </c>
      <c r="CY74" s="5" t="e">
        <f aca="false">IFERROR(ROUND(MatchData[[#this row],[rough terrain sum]]/MatchData[[#this row],[rough terrain avail count]],2),0)</f>
        <v>#VALUE!</v>
      </c>
      <c r="CZ74" s="5" t="e">
        <f aca="false">IFERROR(ROUND(MatchData[[#this row],[low bar sum]]/MatchData[[#this row],[low bar avail count]],2),0)</f>
        <v>#VALUE!</v>
      </c>
      <c r="DA74" s="16" t="e">
        <f aca="false">SUM(MatchData[[#this row],[cheval sum]:[low bar sum]])/MatchData[match count]</f>
        <v>#VALUE!</v>
      </c>
      <c r="DB74" s="16" t="n">
        <f aca="false">MAX(IF(C$2:C$74=C74,BP$2:BP$74))</f>
        <v>-1.79769313486232E+308</v>
      </c>
      <c r="DC74" s="16" t="e">
        <f aca="false">AVERAGEIF(MatchData[team],MatchData[[#this row],[team]],MatchData[total score])</f>
        <v>#VALUE!</v>
      </c>
      <c r="DD74" s="16" t="e">
        <f aca="false">ROUND(AVERAGEIF(MatchData[team],MatchData[team],MatchData[climb or challenge flag]),2)</f>
        <v>#VALUE!</v>
      </c>
    </row>
    <row r="75" customFormat="false" ht="14.5" hidden="false" customHeight="false" outlineLevel="0" collapsed="false">
      <c r="A75" s="13" t="s">
        <v>108</v>
      </c>
      <c r="B75" s="14" t="n">
        <v>13</v>
      </c>
      <c r="C75" s="15" t="n">
        <v>2733</v>
      </c>
      <c r="D75" s="5" t="s">
        <v>109</v>
      </c>
      <c r="E75" s="5" t="s">
        <v>117</v>
      </c>
      <c r="G75" s="16"/>
      <c r="H75" s="5"/>
      <c r="I75" s="16" t="n">
        <v>1</v>
      </c>
      <c r="J75" s="5" t="n">
        <v>1</v>
      </c>
      <c r="K75" s="16" t="n">
        <v>1</v>
      </c>
      <c r="L75" s="5" t="n">
        <v>1</v>
      </c>
      <c r="M75" s="5" t="n">
        <v>1</v>
      </c>
      <c r="N75" s="0"/>
      <c r="O75" s="0"/>
      <c r="P75" s="0"/>
      <c r="Q75" s="0"/>
      <c r="R75" s="5" t="n">
        <v>1</v>
      </c>
      <c r="S75" s="16"/>
      <c r="T75" s="0"/>
      <c r="U75" s="16"/>
      <c r="V75" s="16" t="n">
        <v>1</v>
      </c>
      <c r="W75" s="0"/>
      <c r="X75" s="0"/>
      <c r="AD75" s="16" t="n">
        <v>2</v>
      </c>
      <c r="AE75" s="5"/>
      <c r="AF75" s="16"/>
      <c r="AG75" s="16"/>
      <c r="AH75" s="16"/>
      <c r="AJ75" s="16" t="n">
        <v>1</v>
      </c>
      <c r="AL75" s="16"/>
      <c r="AN75" s="16"/>
      <c r="AP75" s="16"/>
      <c r="AR75" s="16"/>
      <c r="AT75" s="16" t="n">
        <v>2</v>
      </c>
      <c r="AU75" s="16"/>
      <c r="AV75" s="16"/>
      <c r="AW75" s="16" t="n">
        <v>1</v>
      </c>
      <c r="AX75" s="16"/>
      <c r="AY75" s="16"/>
      <c r="AZ75" s="16"/>
      <c r="BB75" s="16"/>
      <c r="BC75" s="16" t="e">
        <f aca="false">MatchData[cheval scored crossings]*5</f>
        <v>#VALUE!</v>
      </c>
      <c r="BD75" s="16" t="e">
        <f aca="false">MatchData[moat scored crosings]*5</f>
        <v>#VALUE!</v>
      </c>
      <c r="BE75" s="16" t="e">
        <f aca="false">MatchData[ramparts scored crossings]*5</f>
        <v>#VALUE!</v>
      </c>
      <c r="BF75" s="16" t="e">
        <f aca="false">MatchData[drawbridge scored crossings]*5</f>
        <v>#VALUE!</v>
      </c>
      <c r="BG75" s="16" t="e">
        <f aca="false">MatchData[sally port scored crossings]*5</f>
        <v>#VALUE!</v>
      </c>
      <c r="BH75" s="16" t="e">
        <f aca="false">MatchData[rock wall scored crossings]*5</f>
        <v>#VALUE!</v>
      </c>
      <c r="BI75" s="16" t="e">
        <f aca="false">MatchData[rough terrain scored crossings]*5</f>
        <v>#VALUE!</v>
      </c>
      <c r="BJ75" s="16" t="e">
        <f aca="false">MatchData[low bar scored crossings]*5</f>
        <v>#VALUE!</v>
      </c>
      <c r="BK75" s="16" t="e">
        <f aca="false">SUM(MatchData[[#this row],[low bar teleop crossings]:[rough terrain scored crossings]])</f>
        <v>#VALUE!</v>
      </c>
      <c r="BL75" s="16" t="e">
        <f aca="false">IFERROR(IF(OR(MatchData[[#this row],[challenge flag]],MatchData[[#this row],[climb flag]]),1,0),0)</f>
        <v>#VALUE!</v>
      </c>
      <c r="BM75" s="16" t="e">
        <f aca="false">MatchData[auto high goals]*10+MatchData[teleop high goals]*5</f>
        <v>#VALUE!</v>
      </c>
      <c r="BN75" s="16" t="e">
        <f aca="false">MatchData[auto low goals]*5+MatchData[teleop low goals]*2</f>
        <v>#VALUE!</v>
      </c>
      <c r="BO75" s="16" t="e">
        <f aca="false">MatchData[high goal score]+MatchData[low goal score]</f>
        <v>#VALUE!</v>
      </c>
      <c r="BP75" s="16" t="e">
        <f aca="false">MatchData[teleop high goals]+MatchData[teleop low goals]</f>
        <v>#VALUE!</v>
      </c>
      <c r="BQ75" s="16" t="e">
        <f aca="false">MatchData[[#this row],[auto reach flag]]*2+SUM(MatchData[[#this row],[portcullis auto crossings]:[low bar auto crossings]])*10+MatchData[[#this row],[auto low goals]]*5+MatchData[auto high goals]*10</f>
        <v>#VALUE!</v>
      </c>
      <c r="BR75" s="16" t="e">
        <f aca="false">SUM(MatchData[[#this row],[cheval teleop crossing score]:[low bar teleop crossing score]])</f>
        <v>#VALUE!</v>
      </c>
      <c r="BS75" s="16" t="e">
        <f aca="false">SUMIF(MatchData[team],MatchData[[#this row],[team]],MatchData[total auto score])/MatchData[match count]</f>
        <v>#VALUE!</v>
      </c>
      <c r="BT75" s="16" t="e">
        <f aca="false">MatchData[challenge flag]*5</f>
        <v>#VALUE!</v>
      </c>
      <c r="BU75" s="16" t="e">
        <f aca="false">MatchData[climb flag]*15</f>
        <v>#VALUE!</v>
      </c>
      <c r="BV75" s="16" t="e">
        <f aca="false">SUM(MatchData[[#this row],[total goal score]],MatchData[[#this row],[crossing score]],MatchData[[#this row],[challenge score]],MatchData[[#this row],[climb score]],MatchData[[#this row],[total auto score]])</f>
        <v>#VALUE!</v>
      </c>
      <c r="BW75" s="16" t="e">
        <f aca="false">ROUND(SUMIF(MatchData[team],MatchData[[#this row],[team]],MatchData[teleop low goals])/COUNTIF(MatchData[team],MatchData[[#this row],[team]]),2)</f>
        <v>#VALUE!</v>
      </c>
      <c r="BX75" s="16" t="e">
        <f aca="false">ROUND(SUMIF(MatchData[team],MatchData[[#this row],[team]],MatchData[teleop high goals])/COUNTIF(MatchData[team],MatchData[[#this row],[team]]),2)</f>
        <v>#VALUE!</v>
      </c>
      <c r="BY75" s="16" t="e">
        <f aca="false">COUNTIF(MatchData[team],MatchData[[#this row],[team]])</f>
        <v>#VALUE!</v>
      </c>
      <c r="BZ75" s="16" t="e">
        <f aca="false">SUMIF(MatchData[team],MatchData[[#this row],[team]],MatchData[portcullis available])</f>
        <v>#VALUE!</v>
      </c>
      <c r="CA75" s="16" t="e">
        <f aca="false">SUMIF(MatchData[team],MatchData[[#this row],[team]],MatchData[cheval available])</f>
        <v>#VALUE!</v>
      </c>
      <c r="CB75" s="16" t="e">
        <f aca="false">SUMIF(MatchData[team],MatchData[[#this row],[team]],MatchData[moat available])</f>
        <v>#VALUE!</v>
      </c>
      <c r="CC75" s="16" t="e">
        <f aca="false">SUMIF(MatchData[team],MatchData[[#this row],[team]],MatchData[ramparts available])</f>
        <v>#VALUE!</v>
      </c>
      <c r="CD75" s="16" t="e">
        <f aca="false">SUMIF(MatchData[team],MatchData[[#this row],[team]],MatchData[drawbridge available])</f>
        <v>#VALUE!</v>
      </c>
      <c r="CE75" s="16" t="e">
        <f aca="false">SUMIF(MatchData[team],MatchData[[#this row],[team]],MatchData[sally port available])</f>
        <v>#VALUE!</v>
      </c>
      <c r="CF75" s="16" t="e">
        <f aca="false">SUMIF(MatchData[team],MatchData[[#this row],[team]],MatchData[rock wall available])</f>
        <v>#VALUE!</v>
      </c>
      <c r="CG75" s="16" t="e">
        <f aca="false">SUMIF(MatchData[team],MatchData[[#this row],[team]],MatchData[rough terrain available])</f>
        <v>#VALUE!</v>
      </c>
      <c r="CH75" s="16" t="e">
        <f aca="false">SUMIF(MatchData[team],MatchData[[#this row],[team]],MatchData[low bar available])</f>
        <v>#VALUE!</v>
      </c>
      <c r="CI75" s="16" t="e">
        <f aca="false">SUMIF(MatchData[team],MatchData[[#this row],[team]],MatchData[portcullis teleop crossings]:MatchData[portcullis scored crossings])</f>
        <v>#VALUE!</v>
      </c>
      <c r="CJ75" s="16" t="e">
        <f aca="false">SUMIF(MatchData[team],MatchData[[#this row],[team]],MatchData[cheval teleop crossings])+SUMIF(MatchData[team],MatchData[[#this row],[team]],MatchData[cheval scored crossings])</f>
        <v>#VALUE!</v>
      </c>
      <c r="CK75" s="16" t="e">
        <f aca="false">SUMIF(MatchData[team],MatchData[[#this row],[team]],MatchData[moat teleop crossings])+SUMIF(MatchData[team],MatchData[[#this row],[team]],MatchData[moat scored crosings])</f>
        <v>#VALUE!</v>
      </c>
      <c r="CL75" s="16" t="e">
        <f aca="false">SUMIF(MatchData[team],MatchData[[#this row],[team]],MatchData[ramparts teleop crossings])+SUMIF(MatchData[team],MatchData[[#this row],[team]],MatchData[ramparts scored crossings])</f>
        <v>#VALUE!</v>
      </c>
      <c r="CM75" s="16" t="e">
        <f aca="false">SUMIF(MatchData[team],MatchData[[#this row],[team]],MatchData[drawbridge teleop crossings])+SUMIF(MatchData[team],MatchData[[#this row],[team]],MatchData[drawbridge scored crossings])</f>
        <v>#VALUE!</v>
      </c>
      <c r="CN75" s="16" t="e">
        <f aca="false">SUMIF(MatchData[team],MatchData[[#this row],[team]],MatchData[sally port teleop crossings])+SUMIF(MatchData[team],MatchData[[#this row],[team]],MatchData[sally port scored crossings])</f>
        <v>#VALUE!</v>
      </c>
      <c r="CO75" s="16" t="e">
        <f aca="false">SUMIF(MatchData[team],MatchData[[#this row],[team]],MatchData[rock wall teleop crossings])+SUMIF(MatchData[team],MatchData[[#this row],[team]],MatchData[rock wall scored crossings])</f>
        <v>#VALUE!</v>
      </c>
      <c r="CP75" s="16" t="e">
        <f aca="false">SUMIF(MatchData[team],MatchData[[#this row],[team]],MatchData[rough terrain teleop crossings])+SUMIF(MatchData[team],MatchData[[#this row],[team]],MatchData[rough terrain scored crossings])</f>
        <v>#VALUE!</v>
      </c>
      <c r="CQ75" s="16" t="e">
        <f aca="false">SUMIF(MatchData[team],MatchData[[#this row],[team]],MatchData[low bar teleop crossings])+SUMIF(MatchData[team],MatchData[[#this row],[team]],MatchData[low bar scored crossings])</f>
        <v>#VALUE!</v>
      </c>
      <c r="CR75" s="16" t="e">
        <f aca="false">IFERROR(ROUND(MatchData[[#this row],[portcullis sum]]/MatchData[[#this row],[portcullis avail count]],2),0)</f>
        <v>#VALUE!</v>
      </c>
      <c r="CS75" s="16" t="e">
        <f aca="false">IFERROR(ROUND(MatchData[[#this row],[cheval sum]]/MatchData[[#this row],[cheval avail count]],2),0)</f>
        <v>#VALUE!</v>
      </c>
      <c r="CT75" s="16" t="e">
        <f aca="false">IFERROR(ROUND(MatchData[[#this row],[moat sum]]/MatchData[[#this row],[moat avail count]],2),0)</f>
        <v>#VALUE!</v>
      </c>
      <c r="CU75" s="16" t="e">
        <f aca="false">IFERROR(ROUND(MatchData[[#this row],[ramparts sum]]/MatchData[[#this row],[ramparts avail count]],2),0)</f>
        <v>#VALUE!</v>
      </c>
      <c r="CV75" s="16" t="e">
        <f aca="false">IFERROR(ROUND(MatchData[[#this row],[drawbridge sum]]/MatchData[[#this row],[drawbridge avail countigh6]],2),0)</f>
        <v>#VALUE!</v>
      </c>
      <c r="CW75" s="16" t="e">
        <f aca="false">IFERROR(ROUND(MatchData[[#this row],[sally port sum]]/MatchData[[#this row],[sally port avail count]],2),0)</f>
        <v>#VALUE!</v>
      </c>
      <c r="CX75" s="5" t="e">
        <f aca="false">IFERROR(ROUND(MatchData[[#this row],[rock wall sum]]/MatchData[[#this row],[rock wall avail count]],2),0)</f>
        <v>#VALUE!</v>
      </c>
      <c r="CY75" s="5" t="e">
        <f aca="false">IFERROR(ROUND(MatchData[[#this row],[rough terrain sum]]/MatchData[[#this row],[rough terrain avail count]],2),0)</f>
        <v>#VALUE!</v>
      </c>
      <c r="CZ75" s="5" t="e">
        <f aca="false">IFERROR(ROUND(MatchData[[#this row],[low bar sum]]/MatchData[[#this row],[low bar avail count]],2),0)</f>
        <v>#VALUE!</v>
      </c>
      <c r="DA75" s="16" t="e">
        <f aca="false">SUM(MatchData[[#this row],[cheval sum]:[low bar sum]])/MatchData[match count]</f>
        <v>#VALUE!</v>
      </c>
      <c r="DB75" s="16" t="n">
        <f aca="false">MAX(IF(C$2:C$74=C75,BP$2:BP$74))</f>
        <v>-1.79769313486232E+308</v>
      </c>
      <c r="DC75" s="16" t="e">
        <f aca="false">AVERAGEIF(MatchData[team],MatchData[[#this row],[team]],MatchData[total score])</f>
        <v>#VALUE!</v>
      </c>
      <c r="DD75" s="16" t="e">
        <f aca="false">ROUND(AVERAGEIF(MatchData[team],MatchData[team],MatchData[climb or challenge flag]),2)</f>
        <v>#VALUE!</v>
      </c>
    </row>
    <row r="76" customFormat="false" ht="14.25" hidden="false" customHeight="true" outlineLevel="0" collapsed="false">
      <c r="A76" s="13" t="s">
        <v>108</v>
      </c>
      <c r="B76" s="14" t="n">
        <v>13</v>
      </c>
      <c r="C76" s="15" t="n">
        <v>3192</v>
      </c>
      <c r="D76" s="5" t="s">
        <v>109</v>
      </c>
      <c r="E76" s="5" t="s">
        <v>125</v>
      </c>
      <c r="G76" s="16"/>
      <c r="H76" s="5"/>
      <c r="I76" s="16"/>
      <c r="J76" s="5" t="n">
        <v>1</v>
      </c>
      <c r="K76" s="16" t="n">
        <v>1</v>
      </c>
      <c r="M76" s="5" t="n">
        <v>1</v>
      </c>
      <c r="N76" s="0"/>
      <c r="O76" s="5" t="n">
        <v>1</v>
      </c>
      <c r="P76" s="0"/>
      <c r="Q76" s="5" t="n">
        <v>1</v>
      </c>
      <c r="R76" s="0"/>
      <c r="S76" s="16"/>
      <c r="T76" s="0"/>
      <c r="U76" s="16"/>
      <c r="V76" s="16"/>
      <c r="W76" s="0"/>
      <c r="X76" s="0"/>
      <c r="AD76" s="16"/>
      <c r="AE76" s="5"/>
      <c r="AF76" s="16"/>
      <c r="AG76" s="16"/>
      <c r="AH76" s="16"/>
      <c r="AJ76" s="16"/>
      <c r="AL76" s="16"/>
      <c r="AN76" s="16"/>
      <c r="AP76" s="16"/>
      <c r="AR76" s="16"/>
      <c r="AT76" s="16"/>
      <c r="AU76" s="16"/>
      <c r="AV76" s="16"/>
      <c r="AW76" s="16"/>
      <c r="AX76" s="16"/>
      <c r="AY76" s="16"/>
      <c r="AZ76" s="16"/>
      <c r="BB76" s="16"/>
      <c r="BC76" s="16" t="e">
        <f aca="false">MatchData[cheval scored crossings]*5</f>
        <v>#VALUE!</v>
      </c>
      <c r="BD76" s="16" t="e">
        <f aca="false">MatchData[moat scored crosings]*5</f>
        <v>#VALUE!</v>
      </c>
      <c r="BE76" s="16" t="e">
        <f aca="false">MatchData[ramparts scored crossings]*5</f>
        <v>#VALUE!</v>
      </c>
      <c r="BF76" s="16" t="e">
        <f aca="false">MatchData[drawbridge scored crossings]*5</f>
        <v>#VALUE!</v>
      </c>
      <c r="BG76" s="16" t="e">
        <f aca="false">MatchData[sally port scored crossings]*5</f>
        <v>#VALUE!</v>
      </c>
      <c r="BH76" s="16" t="e">
        <f aca="false">MatchData[rock wall scored crossings]*5</f>
        <v>#VALUE!</v>
      </c>
      <c r="BI76" s="16" t="e">
        <f aca="false">MatchData[rough terrain scored crossings]*5</f>
        <v>#VALUE!</v>
      </c>
      <c r="BJ76" s="16" t="e">
        <f aca="false">MatchData[low bar scored crossings]*5</f>
        <v>#VALUE!</v>
      </c>
      <c r="BK76" s="16" t="e">
        <f aca="false">SUM(MatchData[[#this row],[low bar teleop crossings]:[rough terrain scored crossings]])</f>
        <v>#VALUE!</v>
      </c>
      <c r="BL76" s="16" t="e">
        <f aca="false">IFERROR(IF(OR(MatchData[[#this row],[challenge flag]],MatchData[[#this row],[climb flag]]),1,0),0)</f>
        <v>#VALUE!</v>
      </c>
      <c r="BM76" s="16" t="e">
        <f aca="false">MatchData[auto high goals]*10+MatchData[teleop high goals]*5</f>
        <v>#VALUE!</v>
      </c>
      <c r="BN76" s="16" t="e">
        <f aca="false">MatchData[auto low goals]*5+MatchData[teleop low goals]*2</f>
        <v>#VALUE!</v>
      </c>
      <c r="BO76" s="16" t="e">
        <f aca="false">MatchData[high goal score]+MatchData[low goal score]</f>
        <v>#VALUE!</v>
      </c>
      <c r="BP76" s="16" t="e">
        <f aca="false">MatchData[teleop high goals]+MatchData[teleop low goals]</f>
        <v>#VALUE!</v>
      </c>
      <c r="BQ76" s="16" t="e">
        <f aca="false">MatchData[[#this row],[auto reach flag]]*2+SUM(MatchData[[#this row],[portcullis auto crossings]:[low bar auto crossings]])*10+MatchData[[#this row],[auto low goals]]*5+MatchData[auto high goals]*10</f>
        <v>#VALUE!</v>
      </c>
      <c r="BR76" s="16" t="e">
        <f aca="false">SUM(MatchData[[#this row],[cheval teleop crossing score]:[low bar teleop crossing score]])</f>
        <v>#VALUE!</v>
      </c>
      <c r="BS76" s="16" t="e">
        <f aca="false">SUMIF(MatchData[team],MatchData[[#this row],[team]],MatchData[total auto score])/MatchData[match count]</f>
        <v>#VALUE!</v>
      </c>
      <c r="BT76" s="16" t="e">
        <f aca="false">MatchData[challenge flag]*5</f>
        <v>#VALUE!</v>
      </c>
      <c r="BU76" s="16" t="e">
        <f aca="false">MatchData[climb flag]*15</f>
        <v>#VALUE!</v>
      </c>
      <c r="BV76" s="16" t="e">
        <f aca="false">SUM(MatchData[[#this row],[total goal score]],MatchData[[#this row],[crossing score]],MatchData[[#this row],[challenge score]],MatchData[[#this row],[climb score]],MatchData[[#this row],[total auto score]])</f>
        <v>#VALUE!</v>
      </c>
      <c r="BW76" s="16" t="e">
        <f aca="false">ROUND(SUMIF(MatchData[team],MatchData[[#this row],[team]],MatchData[teleop low goals])/COUNTIF(MatchData[team],MatchData[[#this row],[team]]),2)</f>
        <v>#VALUE!</v>
      </c>
      <c r="BX76" s="16" t="e">
        <f aca="false">ROUND(SUMIF(MatchData[team],MatchData[[#this row],[team]],MatchData[teleop high goals])/COUNTIF(MatchData[team],MatchData[[#this row],[team]]),2)</f>
        <v>#VALUE!</v>
      </c>
      <c r="BY76" s="16" t="e">
        <f aca="false">COUNTIF(MatchData[team],MatchData[[#this row],[team]])</f>
        <v>#VALUE!</v>
      </c>
      <c r="BZ76" s="16" t="e">
        <f aca="false">SUMIF(MatchData[team],MatchData[[#this row],[team]],MatchData[portcullis available])</f>
        <v>#VALUE!</v>
      </c>
      <c r="CA76" s="16" t="e">
        <f aca="false">SUMIF(MatchData[team],MatchData[[#this row],[team]],MatchData[cheval available])</f>
        <v>#VALUE!</v>
      </c>
      <c r="CB76" s="16" t="e">
        <f aca="false">SUMIF(MatchData[team],MatchData[[#this row],[team]],MatchData[moat available])</f>
        <v>#VALUE!</v>
      </c>
      <c r="CC76" s="16" t="e">
        <f aca="false">SUMIF(MatchData[team],MatchData[[#this row],[team]],MatchData[ramparts available])</f>
        <v>#VALUE!</v>
      </c>
      <c r="CD76" s="16" t="e">
        <f aca="false">SUMIF(MatchData[team],MatchData[[#this row],[team]],MatchData[drawbridge available])</f>
        <v>#VALUE!</v>
      </c>
      <c r="CE76" s="16" t="e">
        <f aca="false">SUMIF(MatchData[team],MatchData[[#this row],[team]],MatchData[sally port available])</f>
        <v>#VALUE!</v>
      </c>
      <c r="CF76" s="16" t="e">
        <f aca="false">SUMIF(MatchData[team],MatchData[[#this row],[team]],MatchData[rock wall available])</f>
        <v>#VALUE!</v>
      </c>
      <c r="CG76" s="16" t="e">
        <f aca="false">SUMIF(MatchData[team],MatchData[[#this row],[team]],MatchData[rough terrain available])</f>
        <v>#VALUE!</v>
      </c>
      <c r="CH76" s="16" t="e">
        <f aca="false">SUMIF(MatchData[team],MatchData[[#this row],[team]],MatchData[low bar available])</f>
        <v>#VALUE!</v>
      </c>
      <c r="CI76" s="16" t="e">
        <f aca="false">SUMIF(MatchData[team],MatchData[[#this row],[team]],MatchData[portcullis teleop crossings]:MatchData[portcullis scored crossings])</f>
        <v>#VALUE!</v>
      </c>
      <c r="CJ76" s="16" t="e">
        <f aca="false">SUMIF(MatchData[team],MatchData[[#this row],[team]],MatchData[cheval teleop crossings])+SUMIF(MatchData[team],MatchData[[#this row],[team]],MatchData[cheval scored crossings])</f>
        <v>#VALUE!</v>
      </c>
      <c r="CK76" s="16" t="e">
        <f aca="false">SUMIF(MatchData[team],MatchData[[#this row],[team]],MatchData[moat teleop crossings])+SUMIF(MatchData[team],MatchData[[#this row],[team]],MatchData[moat scored crosings])</f>
        <v>#VALUE!</v>
      </c>
      <c r="CL76" s="16" t="e">
        <f aca="false">SUMIF(MatchData[team],MatchData[[#this row],[team]],MatchData[ramparts teleop crossings])+SUMIF(MatchData[team],MatchData[[#this row],[team]],MatchData[ramparts scored crossings])</f>
        <v>#VALUE!</v>
      </c>
      <c r="CM76" s="16" t="e">
        <f aca="false">SUMIF(MatchData[team],MatchData[[#this row],[team]],MatchData[drawbridge teleop crossings])+SUMIF(MatchData[team],MatchData[[#this row],[team]],MatchData[drawbridge scored crossings])</f>
        <v>#VALUE!</v>
      </c>
      <c r="CN76" s="16" t="e">
        <f aca="false">SUMIF(MatchData[team],MatchData[[#this row],[team]],MatchData[sally port teleop crossings])+SUMIF(MatchData[team],MatchData[[#this row],[team]],MatchData[sally port scored crossings])</f>
        <v>#VALUE!</v>
      </c>
      <c r="CO76" s="16" t="e">
        <f aca="false">SUMIF(MatchData[team],MatchData[[#this row],[team]],MatchData[rock wall teleop crossings])+SUMIF(MatchData[team],MatchData[[#this row],[team]],MatchData[rock wall scored crossings])</f>
        <v>#VALUE!</v>
      </c>
      <c r="CP76" s="16" t="e">
        <f aca="false">SUMIF(MatchData[team],MatchData[[#this row],[team]],MatchData[rough terrain teleop crossings])+SUMIF(MatchData[team],MatchData[[#this row],[team]],MatchData[rough terrain scored crossings])</f>
        <v>#VALUE!</v>
      </c>
      <c r="CQ76" s="16" t="e">
        <f aca="false">SUMIF(MatchData[team],MatchData[[#this row],[team]],MatchData[low bar teleop crossings])+SUMIF(MatchData[team],MatchData[[#this row],[team]],MatchData[low bar scored crossings])</f>
        <v>#VALUE!</v>
      </c>
      <c r="CR76" s="16" t="e">
        <f aca="false">IFERROR(ROUND(MatchData[[#this row],[portcullis sum]]/MatchData[[#this row],[portcullis avail count]],2),0)</f>
        <v>#VALUE!</v>
      </c>
      <c r="CS76" s="16" t="e">
        <f aca="false">IFERROR(ROUND(MatchData[[#this row],[cheval sum]]/MatchData[[#this row],[cheval avail count]],2),0)</f>
        <v>#VALUE!</v>
      </c>
      <c r="CT76" s="16" t="e">
        <f aca="false">IFERROR(ROUND(MatchData[[#this row],[moat sum]]/MatchData[[#this row],[moat avail count]],2),0)</f>
        <v>#VALUE!</v>
      </c>
      <c r="CU76" s="16" t="e">
        <f aca="false">IFERROR(ROUND(MatchData[[#this row],[ramparts sum]]/MatchData[[#this row],[ramparts avail count]],2),0)</f>
        <v>#VALUE!</v>
      </c>
      <c r="CV76" s="16" t="e">
        <f aca="false">IFERROR(ROUND(MatchData[[#this row],[drawbridge sum]]/MatchData[[#this row],[drawbridge avail countigh6]],2),0)</f>
        <v>#VALUE!</v>
      </c>
      <c r="CW76" s="16" t="e">
        <f aca="false">IFERROR(ROUND(MatchData[[#this row],[sally port sum]]/MatchData[[#this row],[sally port avail count]],2),0)</f>
        <v>#VALUE!</v>
      </c>
      <c r="CX76" s="5" t="e">
        <f aca="false">IFERROR(ROUND(MatchData[[#this row],[rock wall sum]]/MatchData[[#this row],[rock wall avail count]],2),0)</f>
        <v>#VALUE!</v>
      </c>
      <c r="CY76" s="5" t="e">
        <f aca="false">IFERROR(ROUND(MatchData[[#this row],[rough terrain sum]]/MatchData[[#this row],[rough terrain avail count]],2),0)</f>
        <v>#VALUE!</v>
      </c>
      <c r="CZ76" s="5" t="e">
        <f aca="false">IFERROR(ROUND(MatchData[[#this row],[low bar sum]]/MatchData[[#this row],[low bar avail count]],2),0)</f>
        <v>#VALUE!</v>
      </c>
      <c r="DA76" s="16" t="e">
        <f aca="false">SUM(MatchData[[#this row],[cheval sum]:[low bar sum]])/MatchData[match count]</f>
        <v>#VALUE!</v>
      </c>
      <c r="DB76" s="16" t="n">
        <f aca="false">MAX(IF(C$2:C$74=C76,BP$2:BP$74))</f>
        <v>-1.79769313486232E+308</v>
      </c>
      <c r="DC76" s="16" t="e">
        <f aca="false">AVERAGEIF(MatchData[team],MatchData[[#this row],[team]],MatchData[total score])</f>
        <v>#VALUE!</v>
      </c>
      <c r="DD76" s="16" t="e">
        <f aca="false">ROUND(AVERAGEIF(MatchData[team],MatchData[team],MatchData[climb or challenge flag]),2)</f>
        <v>#VALUE!</v>
      </c>
    </row>
    <row r="77" customFormat="false" ht="14.5" hidden="false" customHeight="false" outlineLevel="0" collapsed="false">
      <c r="A77" s="17" t="s">
        <v>108</v>
      </c>
      <c r="B77" s="18" t="n">
        <v>13</v>
      </c>
      <c r="C77" s="15" t="n">
        <v>4110</v>
      </c>
      <c r="D77" s="5" t="s">
        <v>109</v>
      </c>
      <c r="E77" s="5" t="s">
        <v>110</v>
      </c>
      <c r="G77" s="16"/>
      <c r="H77" s="5"/>
      <c r="I77" s="16"/>
      <c r="J77" s="5" t="n">
        <v>1</v>
      </c>
      <c r="K77" s="16"/>
      <c r="L77" s="5" t="n">
        <v>1</v>
      </c>
      <c r="M77" s="5" t="n">
        <v>1</v>
      </c>
      <c r="N77" s="0"/>
      <c r="O77" s="5" t="n">
        <v>1</v>
      </c>
      <c r="P77" s="0"/>
      <c r="Q77" s="0"/>
      <c r="R77" s="5" t="n">
        <v>1</v>
      </c>
      <c r="S77" s="16"/>
      <c r="T77" s="0"/>
      <c r="U77" s="16"/>
      <c r="V77" s="16"/>
      <c r="W77" s="0"/>
      <c r="X77" s="0"/>
      <c r="AD77" s="16"/>
      <c r="AE77" s="5"/>
      <c r="AF77" s="16"/>
      <c r="AG77" s="16"/>
      <c r="AH77" s="16"/>
      <c r="AJ77" s="16"/>
      <c r="AL77" s="16"/>
      <c r="AN77" s="16"/>
      <c r="AP77" s="16"/>
      <c r="AR77" s="16"/>
      <c r="AT77" s="16"/>
      <c r="AU77" s="16"/>
      <c r="AV77" s="16"/>
      <c r="AW77" s="16"/>
      <c r="AX77" s="16"/>
      <c r="AY77" s="16"/>
      <c r="AZ77" s="16" t="n">
        <v>1</v>
      </c>
      <c r="BA77" s="16"/>
      <c r="BB77" s="16"/>
      <c r="BC77" s="16" t="e">
        <f aca="false">MatchData[cheval scored crossings]*5</f>
        <v>#VALUE!</v>
      </c>
      <c r="BD77" s="16" t="e">
        <f aca="false">MatchData[moat scored crosings]*5</f>
        <v>#VALUE!</v>
      </c>
      <c r="BE77" s="16" t="e">
        <f aca="false">MatchData[ramparts scored crossings]*5</f>
        <v>#VALUE!</v>
      </c>
      <c r="BF77" s="16" t="e">
        <f aca="false">MatchData[drawbridge scored crossings]*5</f>
        <v>#VALUE!</v>
      </c>
      <c r="BG77" s="16" t="e">
        <f aca="false">MatchData[sally port scored crossings]*5</f>
        <v>#VALUE!</v>
      </c>
      <c r="BH77" s="16" t="e">
        <f aca="false">MatchData[rock wall scored crossings]*5</f>
        <v>#VALUE!</v>
      </c>
      <c r="BI77" s="16" t="e">
        <f aca="false">MatchData[rough terrain scored crossings]*5</f>
        <v>#VALUE!</v>
      </c>
      <c r="BJ77" s="16" t="e">
        <f aca="false">MatchData[low bar scored crossings]*5</f>
        <v>#VALUE!</v>
      </c>
      <c r="BK77" s="16" t="e">
        <f aca="false">SUM(MatchData[[#this row],[low bar teleop crossings]:[rough terrain scored crossings]])</f>
        <v>#VALUE!</v>
      </c>
      <c r="BL77" s="16" t="e">
        <f aca="false">IFERROR(IF(OR(MatchData[[#this row],[challenge flag]],MatchData[[#this row],[climb flag]]),1,0),0)</f>
        <v>#VALUE!</v>
      </c>
      <c r="BM77" s="16" t="e">
        <f aca="false">MatchData[auto high goals]*10+MatchData[teleop high goals]*5</f>
        <v>#VALUE!</v>
      </c>
      <c r="BN77" s="16" t="e">
        <f aca="false">MatchData[auto low goals]*5+MatchData[teleop low goals]*2</f>
        <v>#VALUE!</v>
      </c>
      <c r="BO77" s="16" t="e">
        <f aca="false">MatchData[high goal score]+MatchData[low goal score]</f>
        <v>#VALUE!</v>
      </c>
      <c r="BP77" s="16" t="e">
        <f aca="false">MatchData[teleop high goals]+MatchData[teleop low goals]</f>
        <v>#VALUE!</v>
      </c>
      <c r="BQ77" s="16" t="e">
        <f aca="false">MatchData[[#this row],[auto reach flag]]*2+SUM(MatchData[[#this row],[portcullis auto crossings]:[low bar auto crossings]])*10+MatchData[[#this row],[auto low goals]]*5+MatchData[auto high goals]*10</f>
        <v>#VALUE!</v>
      </c>
      <c r="BR77" s="16" t="e">
        <f aca="false">SUM(MatchData[[#this row],[cheval teleop crossing score]:[low bar teleop crossing score]])</f>
        <v>#VALUE!</v>
      </c>
      <c r="BS77" s="16" t="e">
        <f aca="false">SUMIF(MatchData[team],MatchData[[#this row],[team]],MatchData[total auto score])/MatchData[match count]</f>
        <v>#VALUE!</v>
      </c>
      <c r="BT77" s="16" t="e">
        <f aca="false">MatchData[challenge flag]*5</f>
        <v>#VALUE!</v>
      </c>
      <c r="BU77" s="16" t="e">
        <f aca="false">MatchData[climb flag]*15</f>
        <v>#VALUE!</v>
      </c>
      <c r="BV77" s="16" t="e">
        <f aca="false">SUM(MatchData[[#this row],[total goal score]],MatchData[[#this row],[crossing score]],MatchData[[#this row],[challenge score]],MatchData[[#this row],[climb score]],MatchData[[#this row],[total auto score]])</f>
        <v>#VALUE!</v>
      </c>
      <c r="BW77" s="16" t="e">
        <f aca="false">ROUND(SUMIF(MatchData[team],MatchData[[#this row],[team]],MatchData[teleop low goals])/COUNTIF(MatchData[team],MatchData[[#this row],[team]]),2)</f>
        <v>#VALUE!</v>
      </c>
      <c r="BX77" s="16" t="e">
        <f aca="false">ROUND(SUMIF(MatchData[team],MatchData[[#this row],[team]],MatchData[teleop high goals])/COUNTIF(MatchData[team],MatchData[[#this row],[team]]),2)</f>
        <v>#VALUE!</v>
      </c>
      <c r="BY77" s="16" t="e">
        <f aca="false">COUNTIF(MatchData[team],MatchData[[#this row],[team]])</f>
        <v>#VALUE!</v>
      </c>
      <c r="BZ77" s="16" t="e">
        <f aca="false">SUMIF(MatchData[team],MatchData[[#this row],[team]],MatchData[portcullis available])</f>
        <v>#VALUE!</v>
      </c>
      <c r="CA77" s="16" t="e">
        <f aca="false">SUMIF(MatchData[team],MatchData[[#this row],[team]],MatchData[cheval available])</f>
        <v>#VALUE!</v>
      </c>
      <c r="CB77" s="16" t="e">
        <f aca="false">SUMIF(MatchData[team],MatchData[[#this row],[team]],MatchData[moat available])</f>
        <v>#VALUE!</v>
      </c>
      <c r="CC77" s="16" t="e">
        <f aca="false">SUMIF(MatchData[team],MatchData[[#this row],[team]],MatchData[ramparts available])</f>
        <v>#VALUE!</v>
      </c>
      <c r="CD77" s="16" t="e">
        <f aca="false">SUMIF(MatchData[team],MatchData[[#this row],[team]],MatchData[drawbridge available])</f>
        <v>#VALUE!</v>
      </c>
      <c r="CE77" s="16" t="e">
        <f aca="false">SUMIF(MatchData[team],MatchData[[#this row],[team]],MatchData[sally port available])</f>
        <v>#VALUE!</v>
      </c>
      <c r="CF77" s="16" t="e">
        <f aca="false">SUMIF(MatchData[team],MatchData[[#this row],[team]],MatchData[rock wall available])</f>
        <v>#VALUE!</v>
      </c>
      <c r="CG77" s="16" t="e">
        <f aca="false">SUMIF(MatchData[team],MatchData[[#this row],[team]],MatchData[rough terrain available])</f>
        <v>#VALUE!</v>
      </c>
      <c r="CH77" s="16" t="e">
        <f aca="false">SUMIF(MatchData[team],MatchData[[#this row],[team]],MatchData[low bar available])</f>
        <v>#VALUE!</v>
      </c>
      <c r="CI77" s="16" t="e">
        <f aca="false">SUMIF(MatchData[team],MatchData[[#this row],[team]],MatchData[portcullis teleop crossings]:MatchData[portcullis scored crossings])</f>
        <v>#VALUE!</v>
      </c>
      <c r="CJ77" s="16" t="e">
        <f aca="false">SUMIF(MatchData[team],MatchData[[#this row],[team]],MatchData[cheval teleop crossings])+SUMIF(MatchData[team],MatchData[[#this row],[team]],MatchData[cheval scored crossings])</f>
        <v>#VALUE!</v>
      </c>
      <c r="CK77" s="16" t="e">
        <f aca="false">SUMIF(MatchData[team],MatchData[[#this row],[team]],MatchData[moat teleop crossings])+SUMIF(MatchData[team],MatchData[[#this row],[team]],MatchData[moat scored crosings])</f>
        <v>#VALUE!</v>
      </c>
      <c r="CL77" s="16" t="e">
        <f aca="false">SUMIF(MatchData[team],MatchData[[#this row],[team]],MatchData[ramparts teleop crossings])+SUMIF(MatchData[team],MatchData[[#this row],[team]],MatchData[ramparts scored crossings])</f>
        <v>#VALUE!</v>
      </c>
      <c r="CM77" s="16" t="e">
        <f aca="false">SUMIF(MatchData[team],MatchData[[#this row],[team]],MatchData[drawbridge teleop crossings])+SUMIF(MatchData[team],MatchData[[#this row],[team]],MatchData[drawbridge scored crossings])</f>
        <v>#VALUE!</v>
      </c>
      <c r="CN77" s="16" t="e">
        <f aca="false">SUMIF(MatchData[team],MatchData[[#this row],[team]],MatchData[sally port teleop crossings])+SUMIF(MatchData[team],MatchData[[#this row],[team]],MatchData[sally port scored crossings])</f>
        <v>#VALUE!</v>
      </c>
      <c r="CO77" s="16" t="e">
        <f aca="false">SUMIF(MatchData[team],MatchData[[#this row],[team]],MatchData[rock wall teleop crossings])+SUMIF(MatchData[team],MatchData[[#this row],[team]],MatchData[rock wall scored crossings])</f>
        <v>#VALUE!</v>
      </c>
      <c r="CP77" s="16" t="e">
        <f aca="false">SUMIF(MatchData[team],MatchData[[#this row],[team]],MatchData[rough terrain teleop crossings])+SUMIF(MatchData[team],MatchData[[#this row],[team]],MatchData[rough terrain scored crossings])</f>
        <v>#VALUE!</v>
      </c>
      <c r="CQ77" s="16" t="e">
        <f aca="false">SUMIF(MatchData[team],MatchData[[#this row],[team]],MatchData[low bar teleop crossings])+SUMIF(MatchData[team],MatchData[[#this row],[team]],MatchData[low bar scored crossings])</f>
        <v>#VALUE!</v>
      </c>
      <c r="CR77" s="16" t="e">
        <f aca="false">IFERROR(ROUND(MatchData[[#this row],[portcullis sum]]/MatchData[[#this row],[portcullis avail count]],2),0)</f>
        <v>#VALUE!</v>
      </c>
      <c r="CS77" s="16" t="e">
        <f aca="false">IFERROR(ROUND(MatchData[[#this row],[cheval sum]]/MatchData[[#this row],[cheval avail count]],2),0)</f>
        <v>#VALUE!</v>
      </c>
      <c r="CT77" s="16" t="e">
        <f aca="false">IFERROR(ROUND(MatchData[[#this row],[moat sum]]/MatchData[[#this row],[moat avail count]],2),0)</f>
        <v>#VALUE!</v>
      </c>
      <c r="CU77" s="16" t="e">
        <f aca="false">IFERROR(ROUND(MatchData[[#this row],[ramparts sum]]/MatchData[[#this row],[ramparts avail count]],2),0)</f>
        <v>#VALUE!</v>
      </c>
      <c r="CV77" s="16" t="e">
        <f aca="false">IFERROR(ROUND(MatchData[[#this row],[drawbridge sum]]/MatchData[[#this row],[drawbridge avail countigh6]],2),0)</f>
        <v>#VALUE!</v>
      </c>
      <c r="CW77" s="16" t="e">
        <f aca="false">IFERROR(ROUND(MatchData[[#this row],[sally port sum]]/MatchData[[#this row],[sally port avail count]],2),0)</f>
        <v>#VALUE!</v>
      </c>
      <c r="CX77" s="5" t="e">
        <f aca="false">IFERROR(ROUND(MatchData[[#this row],[rock wall sum]]/MatchData[[#this row],[rock wall avail count]],2),0)</f>
        <v>#VALUE!</v>
      </c>
      <c r="CY77" s="5" t="e">
        <f aca="false">IFERROR(ROUND(MatchData[[#this row],[rough terrain sum]]/MatchData[[#this row],[rough terrain avail count]],2),0)</f>
        <v>#VALUE!</v>
      </c>
      <c r="CZ77" s="5" t="e">
        <f aca="false">IFERROR(ROUND(MatchData[[#this row],[low bar sum]]/MatchData[[#this row],[low bar avail count]],2),0)</f>
        <v>#VALUE!</v>
      </c>
      <c r="DA77" s="16" t="e">
        <f aca="false">SUM(MatchData[[#this row],[cheval sum]:[low bar sum]])/MatchData[match count]</f>
        <v>#VALUE!</v>
      </c>
      <c r="DB77" s="16" t="n">
        <f aca="false">MAX(IF(C$2:C$74=C77,BP$2:BP$74))</f>
        <v>-1.79769313486232E+308</v>
      </c>
      <c r="DC77" s="16" t="e">
        <f aca="false">AVERAGEIF(MatchData[team],MatchData[[#this row],[team]],MatchData[total score])</f>
        <v>#VALUE!</v>
      </c>
      <c r="DD77" s="16" t="e">
        <f aca="false">ROUND(AVERAGEIF(MatchData[team],MatchData[team],MatchData[climb or challenge flag]),2)</f>
        <v>#VALUE!</v>
      </c>
    </row>
    <row r="78" customFormat="false" ht="14.5" hidden="false" customHeight="false" outlineLevel="0" collapsed="false">
      <c r="A78" s="17" t="s">
        <v>108</v>
      </c>
      <c r="B78" s="14" t="n">
        <v>13</v>
      </c>
      <c r="C78" s="15" t="n">
        <v>5970</v>
      </c>
      <c r="D78" s="5" t="s">
        <v>113</v>
      </c>
      <c r="E78" s="5" t="s">
        <v>141</v>
      </c>
      <c r="G78" s="16"/>
      <c r="H78" s="5"/>
      <c r="I78" s="16"/>
      <c r="J78" s="5" t="n">
        <v>1</v>
      </c>
      <c r="K78" s="16"/>
      <c r="L78" s="5" t="n">
        <v>1</v>
      </c>
      <c r="M78" s="5" t="n">
        <v>1</v>
      </c>
      <c r="N78" s="0"/>
      <c r="O78" s="5" t="n">
        <v>1</v>
      </c>
      <c r="P78" s="0"/>
      <c r="Q78" s="16"/>
      <c r="R78" s="5" t="n">
        <v>1</v>
      </c>
      <c r="S78" s="16"/>
      <c r="T78" s="0"/>
      <c r="U78" s="16" t="n">
        <v>1</v>
      </c>
      <c r="V78" s="16"/>
      <c r="W78" s="0"/>
      <c r="X78" s="0"/>
      <c r="AD78" s="16"/>
      <c r="AE78" s="5"/>
      <c r="AF78" s="16"/>
      <c r="AG78" s="16" t="n">
        <v>3</v>
      </c>
      <c r="AH78" s="16" t="n">
        <v>1</v>
      </c>
      <c r="AJ78" s="16"/>
      <c r="AL78" s="16"/>
      <c r="AN78" s="16"/>
      <c r="AP78" s="16"/>
      <c r="AR78" s="16"/>
      <c r="AT78" s="16"/>
      <c r="AU78" s="16"/>
      <c r="AV78" s="16"/>
      <c r="AW78" s="16"/>
      <c r="AX78" s="16"/>
      <c r="AY78" s="16"/>
      <c r="AZ78" s="16"/>
      <c r="BB78" s="16" t="n">
        <v>1</v>
      </c>
      <c r="BC78" s="16" t="e">
        <f aca="false">MatchData[cheval scored crossings]*5</f>
        <v>#VALUE!</v>
      </c>
      <c r="BD78" s="16" t="e">
        <f aca="false">MatchData[moat scored crosings]*5</f>
        <v>#VALUE!</v>
      </c>
      <c r="BE78" s="16" t="e">
        <f aca="false">MatchData[ramparts scored crossings]*5</f>
        <v>#VALUE!</v>
      </c>
      <c r="BF78" s="16" t="e">
        <f aca="false">MatchData[drawbridge scored crossings]*5</f>
        <v>#VALUE!</v>
      </c>
      <c r="BG78" s="16" t="e">
        <f aca="false">MatchData[sally port scored crossings]*5</f>
        <v>#VALUE!</v>
      </c>
      <c r="BH78" s="16" t="e">
        <f aca="false">MatchData[rock wall scored crossings]*5</f>
        <v>#VALUE!</v>
      </c>
      <c r="BI78" s="16" t="e">
        <f aca="false">MatchData[rough terrain scored crossings]*5</f>
        <v>#VALUE!</v>
      </c>
      <c r="BJ78" s="16" t="e">
        <f aca="false">MatchData[low bar scored crossings]*5</f>
        <v>#VALUE!</v>
      </c>
      <c r="BK78" s="16" t="e">
        <f aca="false">SUM(MatchData[[#this row],[low bar teleop crossings]:[rough terrain scored crossings]])</f>
        <v>#VALUE!</v>
      </c>
      <c r="BL78" s="16" t="e">
        <f aca="false">IFERROR(IF(OR(MatchData[[#this row],[challenge flag]],MatchData[[#this row],[climb flag]]),1,0),0)</f>
        <v>#VALUE!</v>
      </c>
      <c r="BM78" s="16" t="e">
        <f aca="false">MatchData[auto high goals]*10+MatchData[teleop high goals]*5</f>
        <v>#VALUE!</v>
      </c>
      <c r="BN78" s="16" t="e">
        <f aca="false">MatchData[auto low goals]*5+MatchData[teleop low goals]*2</f>
        <v>#VALUE!</v>
      </c>
      <c r="BO78" s="16" t="e">
        <f aca="false">MatchData[high goal score]+MatchData[low goal score]</f>
        <v>#VALUE!</v>
      </c>
      <c r="BP78" s="16" t="e">
        <f aca="false">MatchData[teleop high goals]+MatchData[teleop low goals]</f>
        <v>#VALUE!</v>
      </c>
      <c r="BQ78" s="16" t="e">
        <f aca="false">MatchData[[#this row],[auto reach flag]]*2+SUM(MatchData[[#this row],[portcullis auto crossings]:[low bar auto crossings]])*10+MatchData[[#this row],[auto low goals]]*5+MatchData[auto high goals]*10</f>
        <v>#VALUE!</v>
      </c>
      <c r="BR78" s="16" t="e">
        <f aca="false">SUM(MatchData[[#this row],[cheval teleop crossing score]:[low bar teleop crossing score]])</f>
        <v>#VALUE!</v>
      </c>
      <c r="BS78" s="16" t="e">
        <f aca="false">SUMIF(MatchData[team],MatchData[[#this row],[team]],MatchData[total auto score])/MatchData[match count]</f>
        <v>#VALUE!</v>
      </c>
      <c r="BT78" s="16" t="e">
        <f aca="false">MatchData[challenge flag]*5</f>
        <v>#VALUE!</v>
      </c>
      <c r="BU78" s="16" t="e">
        <f aca="false">MatchData[climb flag]*15</f>
        <v>#VALUE!</v>
      </c>
      <c r="BV78" s="16" t="e">
        <f aca="false">SUM(MatchData[[#this row],[total goal score]],MatchData[[#this row],[crossing score]],MatchData[[#this row],[challenge score]],MatchData[[#this row],[climb score]],MatchData[[#this row],[total auto score]])</f>
        <v>#VALUE!</v>
      </c>
      <c r="BW78" s="16" t="e">
        <f aca="false">ROUND(SUMIF(MatchData[team],MatchData[[#this row],[team]],MatchData[teleop low goals])/COUNTIF(MatchData[team],MatchData[[#this row],[team]]),2)</f>
        <v>#VALUE!</v>
      </c>
      <c r="BX78" s="16" t="e">
        <f aca="false">ROUND(SUMIF(MatchData[team],MatchData[[#this row],[team]],MatchData[teleop high goals])/COUNTIF(MatchData[team],MatchData[[#this row],[team]]),2)</f>
        <v>#VALUE!</v>
      </c>
      <c r="BY78" s="16" t="e">
        <f aca="false">COUNTIF(MatchData[team],MatchData[[#this row],[team]])</f>
        <v>#VALUE!</v>
      </c>
      <c r="BZ78" s="16" t="e">
        <f aca="false">SUMIF(MatchData[team],MatchData[[#this row],[team]],MatchData[portcullis available])</f>
        <v>#VALUE!</v>
      </c>
      <c r="CA78" s="16" t="e">
        <f aca="false">SUMIF(MatchData[team],MatchData[[#this row],[team]],MatchData[cheval available])</f>
        <v>#VALUE!</v>
      </c>
      <c r="CB78" s="16" t="e">
        <f aca="false">SUMIF(MatchData[team],MatchData[[#this row],[team]],MatchData[moat available])</f>
        <v>#VALUE!</v>
      </c>
      <c r="CC78" s="16" t="e">
        <f aca="false">SUMIF(MatchData[team],MatchData[[#this row],[team]],MatchData[ramparts available])</f>
        <v>#VALUE!</v>
      </c>
      <c r="CD78" s="16" t="e">
        <f aca="false">SUMIF(MatchData[team],MatchData[[#this row],[team]],MatchData[drawbridge available])</f>
        <v>#VALUE!</v>
      </c>
      <c r="CE78" s="16" t="e">
        <f aca="false">SUMIF(MatchData[team],MatchData[[#this row],[team]],MatchData[sally port available])</f>
        <v>#VALUE!</v>
      </c>
      <c r="CF78" s="16" t="e">
        <f aca="false">SUMIF(MatchData[team],MatchData[[#this row],[team]],MatchData[rock wall available])</f>
        <v>#VALUE!</v>
      </c>
      <c r="CG78" s="16" t="e">
        <f aca="false">SUMIF(MatchData[team],MatchData[[#this row],[team]],MatchData[rough terrain available])</f>
        <v>#VALUE!</v>
      </c>
      <c r="CH78" s="16" t="e">
        <f aca="false">SUMIF(MatchData[team],MatchData[[#this row],[team]],MatchData[low bar available])</f>
        <v>#VALUE!</v>
      </c>
      <c r="CI78" s="16" t="e">
        <f aca="false">SUMIF(MatchData[team],MatchData[[#this row],[team]],MatchData[portcullis teleop crossings]:MatchData[portcullis scored crossings])</f>
        <v>#VALUE!</v>
      </c>
      <c r="CJ78" s="16" t="e">
        <f aca="false">SUMIF(MatchData[team],MatchData[[#this row],[team]],MatchData[cheval teleop crossings])+SUMIF(MatchData[team],MatchData[[#this row],[team]],MatchData[cheval scored crossings])</f>
        <v>#VALUE!</v>
      </c>
      <c r="CK78" s="16" t="e">
        <f aca="false">SUMIF(MatchData[team],MatchData[[#this row],[team]],MatchData[moat teleop crossings])+SUMIF(MatchData[team],MatchData[[#this row],[team]],MatchData[moat scored crosings])</f>
        <v>#VALUE!</v>
      </c>
      <c r="CL78" s="16" t="e">
        <f aca="false">SUMIF(MatchData[team],MatchData[[#this row],[team]],MatchData[ramparts teleop crossings])+SUMIF(MatchData[team],MatchData[[#this row],[team]],MatchData[ramparts scored crossings])</f>
        <v>#VALUE!</v>
      </c>
      <c r="CM78" s="16" t="e">
        <f aca="false">SUMIF(MatchData[team],MatchData[[#this row],[team]],MatchData[drawbridge teleop crossings])+SUMIF(MatchData[team],MatchData[[#this row],[team]],MatchData[drawbridge scored crossings])</f>
        <v>#VALUE!</v>
      </c>
      <c r="CN78" s="16" t="e">
        <f aca="false">SUMIF(MatchData[team],MatchData[[#this row],[team]],MatchData[sally port teleop crossings])+SUMIF(MatchData[team],MatchData[[#this row],[team]],MatchData[sally port scored crossings])</f>
        <v>#VALUE!</v>
      </c>
      <c r="CO78" s="16" t="e">
        <f aca="false">SUMIF(MatchData[team],MatchData[[#this row],[team]],MatchData[rock wall teleop crossings])+SUMIF(MatchData[team],MatchData[[#this row],[team]],MatchData[rock wall scored crossings])</f>
        <v>#VALUE!</v>
      </c>
      <c r="CP78" s="16" t="e">
        <f aca="false">SUMIF(MatchData[team],MatchData[[#this row],[team]],MatchData[rough terrain teleop crossings])+SUMIF(MatchData[team],MatchData[[#this row],[team]],MatchData[rough terrain scored crossings])</f>
        <v>#VALUE!</v>
      </c>
      <c r="CQ78" s="16" t="e">
        <f aca="false">SUMIF(MatchData[team],MatchData[[#this row],[team]],MatchData[low bar teleop crossings])+SUMIF(MatchData[team],MatchData[[#this row],[team]],MatchData[low bar scored crossings])</f>
        <v>#VALUE!</v>
      </c>
      <c r="CR78" s="16" t="e">
        <f aca="false">IFERROR(ROUND(MatchData[[#this row],[portcullis sum]]/MatchData[[#this row],[portcullis avail count]],2),0)</f>
        <v>#VALUE!</v>
      </c>
      <c r="CS78" s="16" t="e">
        <f aca="false">IFERROR(ROUND(MatchData[[#this row],[cheval sum]]/MatchData[[#this row],[cheval avail count]],2),0)</f>
        <v>#VALUE!</v>
      </c>
      <c r="CT78" s="16" t="e">
        <f aca="false">IFERROR(ROUND(MatchData[[#this row],[moat sum]]/MatchData[[#this row],[moat avail count]],2),0)</f>
        <v>#VALUE!</v>
      </c>
      <c r="CU78" s="16" t="e">
        <f aca="false">IFERROR(ROUND(MatchData[[#this row],[ramparts sum]]/MatchData[[#this row],[ramparts avail count]],2),0)</f>
        <v>#VALUE!</v>
      </c>
      <c r="CV78" s="16" t="e">
        <f aca="false">IFERROR(ROUND(MatchData[[#this row],[drawbridge sum]]/MatchData[[#this row],[drawbridge avail countigh6]],2),0)</f>
        <v>#VALUE!</v>
      </c>
      <c r="CW78" s="16" t="e">
        <f aca="false">IFERROR(ROUND(MatchData[[#this row],[sally port sum]]/MatchData[[#this row],[sally port avail count]],2),0)</f>
        <v>#VALUE!</v>
      </c>
      <c r="CX78" s="5" t="e">
        <f aca="false">IFERROR(ROUND(MatchData[[#this row],[rock wall sum]]/MatchData[[#this row],[rock wall avail count]],2),0)</f>
        <v>#VALUE!</v>
      </c>
      <c r="CY78" s="5" t="e">
        <f aca="false">IFERROR(ROUND(MatchData[[#this row],[rough terrain sum]]/MatchData[[#this row],[rough terrain avail count]],2),0)</f>
        <v>#VALUE!</v>
      </c>
      <c r="CZ78" s="5" t="e">
        <f aca="false">IFERROR(ROUND(MatchData[[#this row],[low bar sum]]/MatchData[[#this row],[low bar avail count]],2),0)</f>
        <v>#VALUE!</v>
      </c>
      <c r="DA78" s="16" t="e">
        <f aca="false">SUM(MatchData[[#this row],[cheval sum]:[low bar sum]])/MatchData[match count]</f>
        <v>#VALUE!</v>
      </c>
      <c r="DB78" s="16" t="n">
        <f aca="false">MAX(IF(C$2:C$74=C78,BP$2:BP$74))</f>
        <v>-1.79769313486232E+308</v>
      </c>
      <c r="DC78" s="16" t="e">
        <f aca="false">AVERAGEIF(MatchData[team],MatchData[[#this row],[team]],MatchData[total score])</f>
        <v>#VALUE!</v>
      </c>
      <c r="DD78" s="16" t="e">
        <f aca="false">ROUND(AVERAGEIF(MatchData[team],MatchData[team],MatchData[climb or challenge flag]),2)</f>
        <v>#VALUE!</v>
      </c>
    </row>
    <row r="79" customFormat="false" ht="14.5" hidden="false" customHeight="false" outlineLevel="0" collapsed="false">
      <c r="A79" s="17" t="s">
        <v>108</v>
      </c>
      <c r="B79" s="14" t="n">
        <v>13</v>
      </c>
      <c r="C79" s="15" t="n">
        <v>5977</v>
      </c>
      <c r="D79" s="5" t="s">
        <v>113</v>
      </c>
      <c r="E79" s="5" t="s">
        <v>142</v>
      </c>
      <c r="G79" s="16"/>
      <c r="H79" s="5"/>
      <c r="I79" s="16"/>
      <c r="J79" s="5" t="n">
        <v>1</v>
      </c>
      <c r="K79" s="16" t="n">
        <v>1</v>
      </c>
      <c r="M79" s="5" t="n">
        <v>1</v>
      </c>
      <c r="N79" s="0"/>
      <c r="O79" s="5" t="n">
        <v>1</v>
      </c>
      <c r="P79" s="0"/>
      <c r="Q79" s="5" t="n">
        <v>1</v>
      </c>
      <c r="R79" s="0"/>
      <c r="S79" s="16"/>
      <c r="T79" s="0"/>
      <c r="U79" s="16"/>
      <c r="V79" s="16"/>
      <c r="W79" s="0"/>
      <c r="X79" s="0"/>
      <c r="AD79" s="16"/>
      <c r="AE79" s="5"/>
      <c r="AF79" s="16"/>
      <c r="AG79" s="16"/>
      <c r="AH79" s="16"/>
      <c r="AJ79" s="16"/>
      <c r="AL79" s="16"/>
      <c r="AN79" s="16"/>
      <c r="AP79" s="16"/>
      <c r="AR79" s="16" t="n">
        <v>2</v>
      </c>
      <c r="AT79" s="16"/>
      <c r="AU79" s="16"/>
      <c r="AV79" s="16"/>
      <c r="AW79" s="16"/>
      <c r="AX79" s="16"/>
      <c r="AY79" s="16"/>
      <c r="AZ79" s="16"/>
      <c r="BB79" s="16"/>
      <c r="BC79" s="16" t="e">
        <f aca="false">MatchData[cheval scored crossings]*5</f>
        <v>#VALUE!</v>
      </c>
      <c r="BD79" s="16" t="e">
        <f aca="false">MatchData[moat scored crosings]*5</f>
        <v>#VALUE!</v>
      </c>
      <c r="BE79" s="16" t="e">
        <f aca="false">MatchData[ramparts scored crossings]*5</f>
        <v>#VALUE!</v>
      </c>
      <c r="BF79" s="16" t="e">
        <f aca="false">MatchData[drawbridge scored crossings]*5</f>
        <v>#VALUE!</v>
      </c>
      <c r="BG79" s="16" t="e">
        <f aca="false">MatchData[sally port scored crossings]*5</f>
        <v>#VALUE!</v>
      </c>
      <c r="BH79" s="16" t="e">
        <f aca="false">MatchData[rock wall scored crossings]*5</f>
        <v>#VALUE!</v>
      </c>
      <c r="BI79" s="16" t="e">
        <f aca="false">MatchData[rough terrain scored crossings]*5</f>
        <v>#VALUE!</v>
      </c>
      <c r="BJ79" s="16" t="e">
        <f aca="false">MatchData[low bar scored crossings]*5</f>
        <v>#VALUE!</v>
      </c>
      <c r="BK79" s="16" t="e">
        <f aca="false">SUM(MatchData[[#this row],[low bar teleop crossings]:[rough terrain scored crossings]])</f>
        <v>#VALUE!</v>
      </c>
      <c r="BL79" s="16" t="e">
        <f aca="false">IFERROR(IF(OR(MatchData[[#this row],[challenge flag]],MatchData[[#this row],[climb flag]]),1,0),0)</f>
        <v>#VALUE!</v>
      </c>
      <c r="BM79" s="16" t="e">
        <f aca="false">MatchData[auto high goals]*10+MatchData[teleop high goals]*5</f>
        <v>#VALUE!</v>
      </c>
      <c r="BN79" s="16" t="e">
        <f aca="false">MatchData[auto low goals]*5+MatchData[teleop low goals]*2</f>
        <v>#VALUE!</v>
      </c>
      <c r="BO79" s="16" t="e">
        <f aca="false">MatchData[high goal score]+MatchData[low goal score]</f>
        <v>#VALUE!</v>
      </c>
      <c r="BP79" s="16" t="e">
        <f aca="false">MatchData[teleop high goals]+MatchData[teleop low goals]</f>
        <v>#VALUE!</v>
      </c>
      <c r="BQ79" s="16" t="e">
        <f aca="false">MatchData[[#this row],[auto reach flag]]*2+SUM(MatchData[[#this row],[portcullis auto crossings]:[low bar auto crossings]])*10+MatchData[[#this row],[auto low goals]]*5+MatchData[auto high goals]*10</f>
        <v>#VALUE!</v>
      </c>
      <c r="BR79" s="16" t="e">
        <f aca="false">SUM(MatchData[[#this row],[cheval teleop crossing score]:[low bar teleop crossing score]])</f>
        <v>#VALUE!</v>
      </c>
      <c r="BS79" s="16" t="e">
        <f aca="false">SUMIF(MatchData[team],MatchData[[#this row],[team]],MatchData[total auto score])/MatchData[match count]</f>
        <v>#VALUE!</v>
      </c>
      <c r="BT79" s="16" t="e">
        <f aca="false">MatchData[challenge flag]*5</f>
        <v>#VALUE!</v>
      </c>
      <c r="BU79" s="16" t="e">
        <f aca="false">MatchData[climb flag]*15</f>
        <v>#VALUE!</v>
      </c>
      <c r="BV79" s="16" t="e">
        <f aca="false">SUM(MatchData[[#this row],[total goal score]],MatchData[[#this row],[crossing score]],MatchData[[#this row],[challenge score]],MatchData[[#this row],[climb score]],MatchData[[#this row],[total auto score]])</f>
        <v>#VALUE!</v>
      </c>
      <c r="BW79" s="16" t="e">
        <f aca="false">ROUND(SUMIF(MatchData[team],MatchData[[#this row],[team]],MatchData[teleop low goals])/COUNTIF(MatchData[team],MatchData[[#this row],[team]]),2)</f>
        <v>#VALUE!</v>
      </c>
      <c r="BX79" s="16" t="e">
        <f aca="false">ROUND(SUMIF(MatchData[team],MatchData[[#this row],[team]],MatchData[teleop high goals])/COUNTIF(MatchData[team],MatchData[[#this row],[team]]),2)</f>
        <v>#VALUE!</v>
      </c>
      <c r="BY79" s="16" t="e">
        <f aca="false">COUNTIF(MatchData[team],MatchData[[#this row],[team]])</f>
        <v>#VALUE!</v>
      </c>
      <c r="BZ79" s="16" t="e">
        <f aca="false">SUMIF(MatchData[team],MatchData[[#this row],[team]],MatchData[portcullis available])</f>
        <v>#VALUE!</v>
      </c>
      <c r="CA79" s="16" t="e">
        <f aca="false">SUMIF(MatchData[team],MatchData[[#this row],[team]],MatchData[cheval available])</f>
        <v>#VALUE!</v>
      </c>
      <c r="CB79" s="16" t="e">
        <f aca="false">SUMIF(MatchData[team],MatchData[[#this row],[team]],MatchData[moat available])</f>
        <v>#VALUE!</v>
      </c>
      <c r="CC79" s="16" t="e">
        <f aca="false">SUMIF(MatchData[team],MatchData[[#this row],[team]],MatchData[ramparts available])</f>
        <v>#VALUE!</v>
      </c>
      <c r="CD79" s="16" t="e">
        <f aca="false">SUMIF(MatchData[team],MatchData[[#this row],[team]],MatchData[drawbridge available])</f>
        <v>#VALUE!</v>
      </c>
      <c r="CE79" s="16" t="e">
        <f aca="false">SUMIF(MatchData[team],MatchData[[#this row],[team]],MatchData[sally port available])</f>
        <v>#VALUE!</v>
      </c>
      <c r="CF79" s="16" t="e">
        <f aca="false">SUMIF(MatchData[team],MatchData[[#this row],[team]],MatchData[rock wall available])</f>
        <v>#VALUE!</v>
      </c>
      <c r="CG79" s="16" t="e">
        <f aca="false">SUMIF(MatchData[team],MatchData[[#this row],[team]],MatchData[rough terrain available])</f>
        <v>#VALUE!</v>
      </c>
      <c r="CH79" s="16" t="e">
        <f aca="false">SUMIF(MatchData[team],MatchData[[#this row],[team]],MatchData[low bar available])</f>
        <v>#VALUE!</v>
      </c>
      <c r="CI79" s="16" t="e">
        <f aca="false">SUMIF(MatchData[team],MatchData[[#this row],[team]],MatchData[portcullis teleop crossings]:MatchData[portcullis scored crossings])</f>
        <v>#VALUE!</v>
      </c>
      <c r="CJ79" s="16" t="e">
        <f aca="false">SUMIF(MatchData[team],MatchData[[#this row],[team]],MatchData[cheval teleop crossings])+SUMIF(MatchData[team],MatchData[[#this row],[team]],MatchData[cheval scored crossings])</f>
        <v>#VALUE!</v>
      </c>
      <c r="CK79" s="16" t="e">
        <f aca="false">SUMIF(MatchData[team],MatchData[[#this row],[team]],MatchData[moat teleop crossings])+SUMIF(MatchData[team],MatchData[[#this row],[team]],MatchData[moat scored crosings])</f>
        <v>#VALUE!</v>
      </c>
      <c r="CL79" s="16" t="e">
        <f aca="false">SUMIF(MatchData[team],MatchData[[#this row],[team]],MatchData[ramparts teleop crossings])+SUMIF(MatchData[team],MatchData[[#this row],[team]],MatchData[ramparts scored crossings])</f>
        <v>#VALUE!</v>
      </c>
      <c r="CM79" s="16" t="e">
        <f aca="false">SUMIF(MatchData[team],MatchData[[#this row],[team]],MatchData[drawbridge teleop crossings])+SUMIF(MatchData[team],MatchData[[#this row],[team]],MatchData[drawbridge scored crossings])</f>
        <v>#VALUE!</v>
      </c>
      <c r="CN79" s="16" t="e">
        <f aca="false">SUMIF(MatchData[team],MatchData[[#this row],[team]],MatchData[sally port teleop crossings])+SUMIF(MatchData[team],MatchData[[#this row],[team]],MatchData[sally port scored crossings])</f>
        <v>#VALUE!</v>
      </c>
      <c r="CO79" s="16" t="e">
        <f aca="false">SUMIF(MatchData[team],MatchData[[#this row],[team]],MatchData[rock wall teleop crossings])+SUMIF(MatchData[team],MatchData[[#this row],[team]],MatchData[rock wall scored crossings])</f>
        <v>#VALUE!</v>
      </c>
      <c r="CP79" s="16" t="e">
        <f aca="false">SUMIF(MatchData[team],MatchData[[#this row],[team]],MatchData[rough terrain teleop crossings])+SUMIF(MatchData[team],MatchData[[#this row],[team]],MatchData[rough terrain scored crossings])</f>
        <v>#VALUE!</v>
      </c>
      <c r="CQ79" s="16" t="e">
        <f aca="false">SUMIF(MatchData[team],MatchData[[#this row],[team]],MatchData[low bar teleop crossings])+SUMIF(MatchData[team],MatchData[[#this row],[team]],MatchData[low bar scored crossings])</f>
        <v>#VALUE!</v>
      </c>
      <c r="CR79" s="16" t="e">
        <f aca="false">IFERROR(ROUND(MatchData[[#this row],[portcullis sum]]/MatchData[[#this row],[portcullis avail count]],2),0)</f>
        <v>#VALUE!</v>
      </c>
      <c r="CS79" s="16" t="e">
        <f aca="false">IFERROR(ROUND(MatchData[[#this row],[cheval sum]]/MatchData[[#this row],[cheval avail count]],2),0)</f>
        <v>#VALUE!</v>
      </c>
      <c r="CT79" s="16" t="e">
        <f aca="false">IFERROR(ROUND(MatchData[[#this row],[moat sum]]/MatchData[[#this row],[moat avail count]],2),0)</f>
        <v>#VALUE!</v>
      </c>
      <c r="CU79" s="16" t="e">
        <f aca="false">IFERROR(ROUND(MatchData[[#this row],[ramparts sum]]/MatchData[[#this row],[ramparts avail count]],2),0)</f>
        <v>#VALUE!</v>
      </c>
      <c r="CV79" s="16" t="e">
        <f aca="false">IFERROR(ROUND(MatchData[[#this row],[drawbridge sum]]/MatchData[[#this row],[drawbridge avail countigh6]],2),0)</f>
        <v>#VALUE!</v>
      </c>
      <c r="CW79" s="16" t="e">
        <f aca="false">IFERROR(ROUND(MatchData[[#this row],[sally port sum]]/MatchData[[#this row],[sally port avail count]],2),0)</f>
        <v>#VALUE!</v>
      </c>
      <c r="CX79" s="5" t="e">
        <f aca="false">IFERROR(ROUND(MatchData[[#this row],[rock wall sum]]/MatchData[[#this row],[rock wall avail count]],2),0)</f>
        <v>#VALUE!</v>
      </c>
      <c r="CY79" s="5" t="e">
        <f aca="false">IFERROR(ROUND(MatchData[[#this row],[rough terrain sum]]/MatchData[[#this row],[rough terrain avail count]],2),0)</f>
        <v>#VALUE!</v>
      </c>
      <c r="CZ79" s="5" t="e">
        <f aca="false">IFERROR(ROUND(MatchData[[#this row],[low bar sum]]/MatchData[[#this row],[low bar avail count]],2),0)</f>
        <v>#VALUE!</v>
      </c>
      <c r="DA79" s="16" t="e">
        <f aca="false">SUM(MatchData[[#this row],[cheval sum]:[low bar sum]])/MatchData[match count]</f>
        <v>#VALUE!</v>
      </c>
      <c r="DB79" s="16" t="n">
        <f aca="false">MAX(IF(C$2:C$74=C79,BP$2:BP$74))</f>
        <v>-1.79769313486232E+308</v>
      </c>
      <c r="DC79" s="16" t="e">
        <f aca="false">AVERAGEIF(MatchData[team],MatchData[[#this row],[team]],MatchData[total score])</f>
        <v>#VALUE!</v>
      </c>
      <c r="DD79" s="16" t="e">
        <f aca="false">ROUND(AVERAGEIF(MatchData[team],MatchData[team],MatchData[climb or challenge flag]),2)</f>
        <v>#VALUE!</v>
      </c>
    </row>
    <row r="80" customFormat="false" ht="14.5" hidden="false" customHeight="false" outlineLevel="0" collapsed="false">
      <c r="A80" s="13" t="s">
        <v>108</v>
      </c>
      <c r="B80" s="14" t="n">
        <v>14</v>
      </c>
      <c r="C80" s="15" t="n">
        <v>955</v>
      </c>
      <c r="D80" s="5" t="s">
        <v>109</v>
      </c>
      <c r="E80" s="5" t="s">
        <v>142</v>
      </c>
      <c r="G80" s="16" t="n">
        <v>2</v>
      </c>
      <c r="I80" s="16"/>
      <c r="J80" s="5" t="n">
        <v>1</v>
      </c>
      <c r="K80" s="16" t="n">
        <v>1</v>
      </c>
      <c r="N80" s="5" t="n">
        <v>1</v>
      </c>
      <c r="O80" s="5" t="n">
        <v>1</v>
      </c>
      <c r="P80" s="0"/>
      <c r="Q80" s="5" t="n">
        <v>1</v>
      </c>
      <c r="R80" s="0"/>
      <c r="S80" s="16"/>
      <c r="T80" s="0"/>
      <c r="U80" s="16"/>
      <c r="V80" s="16"/>
      <c r="W80" s="0"/>
      <c r="X80" s="0"/>
      <c r="AD80" s="16"/>
      <c r="AE80" s="5"/>
      <c r="AF80" s="16"/>
      <c r="AG80" s="16"/>
      <c r="AH80" s="16"/>
      <c r="AJ80" s="16"/>
      <c r="AL80" s="16" t="n">
        <v>1</v>
      </c>
      <c r="AN80" s="16" t="n">
        <v>1</v>
      </c>
      <c r="AP80" s="16"/>
      <c r="AQ80" s="5" t="n">
        <v>2</v>
      </c>
      <c r="AR80" s="16"/>
      <c r="AT80" s="16"/>
      <c r="AU80" s="16"/>
      <c r="AV80" s="16"/>
      <c r="AW80" s="16" t="n">
        <v>1</v>
      </c>
      <c r="AX80" s="16"/>
      <c r="AY80" s="16"/>
      <c r="AZ80" s="16"/>
      <c r="BB80" s="16" t="n">
        <v>1</v>
      </c>
      <c r="BC80" s="16" t="e">
        <f aca="false">MatchData[cheval scored crossings]*5</f>
        <v>#VALUE!</v>
      </c>
      <c r="BD80" s="16" t="e">
        <f aca="false">MatchData[moat scored crosings]*5</f>
        <v>#VALUE!</v>
      </c>
      <c r="BE80" s="16" t="e">
        <f aca="false">MatchData[ramparts scored crossings]*5</f>
        <v>#VALUE!</v>
      </c>
      <c r="BF80" s="16" t="e">
        <f aca="false">MatchData[drawbridge scored crossings]*5</f>
        <v>#VALUE!</v>
      </c>
      <c r="BG80" s="16" t="e">
        <f aca="false">MatchData[sally port scored crossings]*5</f>
        <v>#VALUE!</v>
      </c>
      <c r="BH80" s="16" t="e">
        <f aca="false">MatchData[rock wall scored crossings]*5</f>
        <v>#VALUE!</v>
      </c>
      <c r="BI80" s="16" t="e">
        <f aca="false">MatchData[rough terrain scored crossings]*5</f>
        <v>#VALUE!</v>
      </c>
      <c r="BJ80" s="16" t="e">
        <f aca="false">MatchData[low bar scored crossings]*5</f>
        <v>#VALUE!</v>
      </c>
      <c r="BK80" s="16" t="e">
        <f aca="false">SUM(MatchData[[#this row],[low bar teleop crossings]:[rough terrain scored crossings]])</f>
        <v>#VALUE!</v>
      </c>
      <c r="BL80" s="16" t="e">
        <f aca="false">IFERROR(IF(OR(MatchData[[#this row],[challenge flag]],MatchData[[#this row],[climb flag]]),1,0),0)</f>
        <v>#VALUE!</v>
      </c>
      <c r="BM80" s="16" t="e">
        <f aca="false">MatchData[auto high goals]*10+MatchData[teleop high goals]*5</f>
        <v>#VALUE!</v>
      </c>
      <c r="BN80" s="16" t="e">
        <f aca="false">MatchData[auto low goals]*5+MatchData[teleop low goals]*2</f>
        <v>#VALUE!</v>
      </c>
      <c r="BO80" s="16" t="e">
        <f aca="false">MatchData[high goal score]+MatchData[low goal score]</f>
        <v>#VALUE!</v>
      </c>
      <c r="BP80" s="16" t="e">
        <f aca="false">MatchData[teleop high goals]+MatchData[teleop low goals]</f>
        <v>#VALUE!</v>
      </c>
      <c r="BQ80" s="16" t="e">
        <f aca="false">MatchData[[#this row],[auto reach flag]]*2+SUM(MatchData[[#this row],[portcullis auto crossings]:[low bar auto crossings]])*10+MatchData[[#this row],[auto low goals]]*5+MatchData[auto high goals]*10</f>
        <v>#VALUE!</v>
      </c>
      <c r="BR80" s="16" t="e">
        <f aca="false">SUM(MatchData[[#this row],[cheval teleop crossing score]:[low bar teleop crossing score]])</f>
        <v>#VALUE!</v>
      </c>
      <c r="BS80" s="16" t="e">
        <f aca="false">SUMIF(MatchData[team],MatchData[[#this row],[team]],MatchData[total auto score])/MatchData[match count]</f>
        <v>#VALUE!</v>
      </c>
      <c r="BT80" s="16" t="e">
        <f aca="false">MatchData[challenge flag]*5</f>
        <v>#VALUE!</v>
      </c>
      <c r="BU80" s="16" t="e">
        <f aca="false">MatchData[climb flag]*15</f>
        <v>#VALUE!</v>
      </c>
      <c r="BV80" s="16" t="e">
        <f aca="false">SUM(MatchData[[#this row],[total goal score]],MatchData[[#this row],[crossing score]],MatchData[[#this row],[challenge score]],MatchData[[#this row],[climb score]],MatchData[[#this row],[total auto score]])</f>
        <v>#VALUE!</v>
      </c>
      <c r="BW80" s="16" t="e">
        <f aca="false">ROUND(SUMIF(MatchData[team],MatchData[[#this row],[team]],MatchData[teleop low goals])/COUNTIF(MatchData[team],MatchData[[#this row],[team]]),2)</f>
        <v>#VALUE!</v>
      </c>
      <c r="BX80" s="16" t="e">
        <f aca="false">ROUND(SUMIF(MatchData[team],MatchData[[#this row],[team]],MatchData[teleop high goals])/COUNTIF(MatchData[team],MatchData[[#this row],[team]]),2)</f>
        <v>#VALUE!</v>
      </c>
      <c r="BY80" s="16" t="e">
        <f aca="false">COUNTIF(MatchData[team],MatchData[[#this row],[team]])</f>
        <v>#VALUE!</v>
      </c>
      <c r="BZ80" s="16" t="e">
        <f aca="false">SUMIF(MatchData[team],MatchData[[#this row],[team]],MatchData[portcullis available])</f>
        <v>#VALUE!</v>
      </c>
      <c r="CA80" s="16" t="e">
        <f aca="false">SUMIF(MatchData[team],MatchData[[#this row],[team]],MatchData[cheval available])</f>
        <v>#VALUE!</v>
      </c>
      <c r="CB80" s="16" t="e">
        <f aca="false">SUMIF(MatchData[team],MatchData[[#this row],[team]],MatchData[moat available])</f>
        <v>#VALUE!</v>
      </c>
      <c r="CC80" s="16" t="e">
        <f aca="false">SUMIF(MatchData[team],MatchData[[#this row],[team]],MatchData[ramparts available])</f>
        <v>#VALUE!</v>
      </c>
      <c r="CD80" s="16" t="e">
        <f aca="false">SUMIF(MatchData[team],MatchData[[#this row],[team]],MatchData[drawbridge available])</f>
        <v>#VALUE!</v>
      </c>
      <c r="CE80" s="16" t="e">
        <f aca="false">SUMIF(MatchData[team],MatchData[[#this row],[team]],MatchData[sally port available])</f>
        <v>#VALUE!</v>
      </c>
      <c r="CF80" s="16" t="e">
        <f aca="false">SUMIF(MatchData[team],MatchData[[#this row],[team]],MatchData[rock wall available])</f>
        <v>#VALUE!</v>
      </c>
      <c r="CG80" s="16" t="e">
        <f aca="false">SUMIF(MatchData[team],MatchData[[#this row],[team]],MatchData[rough terrain available])</f>
        <v>#VALUE!</v>
      </c>
      <c r="CH80" s="16" t="e">
        <f aca="false">SUMIF(MatchData[team],MatchData[[#this row],[team]],MatchData[low bar available])</f>
        <v>#VALUE!</v>
      </c>
      <c r="CI80" s="16" t="e">
        <f aca="false">SUMIF(MatchData[team],MatchData[[#this row],[team]],MatchData[portcullis teleop crossings]:MatchData[portcullis scored crossings])</f>
        <v>#VALUE!</v>
      </c>
      <c r="CJ80" s="16" t="e">
        <f aca="false">SUMIF(MatchData[team],MatchData[[#this row],[team]],MatchData[cheval teleop crossings])+SUMIF(MatchData[team],MatchData[[#this row],[team]],MatchData[cheval scored crossings])</f>
        <v>#VALUE!</v>
      </c>
      <c r="CK80" s="16" t="e">
        <f aca="false">SUMIF(MatchData[team],MatchData[[#this row],[team]],MatchData[moat teleop crossings])+SUMIF(MatchData[team],MatchData[[#this row],[team]],MatchData[moat scored crosings])</f>
        <v>#VALUE!</v>
      </c>
      <c r="CL80" s="16" t="e">
        <f aca="false">SUMIF(MatchData[team],MatchData[[#this row],[team]],MatchData[ramparts teleop crossings])+SUMIF(MatchData[team],MatchData[[#this row],[team]],MatchData[ramparts scored crossings])</f>
        <v>#VALUE!</v>
      </c>
      <c r="CM80" s="16" t="e">
        <f aca="false">SUMIF(MatchData[team],MatchData[[#this row],[team]],MatchData[drawbridge teleop crossings])+SUMIF(MatchData[team],MatchData[[#this row],[team]],MatchData[drawbridge scored crossings])</f>
        <v>#VALUE!</v>
      </c>
      <c r="CN80" s="16" t="e">
        <f aca="false">SUMIF(MatchData[team],MatchData[[#this row],[team]],MatchData[sally port teleop crossings])+SUMIF(MatchData[team],MatchData[[#this row],[team]],MatchData[sally port scored crossings])</f>
        <v>#VALUE!</v>
      </c>
      <c r="CO80" s="16" t="e">
        <f aca="false">SUMIF(MatchData[team],MatchData[[#this row],[team]],MatchData[rock wall teleop crossings])+SUMIF(MatchData[team],MatchData[[#this row],[team]],MatchData[rock wall scored crossings])</f>
        <v>#VALUE!</v>
      </c>
      <c r="CP80" s="16" t="e">
        <f aca="false">SUMIF(MatchData[team],MatchData[[#this row],[team]],MatchData[rough terrain teleop crossings])+SUMIF(MatchData[team],MatchData[[#this row],[team]],MatchData[rough terrain scored crossings])</f>
        <v>#VALUE!</v>
      </c>
      <c r="CQ80" s="16" t="e">
        <f aca="false">SUMIF(MatchData[team],MatchData[[#this row],[team]],MatchData[low bar teleop crossings])+SUMIF(MatchData[team],MatchData[[#this row],[team]],MatchData[low bar scored crossings])</f>
        <v>#VALUE!</v>
      </c>
      <c r="CR80" s="16" t="e">
        <f aca="false">IFERROR(ROUND(MatchData[[#this row],[portcullis sum]]/MatchData[[#this row],[portcullis avail count]],2),0)</f>
        <v>#VALUE!</v>
      </c>
      <c r="CS80" s="16" t="e">
        <f aca="false">IFERROR(ROUND(MatchData[[#this row],[cheval sum]]/MatchData[[#this row],[cheval avail count]],2),0)</f>
        <v>#VALUE!</v>
      </c>
      <c r="CT80" s="16" t="e">
        <f aca="false">IFERROR(ROUND(MatchData[[#this row],[moat sum]]/MatchData[[#this row],[moat avail count]],2),0)</f>
        <v>#VALUE!</v>
      </c>
      <c r="CU80" s="16" t="e">
        <f aca="false">IFERROR(ROUND(MatchData[[#this row],[ramparts sum]]/MatchData[[#this row],[ramparts avail count]],2),0)</f>
        <v>#VALUE!</v>
      </c>
      <c r="CV80" s="16" t="e">
        <f aca="false">IFERROR(ROUND(MatchData[[#this row],[drawbridge sum]]/MatchData[[#this row],[drawbridge avail countigh6]],2),0)</f>
        <v>#VALUE!</v>
      </c>
      <c r="CW80" s="16" t="e">
        <f aca="false">IFERROR(ROUND(MatchData[[#this row],[sally port sum]]/MatchData[[#this row],[sally port avail count]],2),0)</f>
        <v>#VALUE!</v>
      </c>
      <c r="CX80" s="5" t="e">
        <f aca="false">IFERROR(ROUND(MatchData[[#this row],[rock wall sum]]/MatchData[[#this row],[rock wall avail count]],2),0)</f>
        <v>#VALUE!</v>
      </c>
      <c r="CY80" s="5" t="e">
        <f aca="false">IFERROR(ROUND(MatchData[[#this row],[rough terrain sum]]/MatchData[[#this row],[rough terrain avail count]],2),0)</f>
        <v>#VALUE!</v>
      </c>
      <c r="CZ80" s="5" t="e">
        <f aca="false">IFERROR(ROUND(MatchData[[#this row],[low bar sum]]/MatchData[[#this row],[low bar avail count]],2),0)</f>
        <v>#VALUE!</v>
      </c>
      <c r="DA80" s="16" t="e">
        <f aca="false">SUM(MatchData[[#this row],[cheval sum]:[low bar sum]])/MatchData[match count]</f>
        <v>#VALUE!</v>
      </c>
      <c r="DB80" s="16" t="n">
        <f aca="false">MAX(IF(C$2:C$74=C80,BP$2:BP$74))</f>
        <v>-1.79769313486232E+308</v>
      </c>
      <c r="DC80" s="16" t="e">
        <f aca="false">AVERAGEIF(MatchData[team],MatchData[[#this row],[team]],MatchData[total score])</f>
        <v>#VALUE!</v>
      </c>
      <c r="DD80" s="16" t="e">
        <f aca="false">ROUND(AVERAGEIF(MatchData[team],MatchData[team],MatchData[climb or challenge flag]),2)</f>
        <v>#VALUE!</v>
      </c>
    </row>
    <row r="81" customFormat="false" ht="14.5" hidden="false" customHeight="false" outlineLevel="0" collapsed="false">
      <c r="A81" s="17" t="s">
        <v>108</v>
      </c>
      <c r="B81" s="18" t="n">
        <v>14</v>
      </c>
      <c r="C81" s="15" t="n">
        <v>4043</v>
      </c>
      <c r="D81" s="5" t="s">
        <v>109</v>
      </c>
      <c r="E81" s="5" t="s">
        <v>143</v>
      </c>
      <c r="G81" s="16"/>
      <c r="I81" s="16"/>
      <c r="J81" s="5" t="n">
        <v>1</v>
      </c>
      <c r="K81" s="16" t="n">
        <v>1</v>
      </c>
      <c r="N81" s="5" t="n">
        <v>1</v>
      </c>
      <c r="O81" s="5" t="n">
        <v>1</v>
      </c>
      <c r="P81" s="0"/>
      <c r="Q81" s="5" t="n">
        <v>1</v>
      </c>
      <c r="R81" s="0"/>
      <c r="S81" s="16" t="n">
        <v>1</v>
      </c>
      <c r="T81" s="0"/>
      <c r="U81" s="16"/>
      <c r="V81" s="16"/>
      <c r="W81" s="0"/>
      <c r="X81" s="0"/>
      <c r="AD81" s="16"/>
      <c r="AE81" s="5"/>
      <c r="AF81" s="16"/>
      <c r="AG81" s="16"/>
      <c r="AH81" s="16"/>
      <c r="AJ81" s="16"/>
      <c r="AL81" s="16" t="n">
        <v>1</v>
      </c>
      <c r="AN81" s="16" t="n">
        <v>1</v>
      </c>
      <c r="AP81" s="16"/>
      <c r="AR81" s="16" t="n">
        <v>2</v>
      </c>
      <c r="AT81" s="16"/>
      <c r="AU81" s="16"/>
      <c r="AV81" s="16"/>
      <c r="AW81" s="16" t="n">
        <v>1</v>
      </c>
      <c r="AX81" s="16"/>
      <c r="AY81" s="16"/>
      <c r="AZ81" s="16"/>
      <c r="BB81" s="16" t="n">
        <v>1</v>
      </c>
      <c r="BC81" s="16" t="e">
        <f aca="false">MatchData[cheval scored crossings]*5</f>
        <v>#VALUE!</v>
      </c>
      <c r="BD81" s="16" t="e">
        <f aca="false">MatchData[moat scored crosings]*5</f>
        <v>#VALUE!</v>
      </c>
      <c r="BE81" s="16" t="e">
        <f aca="false">MatchData[ramparts scored crossings]*5</f>
        <v>#VALUE!</v>
      </c>
      <c r="BF81" s="16" t="e">
        <f aca="false">MatchData[drawbridge scored crossings]*5</f>
        <v>#VALUE!</v>
      </c>
      <c r="BG81" s="16" t="e">
        <f aca="false">MatchData[sally port scored crossings]*5</f>
        <v>#VALUE!</v>
      </c>
      <c r="BH81" s="16" t="e">
        <f aca="false">MatchData[rock wall scored crossings]*5</f>
        <v>#VALUE!</v>
      </c>
      <c r="BI81" s="16" t="e">
        <f aca="false">MatchData[rough terrain scored crossings]*5</f>
        <v>#VALUE!</v>
      </c>
      <c r="BJ81" s="16" t="e">
        <f aca="false">MatchData[low bar scored crossings]*5</f>
        <v>#VALUE!</v>
      </c>
      <c r="BK81" s="16" t="e">
        <f aca="false">SUM(MatchData[[#this row],[low bar teleop crossings]:[rough terrain scored crossings]])</f>
        <v>#VALUE!</v>
      </c>
      <c r="BL81" s="16" t="e">
        <f aca="false">IFERROR(IF(OR(MatchData[[#this row],[challenge flag]],MatchData[[#this row],[climb flag]]),1,0),0)</f>
        <v>#VALUE!</v>
      </c>
      <c r="BM81" s="16" t="e">
        <f aca="false">MatchData[auto high goals]*10+MatchData[teleop high goals]*5</f>
        <v>#VALUE!</v>
      </c>
      <c r="BN81" s="16" t="e">
        <f aca="false">MatchData[auto low goals]*5+MatchData[teleop low goals]*2</f>
        <v>#VALUE!</v>
      </c>
      <c r="BO81" s="16" t="e">
        <f aca="false">MatchData[high goal score]+MatchData[low goal score]</f>
        <v>#VALUE!</v>
      </c>
      <c r="BP81" s="16" t="e">
        <f aca="false">MatchData[teleop high goals]+MatchData[teleop low goals]</f>
        <v>#VALUE!</v>
      </c>
      <c r="BQ81" s="16" t="e">
        <f aca="false">MatchData[[#this row],[auto reach flag]]*2+SUM(MatchData[[#this row],[portcullis auto crossings]:[low bar auto crossings]])*10+MatchData[[#this row],[auto low goals]]*5+MatchData[auto high goals]*10</f>
        <v>#VALUE!</v>
      </c>
      <c r="BR81" s="16" t="e">
        <f aca="false">SUM(MatchData[[#this row],[cheval teleop crossing score]:[low bar teleop crossing score]])</f>
        <v>#VALUE!</v>
      </c>
      <c r="BS81" s="16" t="e">
        <f aca="false">SUMIF(MatchData[team],MatchData[[#this row],[team]],MatchData[total auto score])/MatchData[match count]</f>
        <v>#VALUE!</v>
      </c>
      <c r="BT81" s="16" t="e">
        <f aca="false">MatchData[challenge flag]*5</f>
        <v>#VALUE!</v>
      </c>
      <c r="BU81" s="16" t="e">
        <f aca="false">MatchData[climb flag]*15</f>
        <v>#VALUE!</v>
      </c>
      <c r="BV81" s="16" t="e">
        <f aca="false">SUM(MatchData[[#this row],[total goal score]],MatchData[[#this row],[crossing score]],MatchData[[#this row],[challenge score]],MatchData[[#this row],[climb score]],MatchData[[#this row],[total auto score]])</f>
        <v>#VALUE!</v>
      </c>
      <c r="BW81" s="16" t="e">
        <f aca="false">ROUND(SUMIF(MatchData[team],MatchData[[#this row],[team]],MatchData[teleop low goals])/COUNTIF(MatchData[team],MatchData[[#this row],[team]]),2)</f>
        <v>#VALUE!</v>
      </c>
      <c r="BX81" s="16" t="e">
        <f aca="false">ROUND(SUMIF(MatchData[team],MatchData[[#this row],[team]],MatchData[teleop high goals])/COUNTIF(MatchData[team],MatchData[[#this row],[team]]),2)</f>
        <v>#VALUE!</v>
      </c>
      <c r="BY81" s="16" t="e">
        <f aca="false">COUNTIF(MatchData[team],MatchData[[#this row],[team]])</f>
        <v>#VALUE!</v>
      </c>
      <c r="BZ81" s="16" t="e">
        <f aca="false">SUMIF(MatchData[team],MatchData[[#this row],[team]],MatchData[portcullis available])</f>
        <v>#VALUE!</v>
      </c>
      <c r="CA81" s="16" t="e">
        <f aca="false">SUMIF(MatchData[team],MatchData[[#this row],[team]],MatchData[cheval available])</f>
        <v>#VALUE!</v>
      </c>
      <c r="CB81" s="16" t="e">
        <f aca="false">SUMIF(MatchData[team],MatchData[[#this row],[team]],MatchData[moat available])</f>
        <v>#VALUE!</v>
      </c>
      <c r="CC81" s="16" t="e">
        <f aca="false">SUMIF(MatchData[team],MatchData[[#this row],[team]],MatchData[ramparts available])</f>
        <v>#VALUE!</v>
      </c>
      <c r="CD81" s="16" t="e">
        <f aca="false">SUMIF(MatchData[team],MatchData[[#this row],[team]],MatchData[drawbridge available])</f>
        <v>#VALUE!</v>
      </c>
      <c r="CE81" s="16" t="e">
        <f aca="false">SUMIF(MatchData[team],MatchData[[#this row],[team]],MatchData[sally port available])</f>
        <v>#VALUE!</v>
      </c>
      <c r="CF81" s="16" t="e">
        <f aca="false">SUMIF(MatchData[team],MatchData[[#this row],[team]],MatchData[rock wall available])</f>
        <v>#VALUE!</v>
      </c>
      <c r="CG81" s="16" t="e">
        <f aca="false">SUMIF(MatchData[team],MatchData[[#this row],[team]],MatchData[rough terrain available])</f>
        <v>#VALUE!</v>
      </c>
      <c r="CH81" s="16" t="e">
        <f aca="false">SUMIF(MatchData[team],MatchData[[#this row],[team]],MatchData[low bar available])</f>
        <v>#VALUE!</v>
      </c>
      <c r="CI81" s="16" t="e">
        <f aca="false">SUMIF(MatchData[team],MatchData[[#this row],[team]],MatchData[portcullis teleop crossings]:MatchData[portcullis scored crossings])</f>
        <v>#VALUE!</v>
      </c>
      <c r="CJ81" s="16" t="e">
        <f aca="false">SUMIF(MatchData[team],MatchData[[#this row],[team]],MatchData[cheval teleop crossings])+SUMIF(MatchData[team],MatchData[[#this row],[team]],MatchData[cheval scored crossings])</f>
        <v>#VALUE!</v>
      </c>
      <c r="CK81" s="16" t="e">
        <f aca="false">SUMIF(MatchData[team],MatchData[[#this row],[team]],MatchData[moat teleop crossings])+SUMIF(MatchData[team],MatchData[[#this row],[team]],MatchData[moat scored crosings])</f>
        <v>#VALUE!</v>
      </c>
      <c r="CL81" s="16" t="e">
        <f aca="false">SUMIF(MatchData[team],MatchData[[#this row],[team]],MatchData[ramparts teleop crossings])+SUMIF(MatchData[team],MatchData[[#this row],[team]],MatchData[ramparts scored crossings])</f>
        <v>#VALUE!</v>
      </c>
      <c r="CM81" s="16" t="e">
        <f aca="false">SUMIF(MatchData[team],MatchData[[#this row],[team]],MatchData[drawbridge teleop crossings])+SUMIF(MatchData[team],MatchData[[#this row],[team]],MatchData[drawbridge scored crossings])</f>
        <v>#VALUE!</v>
      </c>
      <c r="CN81" s="16" t="e">
        <f aca="false">SUMIF(MatchData[team],MatchData[[#this row],[team]],MatchData[sally port teleop crossings])+SUMIF(MatchData[team],MatchData[[#this row],[team]],MatchData[sally port scored crossings])</f>
        <v>#VALUE!</v>
      </c>
      <c r="CO81" s="16" t="e">
        <f aca="false">SUMIF(MatchData[team],MatchData[[#this row],[team]],MatchData[rock wall teleop crossings])+SUMIF(MatchData[team],MatchData[[#this row],[team]],MatchData[rock wall scored crossings])</f>
        <v>#VALUE!</v>
      </c>
      <c r="CP81" s="16" t="e">
        <f aca="false">SUMIF(MatchData[team],MatchData[[#this row],[team]],MatchData[rough terrain teleop crossings])+SUMIF(MatchData[team],MatchData[[#this row],[team]],MatchData[rough terrain scored crossings])</f>
        <v>#VALUE!</v>
      </c>
      <c r="CQ81" s="16" t="e">
        <f aca="false">SUMIF(MatchData[team],MatchData[[#this row],[team]],MatchData[low bar teleop crossings])+SUMIF(MatchData[team],MatchData[[#this row],[team]],MatchData[low bar scored crossings])</f>
        <v>#VALUE!</v>
      </c>
      <c r="CR81" s="16" t="e">
        <f aca="false">IFERROR(ROUND(MatchData[[#this row],[portcullis sum]]/MatchData[[#this row],[portcullis avail count]],2),0)</f>
        <v>#VALUE!</v>
      </c>
      <c r="CS81" s="16" t="e">
        <f aca="false">IFERROR(ROUND(MatchData[[#this row],[cheval sum]]/MatchData[[#this row],[cheval avail count]],2),0)</f>
        <v>#VALUE!</v>
      </c>
      <c r="CT81" s="16" t="e">
        <f aca="false">IFERROR(ROUND(MatchData[[#this row],[moat sum]]/MatchData[[#this row],[moat avail count]],2),0)</f>
        <v>#VALUE!</v>
      </c>
      <c r="CU81" s="16" t="e">
        <f aca="false">IFERROR(ROUND(MatchData[[#this row],[ramparts sum]]/MatchData[[#this row],[ramparts avail count]],2),0)</f>
        <v>#VALUE!</v>
      </c>
      <c r="CV81" s="16" t="e">
        <f aca="false">IFERROR(ROUND(MatchData[[#this row],[drawbridge sum]]/MatchData[[#this row],[drawbridge avail countigh6]],2),0)</f>
        <v>#VALUE!</v>
      </c>
      <c r="CW81" s="16" t="e">
        <f aca="false">IFERROR(ROUND(MatchData[[#this row],[sally port sum]]/MatchData[[#this row],[sally port avail count]],2),0)</f>
        <v>#VALUE!</v>
      </c>
      <c r="CX81" s="5" t="e">
        <f aca="false">IFERROR(ROUND(MatchData[[#this row],[rock wall sum]]/MatchData[[#this row],[rock wall avail count]],2),0)</f>
        <v>#VALUE!</v>
      </c>
      <c r="CY81" s="5" t="e">
        <f aca="false">IFERROR(ROUND(MatchData[[#this row],[rough terrain sum]]/MatchData[[#this row],[rough terrain avail count]],2),0)</f>
        <v>#VALUE!</v>
      </c>
      <c r="CZ81" s="5" t="e">
        <f aca="false">IFERROR(ROUND(MatchData[[#this row],[low bar sum]]/MatchData[[#this row],[low bar avail count]],2),0)</f>
        <v>#VALUE!</v>
      </c>
      <c r="DA81" s="16" t="e">
        <f aca="false">SUM(MatchData[[#this row],[cheval sum]:[low bar sum]])/MatchData[match count]</f>
        <v>#VALUE!</v>
      </c>
      <c r="DB81" s="16" t="n">
        <f aca="false">MAX(IF(C$2:C$74=C81,BP$2:BP$74))</f>
        <v>-1.79769313486232E+308</v>
      </c>
      <c r="DC81" s="16" t="e">
        <f aca="false">AVERAGEIF(MatchData[team],MatchData[[#this row],[team]],MatchData[total score])</f>
        <v>#VALUE!</v>
      </c>
      <c r="DD81" s="16" t="e">
        <f aca="false">ROUND(AVERAGEIF(MatchData[team],MatchData[team],MatchData[climb or challenge flag]),2)</f>
        <v>#VALUE!</v>
      </c>
    </row>
    <row r="82" customFormat="false" ht="14.5" hidden="false" customHeight="false" outlineLevel="0" collapsed="false">
      <c r="A82" s="17" t="s">
        <v>108</v>
      </c>
      <c r="B82" s="14" t="n">
        <v>14</v>
      </c>
      <c r="C82" s="15" t="n">
        <v>5468</v>
      </c>
      <c r="D82" s="5" t="s">
        <v>109</v>
      </c>
      <c r="E82" s="5" t="s">
        <v>119</v>
      </c>
      <c r="G82" s="16" t="n">
        <v>2</v>
      </c>
      <c r="I82" s="16"/>
      <c r="J82" s="5" t="n">
        <v>1</v>
      </c>
      <c r="K82" s="16" t="n">
        <v>1</v>
      </c>
      <c r="M82" s="5" t="n">
        <v>1</v>
      </c>
      <c r="N82" s="0"/>
      <c r="O82" s="5" t="n">
        <v>1</v>
      </c>
      <c r="P82" s="0"/>
      <c r="Q82" s="5" t="n">
        <v>1</v>
      </c>
      <c r="R82" s="0"/>
      <c r="S82" s="16"/>
      <c r="T82" s="0"/>
      <c r="U82" s="16"/>
      <c r="V82" s="16"/>
      <c r="W82" s="0"/>
      <c r="X82" s="0"/>
      <c r="AB82" s="5" t="n">
        <v>1</v>
      </c>
      <c r="AD82" s="16"/>
      <c r="AE82" s="5"/>
      <c r="AF82" s="16"/>
      <c r="AG82" s="16"/>
      <c r="AH82" s="16"/>
      <c r="AJ82" s="16"/>
      <c r="AL82" s="16"/>
      <c r="AN82" s="16"/>
      <c r="AP82" s="16"/>
      <c r="AQ82" s="5" t="n">
        <v>1</v>
      </c>
      <c r="AR82" s="16"/>
      <c r="AT82" s="16"/>
      <c r="AU82" s="16"/>
      <c r="AV82" s="16" t="n">
        <v>1</v>
      </c>
      <c r="AW82" s="16" t="n">
        <v>1</v>
      </c>
      <c r="AX82" s="16"/>
      <c r="AY82" s="16"/>
      <c r="AZ82" s="16"/>
      <c r="BB82" s="16" t="n">
        <v>1</v>
      </c>
      <c r="BC82" s="16" t="e">
        <f aca="false">MatchData[cheval scored crossings]*5</f>
        <v>#VALUE!</v>
      </c>
      <c r="BD82" s="16" t="e">
        <f aca="false">MatchData[moat scored crosings]*5</f>
        <v>#VALUE!</v>
      </c>
      <c r="BE82" s="16" t="e">
        <f aca="false">MatchData[ramparts scored crossings]*5</f>
        <v>#VALUE!</v>
      </c>
      <c r="BF82" s="16" t="e">
        <f aca="false">MatchData[drawbridge scored crossings]*5</f>
        <v>#VALUE!</v>
      </c>
      <c r="BG82" s="16" t="e">
        <f aca="false">MatchData[sally port scored crossings]*5</f>
        <v>#VALUE!</v>
      </c>
      <c r="BH82" s="16" t="e">
        <f aca="false">MatchData[rock wall scored crossings]*5</f>
        <v>#VALUE!</v>
      </c>
      <c r="BI82" s="16" t="e">
        <f aca="false">MatchData[rough terrain scored crossings]*5</f>
        <v>#VALUE!</v>
      </c>
      <c r="BJ82" s="16" t="e">
        <f aca="false">MatchData[low bar scored crossings]*5</f>
        <v>#VALUE!</v>
      </c>
      <c r="BK82" s="16" t="e">
        <f aca="false">SUM(MatchData[[#this row],[low bar teleop crossings]:[rough terrain scored crossings]])</f>
        <v>#VALUE!</v>
      </c>
      <c r="BL82" s="16" t="e">
        <f aca="false">IFERROR(IF(OR(MatchData[[#this row],[challenge flag]],MatchData[[#this row],[climb flag]]),1,0),0)</f>
        <v>#VALUE!</v>
      </c>
      <c r="BM82" s="16" t="e">
        <f aca="false">MatchData[auto high goals]*10+MatchData[teleop high goals]*5</f>
        <v>#VALUE!</v>
      </c>
      <c r="BN82" s="16" t="e">
        <f aca="false">MatchData[auto low goals]*5+MatchData[teleop low goals]*2</f>
        <v>#VALUE!</v>
      </c>
      <c r="BO82" s="16" t="e">
        <f aca="false">MatchData[high goal score]+MatchData[low goal score]</f>
        <v>#VALUE!</v>
      </c>
      <c r="BP82" s="16" t="e">
        <f aca="false">MatchData[teleop high goals]+MatchData[teleop low goals]</f>
        <v>#VALUE!</v>
      </c>
      <c r="BQ82" s="16" t="e">
        <f aca="false">MatchData[[#this row],[auto reach flag]]*2+SUM(MatchData[[#this row],[portcullis auto crossings]:[low bar auto crossings]])*10+MatchData[[#this row],[auto low goals]]*5+MatchData[auto high goals]*10</f>
        <v>#VALUE!</v>
      </c>
      <c r="BR82" s="16" t="e">
        <f aca="false">SUM(MatchData[[#this row],[cheval teleop crossing score]:[low bar teleop crossing score]])</f>
        <v>#VALUE!</v>
      </c>
      <c r="BS82" s="16" t="e">
        <f aca="false">SUMIF(MatchData[team],MatchData[[#this row],[team]],MatchData[total auto score])/MatchData[match count]</f>
        <v>#VALUE!</v>
      </c>
      <c r="BT82" s="16" t="e">
        <f aca="false">MatchData[challenge flag]*5</f>
        <v>#VALUE!</v>
      </c>
      <c r="BU82" s="16" t="e">
        <f aca="false">MatchData[climb flag]*15</f>
        <v>#VALUE!</v>
      </c>
      <c r="BV82" s="16" t="e">
        <f aca="false">SUM(MatchData[[#this row],[total goal score]],MatchData[[#this row],[crossing score]],MatchData[[#this row],[challenge score]],MatchData[[#this row],[climb score]],MatchData[[#this row],[total auto score]])</f>
        <v>#VALUE!</v>
      </c>
      <c r="BW82" s="16" t="e">
        <f aca="false">ROUND(SUMIF(MatchData[team],MatchData[[#this row],[team]],MatchData[teleop low goals])/COUNTIF(MatchData[team],MatchData[[#this row],[team]]),2)</f>
        <v>#VALUE!</v>
      </c>
      <c r="BX82" s="16" t="e">
        <f aca="false">ROUND(SUMIF(MatchData[team],MatchData[[#this row],[team]],MatchData[teleop high goals])/COUNTIF(MatchData[team],MatchData[[#this row],[team]]),2)</f>
        <v>#VALUE!</v>
      </c>
      <c r="BY82" s="16" t="e">
        <f aca="false">COUNTIF(MatchData[team],MatchData[[#this row],[team]])</f>
        <v>#VALUE!</v>
      </c>
      <c r="BZ82" s="16" t="e">
        <f aca="false">SUMIF(MatchData[team],MatchData[[#this row],[team]],MatchData[portcullis available])</f>
        <v>#VALUE!</v>
      </c>
      <c r="CA82" s="16" t="e">
        <f aca="false">SUMIF(MatchData[team],MatchData[[#this row],[team]],MatchData[cheval available])</f>
        <v>#VALUE!</v>
      </c>
      <c r="CB82" s="16" t="e">
        <f aca="false">SUMIF(MatchData[team],MatchData[[#this row],[team]],MatchData[moat available])</f>
        <v>#VALUE!</v>
      </c>
      <c r="CC82" s="16" t="e">
        <f aca="false">SUMIF(MatchData[team],MatchData[[#this row],[team]],MatchData[ramparts available])</f>
        <v>#VALUE!</v>
      </c>
      <c r="CD82" s="16" t="e">
        <f aca="false">SUMIF(MatchData[team],MatchData[[#this row],[team]],MatchData[drawbridge available])</f>
        <v>#VALUE!</v>
      </c>
      <c r="CE82" s="16" t="e">
        <f aca="false">SUMIF(MatchData[team],MatchData[[#this row],[team]],MatchData[sally port available])</f>
        <v>#VALUE!</v>
      </c>
      <c r="CF82" s="16" t="e">
        <f aca="false">SUMIF(MatchData[team],MatchData[[#this row],[team]],MatchData[rock wall available])</f>
        <v>#VALUE!</v>
      </c>
      <c r="CG82" s="16" t="e">
        <f aca="false">SUMIF(MatchData[team],MatchData[[#this row],[team]],MatchData[rough terrain available])</f>
        <v>#VALUE!</v>
      </c>
      <c r="CH82" s="16" t="e">
        <f aca="false">SUMIF(MatchData[team],MatchData[[#this row],[team]],MatchData[low bar available])</f>
        <v>#VALUE!</v>
      </c>
      <c r="CI82" s="16" t="e">
        <f aca="false">SUMIF(MatchData[team],MatchData[[#this row],[team]],MatchData[portcullis teleop crossings]:MatchData[portcullis scored crossings])</f>
        <v>#VALUE!</v>
      </c>
      <c r="CJ82" s="16" t="e">
        <f aca="false">SUMIF(MatchData[team],MatchData[[#this row],[team]],MatchData[cheval teleop crossings])+SUMIF(MatchData[team],MatchData[[#this row],[team]],MatchData[cheval scored crossings])</f>
        <v>#VALUE!</v>
      </c>
      <c r="CK82" s="16" t="e">
        <f aca="false">SUMIF(MatchData[team],MatchData[[#this row],[team]],MatchData[moat teleop crossings])+SUMIF(MatchData[team],MatchData[[#this row],[team]],MatchData[moat scored crosings])</f>
        <v>#VALUE!</v>
      </c>
      <c r="CL82" s="16" t="e">
        <f aca="false">SUMIF(MatchData[team],MatchData[[#this row],[team]],MatchData[ramparts teleop crossings])+SUMIF(MatchData[team],MatchData[[#this row],[team]],MatchData[ramparts scored crossings])</f>
        <v>#VALUE!</v>
      </c>
      <c r="CM82" s="16" t="e">
        <f aca="false">SUMIF(MatchData[team],MatchData[[#this row],[team]],MatchData[drawbridge teleop crossings])+SUMIF(MatchData[team],MatchData[[#this row],[team]],MatchData[drawbridge scored crossings])</f>
        <v>#VALUE!</v>
      </c>
      <c r="CN82" s="16" t="e">
        <f aca="false">SUMIF(MatchData[team],MatchData[[#this row],[team]],MatchData[sally port teleop crossings])+SUMIF(MatchData[team],MatchData[[#this row],[team]],MatchData[sally port scored crossings])</f>
        <v>#VALUE!</v>
      </c>
      <c r="CO82" s="16" t="e">
        <f aca="false">SUMIF(MatchData[team],MatchData[[#this row],[team]],MatchData[rock wall teleop crossings])+SUMIF(MatchData[team],MatchData[[#this row],[team]],MatchData[rock wall scored crossings])</f>
        <v>#VALUE!</v>
      </c>
      <c r="CP82" s="16" t="e">
        <f aca="false">SUMIF(MatchData[team],MatchData[[#this row],[team]],MatchData[rough terrain teleop crossings])+SUMIF(MatchData[team],MatchData[[#this row],[team]],MatchData[rough terrain scored crossings])</f>
        <v>#VALUE!</v>
      </c>
      <c r="CQ82" s="16" t="e">
        <f aca="false">SUMIF(MatchData[team],MatchData[[#this row],[team]],MatchData[low bar teleop crossings])+SUMIF(MatchData[team],MatchData[[#this row],[team]],MatchData[low bar scored crossings])</f>
        <v>#VALUE!</v>
      </c>
      <c r="CR82" s="16" t="e">
        <f aca="false">IFERROR(ROUND(MatchData[[#this row],[portcullis sum]]/MatchData[[#this row],[portcullis avail count]],2),0)</f>
        <v>#VALUE!</v>
      </c>
      <c r="CS82" s="16" t="e">
        <f aca="false">IFERROR(ROUND(MatchData[[#this row],[cheval sum]]/MatchData[[#this row],[cheval avail count]],2),0)</f>
        <v>#VALUE!</v>
      </c>
      <c r="CT82" s="16" t="e">
        <f aca="false">IFERROR(ROUND(MatchData[[#this row],[moat sum]]/MatchData[[#this row],[moat avail count]],2),0)</f>
        <v>#VALUE!</v>
      </c>
      <c r="CU82" s="16" t="e">
        <f aca="false">IFERROR(ROUND(MatchData[[#this row],[ramparts sum]]/MatchData[[#this row],[ramparts avail count]],2),0)</f>
        <v>#VALUE!</v>
      </c>
      <c r="CV82" s="16" t="e">
        <f aca="false">IFERROR(ROUND(MatchData[[#this row],[drawbridge sum]]/MatchData[[#this row],[drawbridge avail countigh6]],2),0)</f>
        <v>#VALUE!</v>
      </c>
      <c r="CW82" s="16" t="e">
        <f aca="false">IFERROR(ROUND(MatchData[[#this row],[sally port sum]]/MatchData[[#this row],[sally port avail count]],2),0)</f>
        <v>#VALUE!</v>
      </c>
      <c r="CX82" s="5" t="e">
        <f aca="false">IFERROR(ROUND(MatchData[[#this row],[rock wall sum]]/MatchData[[#this row],[rock wall avail count]],2),0)</f>
        <v>#VALUE!</v>
      </c>
      <c r="CY82" s="5" t="e">
        <f aca="false">IFERROR(ROUND(MatchData[[#this row],[rough terrain sum]]/MatchData[[#this row],[rough terrain avail count]],2),0)</f>
        <v>#VALUE!</v>
      </c>
      <c r="CZ82" s="5" t="e">
        <f aca="false">IFERROR(ROUND(MatchData[[#this row],[low bar sum]]/MatchData[[#this row],[low bar avail count]],2),0)</f>
        <v>#VALUE!</v>
      </c>
      <c r="DA82" s="16" t="e">
        <f aca="false">SUM(MatchData[[#this row],[cheval sum]:[low bar sum]])/MatchData[match count]</f>
        <v>#VALUE!</v>
      </c>
      <c r="DB82" s="16" t="n">
        <f aca="false">MAX(IF(C$2:C$74=C82,BP$2:BP$74))</f>
        <v>-1.79769313486232E+308</v>
      </c>
      <c r="DC82" s="16" t="e">
        <f aca="false">AVERAGEIF(MatchData[team],MatchData[[#this row],[team]],MatchData[total score])</f>
        <v>#VALUE!</v>
      </c>
      <c r="DD82" s="16" t="e">
        <f aca="false">ROUND(AVERAGEIF(MatchData[team],MatchData[team],MatchData[climb or challenge flag]),2)</f>
        <v>#VALUE!</v>
      </c>
    </row>
    <row r="83" customFormat="false" ht="14.5" hidden="false" customHeight="false" outlineLevel="0" collapsed="false">
      <c r="A83" s="13" t="s">
        <v>108</v>
      </c>
      <c r="B83" s="14" t="n">
        <v>14</v>
      </c>
      <c r="C83" s="15" t="n">
        <v>847</v>
      </c>
      <c r="D83" s="5" t="s">
        <v>113</v>
      </c>
      <c r="E83" s="5" t="s">
        <v>137</v>
      </c>
      <c r="G83" s="16"/>
      <c r="I83" s="16"/>
      <c r="J83" s="5" t="n">
        <v>1</v>
      </c>
      <c r="K83" s="16"/>
      <c r="L83" s="5" t="n">
        <v>1</v>
      </c>
      <c r="M83" s="5" t="n">
        <v>1</v>
      </c>
      <c r="N83" s="0"/>
      <c r="O83" s="5" t="n">
        <v>1</v>
      </c>
      <c r="P83" s="0"/>
      <c r="Q83" s="5" t="n">
        <v>1</v>
      </c>
      <c r="R83" s="0"/>
      <c r="S83" s="16"/>
      <c r="T83" s="0"/>
      <c r="U83" s="16"/>
      <c r="V83" s="16"/>
      <c r="W83" s="0"/>
      <c r="X83" s="0"/>
      <c r="AD83" s="16"/>
      <c r="AE83" s="5"/>
      <c r="AF83" s="16"/>
      <c r="AG83" s="16"/>
      <c r="AH83" s="16"/>
      <c r="AJ83" s="16"/>
      <c r="AL83" s="16"/>
      <c r="AN83" s="16"/>
      <c r="AP83" s="16"/>
      <c r="AR83" s="16" t="n">
        <v>1</v>
      </c>
      <c r="AT83" s="16"/>
      <c r="AU83" s="16"/>
      <c r="AV83" s="16"/>
      <c r="AW83" s="16"/>
      <c r="AX83" s="16"/>
      <c r="AY83" s="16"/>
      <c r="AZ83" s="16"/>
      <c r="BB83" s="16"/>
      <c r="BC83" s="16" t="e">
        <f aca="false">MatchData[cheval scored crossings]*5</f>
        <v>#VALUE!</v>
      </c>
      <c r="BD83" s="16" t="e">
        <f aca="false">MatchData[moat scored crosings]*5</f>
        <v>#VALUE!</v>
      </c>
      <c r="BE83" s="16" t="e">
        <f aca="false">MatchData[ramparts scored crossings]*5</f>
        <v>#VALUE!</v>
      </c>
      <c r="BF83" s="16" t="e">
        <f aca="false">MatchData[drawbridge scored crossings]*5</f>
        <v>#VALUE!</v>
      </c>
      <c r="BG83" s="16" t="e">
        <f aca="false">MatchData[sally port scored crossings]*5</f>
        <v>#VALUE!</v>
      </c>
      <c r="BH83" s="16" t="e">
        <f aca="false">MatchData[rock wall scored crossings]*5</f>
        <v>#VALUE!</v>
      </c>
      <c r="BI83" s="16" t="e">
        <f aca="false">MatchData[rough terrain scored crossings]*5</f>
        <v>#VALUE!</v>
      </c>
      <c r="BJ83" s="16" t="e">
        <f aca="false">MatchData[low bar scored crossings]*5</f>
        <v>#VALUE!</v>
      </c>
      <c r="BK83" s="16" t="e">
        <f aca="false">SUM(MatchData[[#this row],[low bar teleop crossings]:[rough terrain scored crossings]])</f>
        <v>#VALUE!</v>
      </c>
      <c r="BL83" s="16" t="e">
        <f aca="false">IFERROR(IF(OR(MatchData[[#this row],[challenge flag]],MatchData[[#this row],[climb flag]]),1,0),0)</f>
        <v>#VALUE!</v>
      </c>
      <c r="BM83" s="16" t="e">
        <f aca="false">MatchData[auto high goals]*10+MatchData[teleop high goals]*5</f>
        <v>#VALUE!</v>
      </c>
      <c r="BN83" s="16" t="e">
        <f aca="false">MatchData[auto low goals]*5+MatchData[teleop low goals]*2</f>
        <v>#VALUE!</v>
      </c>
      <c r="BO83" s="16" t="e">
        <f aca="false">MatchData[high goal score]+MatchData[low goal score]</f>
        <v>#VALUE!</v>
      </c>
      <c r="BP83" s="16" t="e">
        <f aca="false">MatchData[teleop high goals]+MatchData[teleop low goals]</f>
        <v>#VALUE!</v>
      </c>
      <c r="BQ83" s="16" t="e">
        <f aca="false">MatchData[[#this row],[auto reach flag]]*2+SUM(MatchData[[#this row],[portcullis auto crossings]:[low bar auto crossings]])*10+MatchData[[#this row],[auto low goals]]*5+MatchData[auto high goals]*10</f>
        <v>#VALUE!</v>
      </c>
      <c r="BR83" s="16" t="e">
        <f aca="false">SUM(MatchData[[#this row],[cheval teleop crossing score]:[low bar teleop crossing score]])</f>
        <v>#VALUE!</v>
      </c>
      <c r="BS83" s="16" t="e">
        <f aca="false">SUMIF(MatchData[team],MatchData[[#this row],[team]],MatchData[total auto score])/MatchData[match count]</f>
        <v>#VALUE!</v>
      </c>
      <c r="BT83" s="16" t="e">
        <f aca="false">MatchData[challenge flag]*5</f>
        <v>#VALUE!</v>
      </c>
      <c r="BU83" s="16" t="e">
        <f aca="false">MatchData[climb flag]*15</f>
        <v>#VALUE!</v>
      </c>
      <c r="BV83" s="16" t="e">
        <f aca="false">SUM(MatchData[[#this row],[total goal score]],MatchData[[#this row],[crossing score]],MatchData[[#this row],[challenge score]],MatchData[[#this row],[climb score]],MatchData[[#this row],[total auto score]])</f>
        <v>#VALUE!</v>
      </c>
      <c r="BW83" s="16" t="e">
        <f aca="false">ROUND(SUMIF(MatchData[team],MatchData[[#this row],[team]],MatchData[teleop low goals])/COUNTIF(MatchData[team],MatchData[[#this row],[team]]),2)</f>
        <v>#VALUE!</v>
      </c>
      <c r="BX83" s="16" t="e">
        <f aca="false">ROUND(SUMIF(MatchData[team],MatchData[[#this row],[team]],MatchData[teleop high goals])/COUNTIF(MatchData[team],MatchData[[#this row],[team]]),2)</f>
        <v>#VALUE!</v>
      </c>
      <c r="BY83" s="16" t="e">
        <f aca="false">COUNTIF(MatchData[team],MatchData[[#this row],[team]])</f>
        <v>#VALUE!</v>
      </c>
      <c r="BZ83" s="16" t="e">
        <f aca="false">SUMIF(MatchData[team],MatchData[[#this row],[team]],MatchData[portcullis available])</f>
        <v>#VALUE!</v>
      </c>
      <c r="CA83" s="16" t="e">
        <f aca="false">SUMIF(MatchData[team],MatchData[[#this row],[team]],MatchData[cheval available])</f>
        <v>#VALUE!</v>
      </c>
      <c r="CB83" s="16" t="e">
        <f aca="false">SUMIF(MatchData[team],MatchData[[#this row],[team]],MatchData[moat available])</f>
        <v>#VALUE!</v>
      </c>
      <c r="CC83" s="16" t="e">
        <f aca="false">SUMIF(MatchData[team],MatchData[[#this row],[team]],MatchData[ramparts available])</f>
        <v>#VALUE!</v>
      </c>
      <c r="CD83" s="16" t="e">
        <f aca="false">SUMIF(MatchData[team],MatchData[[#this row],[team]],MatchData[drawbridge available])</f>
        <v>#VALUE!</v>
      </c>
      <c r="CE83" s="16" t="e">
        <f aca="false">SUMIF(MatchData[team],MatchData[[#this row],[team]],MatchData[sally port available])</f>
        <v>#VALUE!</v>
      </c>
      <c r="CF83" s="16" t="e">
        <f aca="false">SUMIF(MatchData[team],MatchData[[#this row],[team]],MatchData[rock wall available])</f>
        <v>#VALUE!</v>
      </c>
      <c r="CG83" s="16" t="e">
        <f aca="false">SUMIF(MatchData[team],MatchData[[#this row],[team]],MatchData[rough terrain available])</f>
        <v>#VALUE!</v>
      </c>
      <c r="CH83" s="16" t="e">
        <f aca="false">SUMIF(MatchData[team],MatchData[[#this row],[team]],MatchData[low bar available])</f>
        <v>#VALUE!</v>
      </c>
      <c r="CI83" s="16" t="e">
        <f aca="false">SUMIF(MatchData[team],MatchData[[#this row],[team]],MatchData[portcullis teleop crossings]:MatchData[portcullis scored crossings])</f>
        <v>#VALUE!</v>
      </c>
      <c r="CJ83" s="16" t="e">
        <f aca="false">SUMIF(MatchData[team],MatchData[[#this row],[team]],MatchData[cheval teleop crossings])+SUMIF(MatchData[team],MatchData[[#this row],[team]],MatchData[cheval scored crossings])</f>
        <v>#VALUE!</v>
      </c>
      <c r="CK83" s="16" t="e">
        <f aca="false">SUMIF(MatchData[team],MatchData[[#this row],[team]],MatchData[moat teleop crossings])+SUMIF(MatchData[team],MatchData[[#this row],[team]],MatchData[moat scored crosings])</f>
        <v>#VALUE!</v>
      </c>
      <c r="CL83" s="16" t="e">
        <f aca="false">SUMIF(MatchData[team],MatchData[[#this row],[team]],MatchData[ramparts teleop crossings])+SUMIF(MatchData[team],MatchData[[#this row],[team]],MatchData[ramparts scored crossings])</f>
        <v>#VALUE!</v>
      </c>
      <c r="CM83" s="16" t="e">
        <f aca="false">SUMIF(MatchData[team],MatchData[[#this row],[team]],MatchData[drawbridge teleop crossings])+SUMIF(MatchData[team],MatchData[[#this row],[team]],MatchData[drawbridge scored crossings])</f>
        <v>#VALUE!</v>
      </c>
      <c r="CN83" s="16" t="e">
        <f aca="false">SUMIF(MatchData[team],MatchData[[#this row],[team]],MatchData[sally port teleop crossings])+SUMIF(MatchData[team],MatchData[[#this row],[team]],MatchData[sally port scored crossings])</f>
        <v>#VALUE!</v>
      </c>
      <c r="CO83" s="16" t="e">
        <f aca="false">SUMIF(MatchData[team],MatchData[[#this row],[team]],MatchData[rock wall teleop crossings])+SUMIF(MatchData[team],MatchData[[#this row],[team]],MatchData[rock wall scored crossings])</f>
        <v>#VALUE!</v>
      </c>
      <c r="CP83" s="16" t="e">
        <f aca="false">SUMIF(MatchData[team],MatchData[[#this row],[team]],MatchData[rough terrain teleop crossings])+SUMIF(MatchData[team],MatchData[[#this row],[team]],MatchData[rough terrain scored crossings])</f>
        <v>#VALUE!</v>
      </c>
      <c r="CQ83" s="16" t="e">
        <f aca="false">SUMIF(MatchData[team],MatchData[[#this row],[team]],MatchData[low bar teleop crossings])+SUMIF(MatchData[team],MatchData[[#this row],[team]],MatchData[low bar scored crossings])</f>
        <v>#VALUE!</v>
      </c>
      <c r="CR83" s="16" t="e">
        <f aca="false">IFERROR(ROUND(MatchData[[#this row],[portcullis sum]]/MatchData[[#this row],[portcullis avail count]],2),0)</f>
        <v>#VALUE!</v>
      </c>
      <c r="CS83" s="16" t="e">
        <f aca="false">IFERROR(ROUND(MatchData[[#this row],[cheval sum]]/MatchData[[#this row],[cheval avail count]],2),0)</f>
        <v>#VALUE!</v>
      </c>
      <c r="CT83" s="16" t="e">
        <f aca="false">IFERROR(ROUND(MatchData[[#this row],[moat sum]]/MatchData[[#this row],[moat avail count]],2),0)</f>
        <v>#VALUE!</v>
      </c>
      <c r="CU83" s="16" t="e">
        <f aca="false">IFERROR(ROUND(MatchData[[#this row],[ramparts sum]]/MatchData[[#this row],[ramparts avail count]],2),0)</f>
        <v>#VALUE!</v>
      </c>
      <c r="CV83" s="16" t="e">
        <f aca="false">IFERROR(ROUND(MatchData[[#this row],[drawbridge sum]]/MatchData[[#this row],[drawbridge avail countigh6]],2),0)</f>
        <v>#VALUE!</v>
      </c>
      <c r="CW83" s="16" t="e">
        <f aca="false">IFERROR(ROUND(MatchData[[#this row],[sally port sum]]/MatchData[[#this row],[sally port avail count]],2),0)</f>
        <v>#VALUE!</v>
      </c>
      <c r="CX83" s="5" t="e">
        <f aca="false">IFERROR(ROUND(MatchData[[#this row],[rock wall sum]]/MatchData[[#this row],[rock wall avail count]],2),0)</f>
        <v>#VALUE!</v>
      </c>
      <c r="CY83" s="5" t="e">
        <f aca="false">IFERROR(ROUND(MatchData[[#this row],[rough terrain sum]]/MatchData[[#this row],[rough terrain avail count]],2),0)</f>
        <v>#VALUE!</v>
      </c>
      <c r="CZ83" s="5" t="e">
        <f aca="false">IFERROR(ROUND(MatchData[[#this row],[low bar sum]]/MatchData[[#this row],[low bar avail count]],2),0)</f>
        <v>#VALUE!</v>
      </c>
      <c r="DA83" s="16" t="e">
        <f aca="false">SUM(MatchData[[#this row],[cheval sum]:[low bar sum]])/MatchData[match count]</f>
        <v>#VALUE!</v>
      </c>
      <c r="DB83" s="16" t="n">
        <f aca="false">MAX(IF(C$2:C$74=C83,BP$2:BP$74))</f>
        <v>-1.79769313486232E+308</v>
      </c>
      <c r="DC83" s="16" t="e">
        <f aca="false">AVERAGEIF(MatchData[team],MatchData[[#this row],[team]],MatchData[total score])</f>
        <v>#VALUE!</v>
      </c>
      <c r="DD83" s="16" t="e">
        <f aca="false">ROUND(AVERAGEIF(MatchData[team],MatchData[team],MatchData[climb or challenge flag]),2)</f>
        <v>#VALUE!</v>
      </c>
    </row>
    <row r="84" customFormat="false" ht="14.5" hidden="false" customHeight="false" outlineLevel="0" collapsed="false">
      <c r="A84" s="13" t="s">
        <v>108</v>
      </c>
      <c r="B84" s="14" t="n">
        <v>14</v>
      </c>
      <c r="C84" s="15" t="n">
        <v>2635</v>
      </c>
      <c r="D84" s="5" t="s">
        <v>113</v>
      </c>
      <c r="E84" s="5" t="s">
        <v>144</v>
      </c>
      <c r="G84" s="16"/>
      <c r="I84" s="16"/>
      <c r="J84" s="5" t="n">
        <v>1</v>
      </c>
      <c r="K84" s="16"/>
      <c r="L84" s="5" t="n">
        <v>1</v>
      </c>
      <c r="M84" s="5" t="n">
        <v>1</v>
      </c>
      <c r="N84" s="0"/>
      <c r="O84" s="5" t="n">
        <v>1</v>
      </c>
      <c r="P84" s="0"/>
      <c r="Q84" s="5" t="n">
        <v>1</v>
      </c>
      <c r="R84" s="0"/>
      <c r="S84" s="16"/>
      <c r="T84" s="0"/>
      <c r="U84" s="16"/>
      <c r="V84" s="16"/>
      <c r="W84" s="0"/>
      <c r="X84" s="0"/>
      <c r="AD84" s="16"/>
      <c r="AE84" s="5"/>
      <c r="AF84" s="16"/>
      <c r="AG84" s="16"/>
      <c r="AH84" s="16"/>
      <c r="AJ84" s="16"/>
      <c r="AL84" s="16"/>
      <c r="AN84" s="16"/>
      <c r="AP84" s="16"/>
      <c r="AR84" s="16"/>
      <c r="AT84" s="16"/>
      <c r="AU84" s="16"/>
      <c r="AV84" s="16"/>
      <c r="AW84" s="16"/>
      <c r="AX84" s="16"/>
      <c r="AY84" s="16"/>
      <c r="AZ84" s="16"/>
      <c r="BB84" s="16"/>
      <c r="BC84" s="16" t="e">
        <f aca="false">MatchData[cheval scored crossings]*5</f>
        <v>#VALUE!</v>
      </c>
      <c r="BD84" s="16" t="e">
        <f aca="false">MatchData[moat scored crosings]*5</f>
        <v>#VALUE!</v>
      </c>
      <c r="BE84" s="16" t="e">
        <f aca="false">MatchData[ramparts scored crossings]*5</f>
        <v>#VALUE!</v>
      </c>
      <c r="BF84" s="16" t="e">
        <f aca="false">MatchData[drawbridge scored crossings]*5</f>
        <v>#VALUE!</v>
      </c>
      <c r="BG84" s="16" t="e">
        <f aca="false">MatchData[sally port scored crossings]*5</f>
        <v>#VALUE!</v>
      </c>
      <c r="BH84" s="16" t="e">
        <f aca="false">MatchData[rock wall scored crossings]*5</f>
        <v>#VALUE!</v>
      </c>
      <c r="BI84" s="16" t="e">
        <f aca="false">MatchData[rough terrain scored crossings]*5</f>
        <v>#VALUE!</v>
      </c>
      <c r="BJ84" s="16" t="e">
        <f aca="false">MatchData[low bar scored crossings]*5</f>
        <v>#VALUE!</v>
      </c>
      <c r="BK84" s="16" t="e">
        <f aca="false">SUM(MatchData[[#this row],[low bar teleop crossings]:[rough terrain scored crossings]])</f>
        <v>#VALUE!</v>
      </c>
      <c r="BL84" s="16" t="e">
        <f aca="false">IFERROR(IF(OR(MatchData[[#this row],[challenge flag]],MatchData[[#this row],[climb flag]]),1,0),0)</f>
        <v>#VALUE!</v>
      </c>
      <c r="BM84" s="16" t="e">
        <f aca="false">MatchData[auto high goals]*10+MatchData[teleop high goals]*5</f>
        <v>#VALUE!</v>
      </c>
      <c r="BN84" s="16" t="e">
        <f aca="false">MatchData[auto low goals]*5+MatchData[teleop low goals]*2</f>
        <v>#VALUE!</v>
      </c>
      <c r="BO84" s="16" t="e">
        <f aca="false">MatchData[high goal score]+MatchData[low goal score]</f>
        <v>#VALUE!</v>
      </c>
      <c r="BP84" s="16" t="e">
        <f aca="false">MatchData[teleop high goals]+MatchData[teleop low goals]</f>
        <v>#VALUE!</v>
      </c>
      <c r="BQ84" s="16" t="e">
        <f aca="false">MatchData[[#this row],[auto reach flag]]*2+SUM(MatchData[[#this row],[portcullis auto crossings]:[low bar auto crossings]])*10+MatchData[[#this row],[auto low goals]]*5+MatchData[auto high goals]*10</f>
        <v>#VALUE!</v>
      </c>
      <c r="BR84" s="16" t="e">
        <f aca="false">SUM(MatchData[[#this row],[cheval teleop crossing score]:[low bar teleop crossing score]])</f>
        <v>#VALUE!</v>
      </c>
      <c r="BS84" s="16" t="e">
        <f aca="false">SUMIF(MatchData[team],MatchData[[#this row],[team]],MatchData[total auto score])/MatchData[match count]</f>
        <v>#VALUE!</v>
      </c>
      <c r="BT84" s="16" t="e">
        <f aca="false">MatchData[challenge flag]*5</f>
        <v>#VALUE!</v>
      </c>
      <c r="BU84" s="16" t="e">
        <f aca="false">MatchData[climb flag]*15</f>
        <v>#VALUE!</v>
      </c>
      <c r="BV84" s="16" t="e">
        <f aca="false">SUM(MatchData[[#this row],[total goal score]],MatchData[[#this row],[crossing score]],MatchData[[#this row],[challenge score]],MatchData[[#this row],[climb score]],MatchData[[#this row],[total auto score]])</f>
        <v>#VALUE!</v>
      </c>
      <c r="BW84" s="16" t="e">
        <f aca="false">ROUND(SUMIF(MatchData[team],MatchData[[#this row],[team]],MatchData[teleop low goals])/COUNTIF(MatchData[team],MatchData[[#this row],[team]]),2)</f>
        <v>#VALUE!</v>
      </c>
      <c r="BX84" s="16" t="e">
        <f aca="false">ROUND(SUMIF(MatchData[team],MatchData[[#this row],[team]],MatchData[teleop high goals])/COUNTIF(MatchData[team],MatchData[[#this row],[team]]),2)</f>
        <v>#VALUE!</v>
      </c>
      <c r="BY84" s="16" t="e">
        <f aca="false">COUNTIF(MatchData[team],MatchData[[#this row],[team]])</f>
        <v>#VALUE!</v>
      </c>
      <c r="BZ84" s="16" t="e">
        <f aca="false">SUMIF(MatchData[team],MatchData[[#this row],[team]],MatchData[portcullis available])</f>
        <v>#VALUE!</v>
      </c>
      <c r="CA84" s="16" t="e">
        <f aca="false">SUMIF(MatchData[team],MatchData[[#this row],[team]],MatchData[cheval available])</f>
        <v>#VALUE!</v>
      </c>
      <c r="CB84" s="16" t="e">
        <f aca="false">SUMIF(MatchData[team],MatchData[[#this row],[team]],MatchData[moat available])</f>
        <v>#VALUE!</v>
      </c>
      <c r="CC84" s="16" t="e">
        <f aca="false">SUMIF(MatchData[team],MatchData[[#this row],[team]],MatchData[ramparts available])</f>
        <v>#VALUE!</v>
      </c>
      <c r="CD84" s="16" t="e">
        <f aca="false">SUMIF(MatchData[team],MatchData[[#this row],[team]],MatchData[drawbridge available])</f>
        <v>#VALUE!</v>
      </c>
      <c r="CE84" s="16" t="e">
        <f aca="false">SUMIF(MatchData[team],MatchData[[#this row],[team]],MatchData[sally port available])</f>
        <v>#VALUE!</v>
      </c>
      <c r="CF84" s="16" t="e">
        <f aca="false">SUMIF(MatchData[team],MatchData[[#this row],[team]],MatchData[rock wall available])</f>
        <v>#VALUE!</v>
      </c>
      <c r="CG84" s="16" t="e">
        <f aca="false">SUMIF(MatchData[team],MatchData[[#this row],[team]],MatchData[rough terrain available])</f>
        <v>#VALUE!</v>
      </c>
      <c r="CH84" s="16" t="e">
        <f aca="false">SUMIF(MatchData[team],MatchData[[#this row],[team]],MatchData[low bar available])</f>
        <v>#VALUE!</v>
      </c>
      <c r="CI84" s="16" t="e">
        <f aca="false">SUMIF(MatchData[team],MatchData[[#this row],[team]],MatchData[portcullis teleop crossings]:MatchData[portcullis scored crossings])</f>
        <v>#VALUE!</v>
      </c>
      <c r="CJ84" s="16" t="e">
        <f aca="false">SUMIF(MatchData[team],MatchData[[#this row],[team]],MatchData[cheval teleop crossings])+SUMIF(MatchData[team],MatchData[[#this row],[team]],MatchData[cheval scored crossings])</f>
        <v>#VALUE!</v>
      </c>
      <c r="CK84" s="16" t="e">
        <f aca="false">SUMIF(MatchData[team],MatchData[[#this row],[team]],MatchData[moat teleop crossings])+SUMIF(MatchData[team],MatchData[[#this row],[team]],MatchData[moat scored crosings])</f>
        <v>#VALUE!</v>
      </c>
      <c r="CL84" s="16" t="e">
        <f aca="false">SUMIF(MatchData[team],MatchData[[#this row],[team]],MatchData[ramparts teleop crossings])+SUMIF(MatchData[team],MatchData[[#this row],[team]],MatchData[ramparts scored crossings])</f>
        <v>#VALUE!</v>
      </c>
      <c r="CM84" s="16" t="e">
        <f aca="false">SUMIF(MatchData[team],MatchData[[#this row],[team]],MatchData[drawbridge teleop crossings])+SUMIF(MatchData[team],MatchData[[#this row],[team]],MatchData[drawbridge scored crossings])</f>
        <v>#VALUE!</v>
      </c>
      <c r="CN84" s="16" t="e">
        <f aca="false">SUMIF(MatchData[team],MatchData[[#this row],[team]],MatchData[sally port teleop crossings])+SUMIF(MatchData[team],MatchData[[#this row],[team]],MatchData[sally port scored crossings])</f>
        <v>#VALUE!</v>
      </c>
      <c r="CO84" s="16" t="e">
        <f aca="false">SUMIF(MatchData[team],MatchData[[#this row],[team]],MatchData[rock wall teleop crossings])+SUMIF(MatchData[team],MatchData[[#this row],[team]],MatchData[rock wall scored crossings])</f>
        <v>#VALUE!</v>
      </c>
      <c r="CP84" s="16" t="e">
        <f aca="false">SUMIF(MatchData[team],MatchData[[#this row],[team]],MatchData[rough terrain teleop crossings])+SUMIF(MatchData[team],MatchData[[#this row],[team]],MatchData[rough terrain scored crossings])</f>
        <v>#VALUE!</v>
      </c>
      <c r="CQ84" s="16" t="e">
        <f aca="false">SUMIF(MatchData[team],MatchData[[#this row],[team]],MatchData[low bar teleop crossings])+SUMIF(MatchData[team],MatchData[[#this row],[team]],MatchData[low bar scored crossings])</f>
        <v>#VALUE!</v>
      </c>
      <c r="CR84" s="16" t="e">
        <f aca="false">IFERROR(ROUND(MatchData[[#this row],[portcullis sum]]/MatchData[[#this row],[portcullis avail count]],2),0)</f>
        <v>#VALUE!</v>
      </c>
      <c r="CS84" s="16" t="e">
        <f aca="false">IFERROR(ROUND(MatchData[[#this row],[cheval sum]]/MatchData[[#this row],[cheval avail count]],2),0)</f>
        <v>#VALUE!</v>
      </c>
      <c r="CT84" s="16" t="e">
        <f aca="false">IFERROR(ROUND(MatchData[[#this row],[moat sum]]/MatchData[[#this row],[moat avail count]],2),0)</f>
        <v>#VALUE!</v>
      </c>
      <c r="CU84" s="16" t="e">
        <f aca="false">IFERROR(ROUND(MatchData[[#this row],[ramparts sum]]/MatchData[[#this row],[ramparts avail count]],2),0)</f>
        <v>#VALUE!</v>
      </c>
      <c r="CV84" s="16" t="e">
        <f aca="false">IFERROR(ROUND(MatchData[[#this row],[drawbridge sum]]/MatchData[[#this row],[drawbridge avail countigh6]],2),0)</f>
        <v>#VALUE!</v>
      </c>
      <c r="CW84" s="16" t="e">
        <f aca="false">IFERROR(ROUND(MatchData[[#this row],[sally port sum]]/MatchData[[#this row],[sally port avail count]],2),0)</f>
        <v>#VALUE!</v>
      </c>
      <c r="CX84" s="5" t="e">
        <f aca="false">IFERROR(ROUND(MatchData[[#this row],[rock wall sum]]/MatchData[[#this row],[rock wall avail count]],2),0)</f>
        <v>#VALUE!</v>
      </c>
      <c r="CY84" s="5" t="e">
        <f aca="false">IFERROR(ROUND(MatchData[[#this row],[rough terrain sum]]/MatchData[[#this row],[rough terrain avail count]],2),0)</f>
        <v>#VALUE!</v>
      </c>
      <c r="CZ84" s="5" t="e">
        <f aca="false">IFERROR(ROUND(MatchData[[#this row],[low bar sum]]/MatchData[[#this row],[low bar avail count]],2),0)</f>
        <v>#VALUE!</v>
      </c>
      <c r="DA84" s="16" t="e">
        <f aca="false">SUM(MatchData[[#this row],[cheval sum]:[low bar sum]])/MatchData[match count]</f>
        <v>#VALUE!</v>
      </c>
      <c r="DB84" s="16" t="n">
        <f aca="false">MAX(IF(C$2:C$74=C84,BP$2:BP$74))</f>
        <v>-1.79769313486232E+308</v>
      </c>
      <c r="DC84" s="16" t="e">
        <f aca="false">AVERAGEIF(MatchData[team],MatchData[[#this row],[team]],MatchData[total score])</f>
        <v>#VALUE!</v>
      </c>
      <c r="DD84" s="16" t="e">
        <f aca="false">ROUND(AVERAGEIF(MatchData[team],MatchData[team],MatchData[climb or challenge flag]),2)</f>
        <v>#VALUE!</v>
      </c>
    </row>
    <row r="85" customFormat="false" ht="14.5" hidden="false" customHeight="false" outlineLevel="0" collapsed="false">
      <c r="A85" s="17" t="s">
        <v>108</v>
      </c>
      <c r="B85" s="18" t="n">
        <v>14</v>
      </c>
      <c r="C85" s="15" t="n">
        <v>4051</v>
      </c>
      <c r="D85" s="5" t="s">
        <v>113</v>
      </c>
      <c r="E85" s="5" t="s">
        <v>110</v>
      </c>
      <c r="G85" s="16"/>
      <c r="I85" s="16"/>
      <c r="J85" s="5" t="n">
        <v>1</v>
      </c>
      <c r="K85" s="16"/>
      <c r="L85" s="5" t="n">
        <v>1</v>
      </c>
      <c r="M85" s="5" t="n">
        <v>1</v>
      </c>
      <c r="N85" s="0"/>
      <c r="O85" s="5" t="n">
        <v>1</v>
      </c>
      <c r="P85" s="0"/>
      <c r="Q85" s="5" t="n">
        <v>1</v>
      </c>
      <c r="R85" s="0"/>
      <c r="S85" s="16"/>
      <c r="T85" s="0"/>
      <c r="U85" s="16"/>
      <c r="V85" s="16"/>
      <c r="W85" s="0"/>
      <c r="X85" s="0"/>
      <c r="AD85" s="16"/>
      <c r="AE85" s="5"/>
      <c r="AF85" s="16"/>
      <c r="AG85" s="16"/>
      <c r="AH85" s="16"/>
      <c r="AJ85" s="16"/>
      <c r="AL85" s="16"/>
      <c r="AN85" s="16"/>
      <c r="AP85" s="16"/>
      <c r="AR85" s="16"/>
      <c r="AT85" s="16"/>
      <c r="AU85" s="16"/>
      <c r="AV85" s="16"/>
      <c r="AW85" s="16"/>
      <c r="AX85" s="16"/>
      <c r="AY85" s="16"/>
      <c r="AZ85" s="16"/>
      <c r="BB85" s="16"/>
      <c r="BC85" s="16" t="e">
        <f aca="false">MatchData[cheval scored crossings]*5</f>
        <v>#VALUE!</v>
      </c>
      <c r="BD85" s="16" t="e">
        <f aca="false">MatchData[moat scored crosings]*5</f>
        <v>#VALUE!</v>
      </c>
      <c r="BE85" s="16" t="e">
        <f aca="false">MatchData[ramparts scored crossings]*5</f>
        <v>#VALUE!</v>
      </c>
      <c r="BF85" s="16" t="e">
        <f aca="false">MatchData[drawbridge scored crossings]*5</f>
        <v>#VALUE!</v>
      </c>
      <c r="BG85" s="16" t="e">
        <f aca="false">MatchData[sally port scored crossings]*5</f>
        <v>#VALUE!</v>
      </c>
      <c r="BH85" s="16" t="e">
        <f aca="false">MatchData[rock wall scored crossings]*5</f>
        <v>#VALUE!</v>
      </c>
      <c r="BI85" s="16" t="e">
        <f aca="false">MatchData[rough terrain scored crossings]*5</f>
        <v>#VALUE!</v>
      </c>
      <c r="BJ85" s="16" t="e">
        <f aca="false">MatchData[low bar scored crossings]*5</f>
        <v>#VALUE!</v>
      </c>
      <c r="BK85" s="16" t="e">
        <f aca="false">SUM(MatchData[[#this row],[low bar teleop crossings]:[rough terrain scored crossings]])</f>
        <v>#VALUE!</v>
      </c>
      <c r="BL85" s="16" t="e">
        <f aca="false">IFERROR(IF(OR(MatchData[[#this row],[challenge flag]],MatchData[[#this row],[climb flag]]),1,0),0)</f>
        <v>#VALUE!</v>
      </c>
      <c r="BM85" s="16" t="e">
        <f aca="false">MatchData[auto high goals]*10+MatchData[teleop high goals]*5</f>
        <v>#VALUE!</v>
      </c>
      <c r="BN85" s="16" t="e">
        <f aca="false">MatchData[auto low goals]*5+MatchData[teleop low goals]*2</f>
        <v>#VALUE!</v>
      </c>
      <c r="BO85" s="16" t="e">
        <f aca="false">MatchData[high goal score]+MatchData[low goal score]</f>
        <v>#VALUE!</v>
      </c>
      <c r="BP85" s="16" t="e">
        <f aca="false">MatchData[teleop high goals]+MatchData[teleop low goals]</f>
        <v>#VALUE!</v>
      </c>
      <c r="BQ85" s="16" t="e">
        <f aca="false">MatchData[[#this row],[auto reach flag]]*2+SUM(MatchData[[#this row],[portcullis auto crossings]:[low bar auto crossings]])*10+MatchData[[#this row],[auto low goals]]*5+MatchData[auto high goals]*10</f>
        <v>#VALUE!</v>
      </c>
      <c r="BR85" s="16" t="e">
        <f aca="false">SUM(MatchData[[#this row],[cheval teleop crossing score]:[low bar teleop crossing score]])</f>
        <v>#VALUE!</v>
      </c>
      <c r="BS85" s="16" t="e">
        <f aca="false">SUMIF(MatchData[team],MatchData[[#this row],[team]],MatchData[total auto score])/MatchData[match count]</f>
        <v>#VALUE!</v>
      </c>
      <c r="BT85" s="16" t="e">
        <f aca="false">MatchData[challenge flag]*5</f>
        <v>#VALUE!</v>
      </c>
      <c r="BU85" s="16" t="e">
        <f aca="false">MatchData[climb flag]*15</f>
        <v>#VALUE!</v>
      </c>
      <c r="BV85" s="16" t="e">
        <f aca="false">SUM(MatchData[[#this row],[total goal score]],MatchData[[#this row],[crossing score]],MatchData[[#this row],[challenge score]],MatchData[[#this row],[climb score]],MatchData[[#this row],[total auto score]])</f>
        <v>#VALUE!</v>
      </c>
      <c r="BW85" s="16" t="e">
        <f aca="false">ROUND(SUMIF(MatchData[team],MatchData[[#this row],[team]],MatchData[teleop low goals])/COUNTIF(MatchData[team],MatchData[[#this row],[team]]),2)</f>
        <v>#VALUE!</v>
      </c>
      <c r="BX85" s="16" t="e">
        <f aca="false">ROUND(SUMIF(MatchData[team],MatchData[[#this row],[team]],MatchData[teleop high goals])/COUNTIF(MatchData[team],MatchData[[#this row],[team]]),2)</f>
        <v>#VALUE!</v>
      </c>
      <c r="BY85" s="16" t="e">
        <f aca="false">COUNTIF(MatchData[team],MatchData[[#this row],[team]])</f>
        <v>#VALUE!</v>
      </c>
      <c r="BZ85" s="16" t="e">
        <f aca="false">SUMIF(MatchData[team],MatchData[[#this row],[team]],MatchData[portcullis available])</f>
        <v>#VALUE!</v>
      </c>
      <c r="CA85" s="16" t="e">
        <f aca="false">SUMIF(MatchData[team],MatchData[[#this row],[team]],MatchData[cheval available])</f>
        <v>#VALUE!</v>
      </c>
      <c r="CB85" s="16" t="e">
        <f aca="false">SUMIF(MatchData[team],MatchData[[#this row],[team]],MatchData[moat available])</f>
        <v>#VALUE!</v>
      </c>
      <c r="CC85" s="16" t="e">
        <f aca="false">SUMIF(MatchData[team],MatchData[[#this row],[team]],MatchData[ramparts available])</f>
        <v>#VALUE!</v>
      </c>
      <c r="CD85" s="16" t="e">
        <f aca="false">SUMIF(MatchData[team],MatchData[[#this row],[team]],MatchData[drawbridge available])</f>
        <v>#VALUE!</v>
      </c>
      <c r="CE85" s="16" t="e">
        <f aca="false">SUMIF(MatchData[team],MatchData[[#this row],[team]],MatchData[sally port available])</f>
        <v>#VALUE!</v>
      </c>
      <c r="CF85" s="16" t="e">
        <f aca="false">SUMIF(MatchData[team],MatchData[[#this row],[team]],MatchData[rock wall available])</f>
        <v>#VALUE!</v>
      </c>
      <c r="CG85" s="16" t="e">
        <f aca="false">SUMIF(MatchData[team],MatchData[[#this row],[team]],MatchData[rough terrain available])</f>
        <v>#VALUE!</v>
      </c>
      <c r="CH85" s="16" t="e">
        <f aca="false">SUMIF(MatchData[team],MatchData[[#this row],[team]],MatchData[low bar available])</f>
        <v>#VALUE!</v>
      </c>
      <c r="CI85" s="16" t="e">
        <f aca="false">SUMIF(MatchData[team],MatchData[[#this row],[team]],MatchData[portcullis teleop crossings]:MatchData[portcullis scored crossings])</f>
        <v>#VALUE!</v>
      </c>
      <c r="CJ85" s="16" t="e">
        <f aca="false">SUMIF(MatchData[team],MatchData[[#this row],[team]],MatchData[cheval teleop crossings])+SUMIF(MatchData[team],MatchData[[#this row],[team]],MatchData[cheval scored crossings])</f>
        <v>#VALUE!</v>
      </c>
      <c r="CK85" s="16" t="e">
        <f aca="false">SUMIF(MatchData[team],MatchData[[#this row],[team]],MatchData[moat teleop crossings])+SUMIF(MatchData[team],MatchData[[#this row],[team]],MatchData[moat scored crosings])</f>
        <v>#VALUE!</v>
      </c>
      <c r="CL85" s="16" t="e">
        <f aca="false">SUMIF(MatchData[team],MatchData[[#this row],[team]],MatchData[ramparts teleop crossings])+SUMIF(MatchData[team],MatchData[[#this row],[team]],MatchData[ramparts scored crossings])</f>
        <v>#VALUE!</v>
      </c>
      <c r="CM85" s="16" t="e">
        <f aca="false">SUMIF(MatchData[team],MatchData[[#this row],[team]],MatchData[drawbridge teleop crossings])+SUMIF(MatchData[team],MatchData[[#this row],[team]],MatchData[drawbridge scored crossings])</f>
        <v>#VALUE!</v>
      </c>
      <c r="CN85" s="16" t="e">
        <f aca="false">SUMIF(MatchData[team],MatchData[[#this row],[team]],MatchData[sally port teleop crossings])+SUMIF(MatchData[team],MatchData[[#this row],[team]],MatchData[sally port scored crossings])</f>
        <v>#VALUE!</v>
      </c>
      <c r="CO85" s="16" t="e">
        <f aca="false">SUMIF(MatchData[team],MatchData[[#this row],[team]],MatchData[rock wall teleop crossings])+SUMIF(MatchData[team],MatchData[[#this row],[team]],MatchData[rock wall scored crossings])</f>
        <v>#VALUE!</v>
      </c>
      <c r="CP85" s="16" t="e">
        <f aca="false">SUMIF(MatchData[team],MatchData[[#this row],[team]],MatchData[rough terrain teleop crossings])+SUMIF(MatchData[team],MatchData[[#this row],[team]],MatchData[rough terrain scored crossings])</f>
        <v>#VALUE!</v>
      </c>
      <c r="CQ85" s="16" t="e">
        <f aca="false">SUMIF(MatchData[team],MatchData[[#this row],[team]],MatchData[low bar teleop crossings])+SUMIF(MatchData[team],MatchData[[#this row],[team]],MatchData[low bar scored crossings])</f>
        <v>#VALUE!</v>
      </c>
      <c r="CR85" s="16" t="e">
        <f aca="false">IFERROR(ROUND(MatchData[[#this row],[portcullis sum]]/MatchData[[#this row],[portcullis avail count]],2),0)</f>
        <v>#VALUE!</v>
      </c>
      <c r="CS85" s="16" t="e">
        <f aca="false">IFERROR(ROUND(MatchData[[#this row],[cheval sum]]/MatchData[[#this row],[cheval avail count]],2),0)</f>
        <v>#VALUE!</v>
      </c>
      <c r="CT85" s="16" t="e">
        <f aca="false">IFERROR(ROUND(MatchData[[#this row],[moat sum]]/MatchData[[#this row],[moat avail count]],2),0)</f>
        <v>#VALUE!</v>
      </c>
      <c r="CU85" s="16" t="e">
        <f aca="false">IFERROR(ROUND(MatchData[[#this row],[ramparts sum]]/MatchData[[#this row],[ramparts avail count]],2),0)</f>
        <v>#VALUE!</v>
      </c>
      <c r="CV85" s="16" t="e">
        <f aca="false">IFERROR(ROUND(MatchData[[#this row],[drawbridge sum]]/MatchData[[#this row],[drawbridge avail countigh6]],2),0)</f>
        <v>#VALUE!</v>
      </c>
      <c r="CW85" s="16" t="e">
        <f aca="false">IFERROR(ROUND(MatchData[[#this row],[sally port sum]]/MatchData[[#this row],[sally port avail count]],2),0)</f>
        <v>#VALUE!</v>
      </c>
      <c r="CX85" s="5" t="e">
        <f aca="false">IFERROR(ROUND(MatchData[[#this row],[rock wall sum]]/MatchData[[#this row],[rock wall avail count]],2),0)</f>
        <v>#VALUE!</v>
      </c>
      <c r="CY85" s="5" t="e">
        <f aca="false">IFERROR(ROUND(MatchData[[#this row],[rough terrain sum]]/MatchData[[#this row],[rough terrain avail count]],2),0)</f>
        <v>#VALUE!</v>
      </c>
      <c r="CZ85" s="5" t="e">
        <f aca="false">IFERROR(ROUND(MatchData[[#this row],[low bar sum]]/MatchData[[#this row],[low bar avail count]],2),0)</f>
        <v>#VALUE!</v>
      </c>
      <c r="DA85" s="16" t="e">
        <f aca="false">SUM(MatchData[[#this row],[cheval sum]:[low bar sum]])/MatchData[match count]</f>
        <v>#VALUE!</v>
      </c>
      <c r="DB85" s="16" t="n">
        <f aca="false">MAX(IF(C$2:C$74=C85,BP$2:BP$74))</f>
        <v>-1.79769313486232E+308</v>
      </c>
      <c r="DC85" s="16" t="e">
        <f aca="false">AVERAGEIF(MatchData[team],MatchData[[#this row],[team]],MatchData[total score])</f>
        <v>#VALUE!</v>
      </c>
      <c r="DD85" s="16" t="e">
        <f aca="false">ROUND(AVERAGEIF(MatchData[team],MatchData[team],MatchData[climb or challenge flag]),2)</f>
        <v>#VALUE!</v>
      </c>
    </row>
    <row r="86" customFormat="false" ht="14.5" hidden="false" customHeight="false" outlineLevel="0" collapsed="false">
      <c r="A86" s="13" t="s">
        <v>108</v>
      </c>
      <c r="B86" s="14" t="n">
        <v>15</v>
      </c>
      <c r="C86" s="15" t="n">
        <v>2374</v>
      </c>
      <c r="D86" s="5" t="s">
        <v>109</v>
      </c>
      <c r="E86" s="5" t="s">
        <v>137</v>
      </c>
      <c r="G86" s="16"/>
      <c r="I86" s="16"/>
      <c r="J86" s="5" t="n">
        <v>1</v>
      </c>
      <c r="K86" s="16"/>
      <c r="L86" s="5" t="n">
        <v>1</v>
      </c>
      <c r="N86" s="5" t="n">
        <v>1</v>
      </c>
      <c r="O86" s="5" t="n">
        <v>1</v>
      </c>
      <c r="P86" s="0"/>
      <c r="Q86" s="5" t="n">
        <v>1</v>
      </c>
      <c r="R86" s="0"/>
      <c r="S86" s="16"/>
      <c r="T86" s="0"/>
      <c r="U86" s="16"/>
      <c r="V86" s="16"/>
      <c r="W86" s="0"/>
      <c r="X86" s="0"/>
      <c r="AD86" s="16"/>
      <c r="AE86" s="5"/>
      <c r="AF86" s="16"/>
      <c r="AG86" s="16"/>
      <c r="AH86" s="16"/>
      <c r="AJ86" s="16"/>
      <c r="AL86" s="16" t="n">
        <v>2</v>
      </c>
      <c r="AN86" s="16"/>
      <c r="AP86" s="16"/>
      <c r="AR86" s="16" t="n">
        <v>1</v>
      </c>
      <c r="AT86" s="16"/>
      <c r="AU86" s="16"/>
      <c r="AV86" s="16" t="n">
        <v>1</v>
      </c>
      <c r="AW86" s="16"/>
      <c r="AX86" s="16"/>
      <c r="AY86" s="16"/>
      <c r="AZ86" s="16"/>
      <c r="BB86" s="16" t="n">
        <v>1</v>
      </c>
      <c r="BC86" s="16" t="e">
        <f aca="false">MatchData[cheval scored crossings]*5</f>
        <v>#VALUE!</v>
      </c>
      <c r="BD86" s="16" t="e">
        <f aca="false">MatchData[moat scored crosings]*5</f>
        <v>#VALUE!</v>
      </c>
      <c r="BE86" s="16" t="e">
        <f aca="false">MatchData[ramparts scored crossings]*5</f>
        <v>#VALUE!</v>
      </c>
      <c r="BF86" s="16" t="e">
        <f aca="false">MatchData[drawbridge scored crossings]*5</f>
        <v>#VALUE!</v>
      </c>
      <c r="BG86" s="16" t="e">
        <f aca="false">MatchData[sally port scored crossings]*5</f>
        <v>#VALUE!</v>
      </c>
      <c r="BH86" s="16" t="e">
        <f aca="false">MatchData[rock wall scored crossings]*5</f>
        <v>#VALUE!</v>
      </c>
      <c r="BI86" s="16" t="e">
        <f aca="false">MatchData[rough terrain scored crossings]*5</f>
        <v>#VALUE!</v>
      </c>
      <c r="BJ86" s="16" t="e">
        <f aca="false">MatchData[low bar scored crossings]*5</f>
        <v>#VALUE!</v>
      </c>
      <c r="BK86" s="16" t="e">
        <f aca="false">SUM(MatchData[[#this row],[low bar teleop crossings]:[rough terrain scored crossings]])</f>
        <v>#VALUE!</v>
      </c>
      <c r="BL86" s="16" t="e">
        <f aca="false">IFERROR(IF(OR(MatchData[[#this row],[challenge flag]],MatchData[[#this row],[climb flag]]),1,0),0)</f>
        <v>#VALUE!</v>
      </c>
      <c r="BM86" s="16" t="e">
        <f aca="false">MatchData[auto high goals]*10+MatchData[teleop high goals]*5</f>
        <v>#VALUE!</v>
      </c>
      <c r="BN86" s="16" t="e">
        <f aca="false">MatchData[auto low goals]*5+MatchData[teleop low goals]*2</f>
        <v>#VALUE!</v>
      </c>
      <c r="BO86" s="16" t="e">
        <f aca="false">MatchData[high goal score]+MatchData[low goal score]</f>
        <v>#VALUE!</v>
      </c>
      <c r="BP86" s="16" t="e">
        <f aca="false">MatchData[teleop high goals]+MatchData[teleop low goals]</f>
        <v>#VALUE!</v>
      </c>
      <c r="BQ86" s="16" t="e">
        <f aca="false">MatchData[[#this row],[auto reach flag]]*2+SUM(MatchData[[#this row],[portcullis auto crossings]:[low bar auto crossings]])*10+MatchData[[#this row],[auto low goals]]*5+MatchData[auto high goals]*10</f>
        <v>#VALUE!</v>
      </c>
      <c r="BR86" s="16" t="e">
        <f aca="false">SUM(MatchData[[#this row],[cheval teleop crossing score]:[low bar teleop crossing score]])</f>
        <v>#VALUE!</v>
      </c>
      <c r="BS86" s="16" t="e">
        <f aca="false">SUMIF(MatchData[team],MatchData[[#this row],[team]],MatchData[total auto score])/MatchData[match count]</f>
        <v>#VALUE!</v>
      </c>
      <c r="BT86" s="16" t="e">
        <f aca="false">MatchData[challenge flag]*5</f>
        <v>#VALUE!</v>
      </c>
      <c r="BU86" s="16" t="e">
        <f aca="false">MatchData[climb flag]*15</f>
        <v>#VALUE!</v>
      </c>
      <c r="BV86" s="16" t="e">
        <f aca="false">SUM(MatchData[[#this row],[total goal score]],MatchData[[#this row],[crossing score]],MatchData[[#this row],[challenge score]],MatchData[[#this row],[climb score]],MatchData[[#this row],[total auto score]])</f>
        <v>#VALUE!</v>
      </c>
      <c r="BW86" s="16" t="e">
        <f aca="false">ROUND(SUMIF(MatchData[team],MatchData[[#this row],[team]],MatchData[teleop low goals])/COUNTIF(MatchData[team],MatchData[[#this row],[team]]),2)</f>
        <v>#VALUE!</v>
      </c>
      <c r="BX86" s="16" t="e">
        <f aca="false">ROUND(SUMIF(MatchData[team],MatchData[[#this row],[team]],MatchData[teleop high goals])/COUNTIF(MatchData[team],MatchData[[#this row],[team]]),2)</f>
        <v>#VALUE!</v>
      </c>
      <c r="BY86" s="16" t="e">
        <f aca="false">COUNTIF(MatchData[team],MatchData[[#this row],[team]])</f>
        <v>#VALUE!</v>
      </c>
      <c r="BZ86" s="16" t="e">
        <f aca="false">SUMIF(MatchData[team],MatchData[[#this row],[team]],MatchData[portcullis available])</f>
        <v>#VALUE!</v>
      </c>
      <c r="CA86" s="16" t="e">
        <f aca="false">SUMIF(MatchData[team],MatchData[[#this row],[team]],MatchData[cheval available])</f>
        <v>#VALUE!</v>
      </c>
      <c r="CB86" s="16" t="e">
        <f aca="false">SUMIF(MatchData[team],MatchData[[#this row],[team]],MatchData[moat available])</f>
        <v>#VALUE!</v>
      </c>
      <c r="CC86" s="16" t="e">
        <f aca="false">SUMIF(MatchData[team],MatchData[[#this row],[team]],MatchData[ramparts available])</f>
        <v>#VALUE!</v>
      </c>
      <c r="CD86" s="16" t="e">
        <f aca="false">SUMIF(MatchData[team],MatchData[[#this row],[team]],MatchData[drawbridge available])</f>
        <v>#VALUE!</v>
      </c>
      <c r="CE86" s="16" t="e">
        <f aca="false">SUMIF(MatchData[team],MatchData[[#this row],[team]],MatchData[sally port available])</f>
        <v>#VALUE!</v>
      </c>
      <c r="CF86" s="16" t="e">
        <f aca="false">SUMIF(MatchData[team],MatchData[[#this row],[team]],MatchData[rock wall available])</f>
        <v>#VALUE!</v>
      </c>
      <c r="CG86" s="16" t="e">
        <f aca="false">SUMIF(MatchData[team],MatchData[[#this row],[team]],MatchData[rough terrain available])</f>
        <v>#VALUE!</v>
      </c>
      <c r="CH86" s="16" t="e">
        <f aca="false">SUMIF(MatchData[team],MatchData[[#this row],[team]],MatchData[low bar available])</f>
        <v>#VALUE!</v>
      </c>
      <c r="CI86" s="16" t="e">
        <f aca="false">SUMIF(MatchData[team],MatchData[[#this row],[team]],MatchData[portcullis teleop crossings]:MatchData[portcullis scored crossings])</f>
        <v>#VALUE!</v>
      </c>
      <c r="CJ86" s="16" t="e">
        <f aca="false">SUMIF(MatchData[team],MatchData[[#this row],[team]],MatchData[cheval teleop crossings])+SUMIF(MatchData[team],MatchData[[#this row],[team]],MatchData[cheval scored crossings])</f>
        <v>#VALUE!</v>
      </c>
      <c r="CK86" s="16" t="e">
        <f aca="false">SUMIF(MatchData[team],MatchData[[#this row],[team]],MatchData[moat teleop crossings])+SUMIF(MatchData[team],MatchData[[#this row],[team]],MatchData[moat scored crosings])</f>
        <v>#VALUE!</v>
      </c>
      <c r="CL86" s="16" t="e">
        <f aca="false">SUMIF(MatchData[team],MatchData[[#this row],[team]],MatchData[ramparts teleop crossings])+SUMIF(MatchData[team],MatchData[[#this row],[team]],MatchData[ramparts scored crossings])</f>
        <v>#VALUE!</v>
      </c>
      <c r="CM86" s="16" t="e">
        <f aca="false">SUMIF(MatchData[team],MatchData[[#this row],[team]],MatchData[drawbridge teleop crossings])+SUMIF(MatchData[team],MatchData[[#this row],[team]],MatchData[drawbridge scored crossings])</f>
        <v>#VALUE!</v>
      </c>
      <c r="CN86" s="16" t="e">
        <f aca="false">SUMIF(MatchData[team],MatchData[[#this row],[team]],MatchData[sally port teleop crossings])+SUMIF(MatchData[team],MatchData[[#this row],[team]],MatchData[sally port scored crossings])</f>
        <v>#VALUE!</v>
      </c>
      <c r="CO86" s="16" t="e">
        <f aca="false">SUMIF(MatchData[team],MatchData[[#this row],[team]],MatchData[rock wall teleop crossings])+SUMIF(MatchData[team],MatchData[[#this row],[team]],MatchData[rock wall scored crossings])</f>
        <v>#VALUE!</v>
      </c>
      <c r="CP86" s="16" t="e">
        <f aca="false">SUMIF(MatchData[team],MatchData[[#this row],[team]],MatchData[rough terrain teleop crossings])+SUMIF(MatchData[team],MatchData[[#this row],[team]],MatchData[rough terrain scored crossings])</f>
        <v>#VALUE!</v>
      </c>
      <c r="CQ86" s="16" t="e">
        <f aca="false">SUMIF(MatchData[team],MatchData[[#this row],[team]],MatchData[low bar teleop crossings])+SUMIF(MatchData[team],MatchData[[#this row],[team]],MatchData[low bar scored crossings])</f>
        <v>#VALUE!</v>
      </c>
      <c r="CR86" s="16" t="e">
        <f aca="false">IFERROR(ROUND(MatchData[[#this row],[portcullis sum]]/MatchData[[#this row],[portcullis avail count]],2),0)</f>
        <v>#VALUE!</v>
      </c>
      <c r="CS86" s="16" t="e">
        <f aca="false">IFERROR(ROUND(MatchData[[#this row],[cheval sum]]/MatchData[[#this row],[cheval avail count]],2),0)</f>
        <v>#VALUE!</v>
      </c>
      <c r="CT86" s="16" t="e">
        <f aca="false">IFERROR(ROUND(MatchData[[#this row],[moat sum]]/MatchData[[#this row],[moat avail count]],2),0)</f>
        <v>#VALUE!</v>
      </c>
      <c r="CU86" s="16" t="e">
        <f aca="false">IFERROR(ROUND(MatchData[[#this row],[ramparts sum]]/MatchData[[#this row],[ramparts avail count]],2),0)</f>
        <v>#VALUE!</v>
      </c>
      <c r="CV86" s="16" t="e">
        <f aca="false">IFERROR(ROUND(MatchData[[#this row],[drawbridge sum]]/MatchData[[#this row],[drawbridge avail countigh6]],2),0)</f>
        <v>#VALUE!</v>
      </c>
      <c r="CW86" s="16" t="e">
        <f aca="false">IFERROR(ROUND(MatchData[[#this row],[sally port sum]]/MatchData[[#this row],[sally port avail count]],2),0)</f>
        <v>#VALUE!</v>
      </c>
      <c r="CX86" s="5" t="e">
        <f aca="false">IFERROR(ROUND(MatchData[[#this row],[rock wall sum]]/MatchData[[#this row],[rock wall avail count]],2),0)</f>
        <v>#VALUE!</v>
      </c>
      <c r="CY86" s="5" t="e">
        <f aca="false">IFERROR(ROUND(MatchData[[#this row],[rough terrain sum]]/MatchData[[#this row],[rough terrain avail count]],2),0)</f>
        <v>#VALUE!</v>
      </c>
      <c r="CZ86" s="5" t="e">
        <f aca="false">IFERROR(ROUND(MatchData[[#this row],[low bar sum]]/MatchData[[#this row],[low bar avail count]],2),0)</f>
        <v>#VALUE!</v>
      </c>
      <c r="DA86" s="16" t="e">
        <f aca="false">SUM(MatchData[[#this row],[cheval sum]:[low bar sum]])/MatchData[match count]</f>
        <v>#VALUE!</v>
      </c>
      <c r="DB86" s="16" t="n">
        <f aca="false">MAX(IF(C$2:C$74=C86,BP$2:BP$74))</f>
        <v>-1.79769313486232E+308</v>
      </c>
      <c r="DC86" s="16" t="e">
        <f aca="false">AVERAGEIF(MatchData[team],MatchData[[#this row],[team]],MatchData[total score])</f>
        <v>#VALUE!</v>
      </c>
      <c r="DD86" s="16" t="e">
        <f aca="false">ROUND(AVERAGEIF(MatchData[team],MatchData[team],MatchData[climb or challenge flag]),2)</f>
        <v>#VALUE!</v>
      </c>
    </row>
    <row r="87" customFormat="false" ht="14.5" hidden="false" customHeight="false" outlineLevel="0" collapsed="false">
      <c r="A87" s="13" t="s">
        <v>108</v>
      </c>
      <c r="B87" s="14" t="n">
        <v>15</v>
      </c>
      <c r="C87" s="15" t="n">
        <v>2811</v>
      </c>
      <c r="D87" s="5" t="s">
        <v>109</v>
      </c>
      <c r="E87" s="5" t="s">
        <v>110</v>
      </c>
      <c r="G87" s="16"/>
      <c r="I87" s="16"/>
      <c r="J87" s="5" t="n">
        <v>1</v>
      </c>
      <c r="K87" s="16"/>
      <c r="L87" s="5" t="n">
        <v>1</v>
      </c>
      <c r="N87" s="5" t="n">
        <v>1</v>
      </c>
      <c r="O87" s="5" t="n">
        <v>1</v>
      </c>
      <c r="P87" s="0"/>
      <c r="Q87" s="5" t="n">
        <v>1</v>
      </c>
      <c r="R87" s="0"/>
      <c r="S87" s="16"/>
      <c r="T87" s="0"/>
      <c r="U87" s="16"/>
      <c r="V87" s="16"/>
      <c r="W87" s="0"/>
      <c r="X87" s="0"/>
      <c r="AB87" s="5" t="n">
        <v>1</v>
      </c>
      <c r="AD87" s="16" t="n">
        <v>1</v>
      </c>
      <c r="AE87" s="5"/>
      <c r="AF87" s="16"/>
      <c r="AG87" s="16"/>
      <c r="AH87" s="16"/>
      <c r="AJ87" s="16"/>
      <c r="AL87" s="16"/>
      <c r="AN87" s="16" t="n">
        <v>1</v>
      </c>
      <c r="AP87" s="16"/>
      <c r="AR87" s="16" t="n">
        <v>2</v>
      </c>
      <c r="AT87" s="16"/>
      <c r="AU87" s="16"/>
      <c r="AV87" s="16"/>
      <c r="AW87" s="16" t="n">
        <v>1</v>
      </c>
      <c r="AX87" s="16"/>
      <c r="AY87" s="16"/>
      <c r="AZ87" s="16" t="n">
        <v>1</v>
      </c>
      <c r="BB87" s="16"/>
      <c r="BC87" s="16" t="e">
        <f aca="false">MatchData[cheval scored crossings]*5</f>
        <v>#VALUE!</v>
      </c>
      <c r="BD87" s="16" t="e">
        <f aca="false">MatchData[moat scored crosings]*5</f>
        <v>#VALUE!</v>
      </c>
      <c r="BE87" s="16" t="e">
        <f aca="false">MatchData[ramparts scored crossings]*5</f>
        <v>#VALUE!</v>
      </c>
      <c r="BF87" s="16" t="e">
        <f aca="false">MatchData[drawbridge scored crossings]*5</f>
        <v>#VALUE!</v>
      </c>
      <c r="BG87" s="16" t="e">
        <f aca="false">MatchData[sally port scored crossings]*5</f>
        <v>#VALUE!</v>
      </c>
      <c r="BH87" s="16" t="e">
        <f aca="false">MatchData[rock wall scored crossings]*5</f>
        <v>#VALUE!</v>
      </c>
      <c r="BI87" s="16" t="e">
        <f aca="false">MatchData[rough terrain scored crossings]*5</f>
        <v>#VALUE!</v>
      </c>
      <c r="BJ87" s="16" t="e">
        <f aca="false">MatchData[low bar scored crossings]*5</f>
        <v>#VALUE!</v>
      </c>
      <c r="BK87" s="16" t="e">
        <f aca="false">SUM(MatchData[[#this row],[low bar teleop crossings]:[rough terrain scored crossings]])</f>
        <v>#VALUE!</v>
      </c>
      <c r="BL87" s="16" t="e">
        <f aca="false">IFERROR(IF(OR(MatchData[[#this row],[challenge flag]],MatchData[[#this row],[climb flag]]),1,0),0)</f>
        <v>#VALUE!</v>
      </c>
      <c r="BM87" s="16" t="e">
        <f aca="false">MatchData[auto high goals]*10+MatchData[teleop high goals]*5</f>
        <v>#VALUE!</v>
      </c>
      <c r="BN87" s="16" t="e">
        <f aca="false">MatchData[auto low goals]*5+MatchData[teleop low goals]*2</f>
        <v>#VALUE!</v>
      </c>
      <c r="BO87" s="16" t="e">
        <f aca="false">MatchData[high goal score]+MatchData[low goal score]</f>
        <v>#VALUE!</v>
      </c>
      <c r="BP87" s="16" t="e">
        <f aca="false">MatchData[teleop high goals]+MatchData[teleop low goals]</f>
        <v>#VALUE!</v>
      </c>
      <c r="BQ87" s="16" t="e">
        <f aca="false">MatchData[[#this row],[auto reach flag]]*2+SUM(MatchData[[#this row],[portcullis auto crossings]:[low bar auto crossings]])*10+MatchData[[#this row],[auto low goals]]*5+MatchData[auto high goals]*10</f>
        <v>#VALUE!</v>
      </c>
      <c r="BR87" s="16" t="e">
        <f aca="false">SUM(MatchData[[#this row],[cheval teleop crossing score]:[low bar teleop crossing score]])</f>
        <v>#VALUE!</v>
      </c>
      <c r="BS87" s="16" t="e">
        <f aca="false">SUMIF(MatchData[team],MatchData[[#this row],[team]],MatchData[total auto score])/MatchData[match count]</f>
        <v>#VALUE!</v>
      </c>
      <c r="BT87" s="16" t="e">
        <f aca="false">MatchData[challenge flag]*5</f>
        <v>#VALUE!</v>
      </c>
      <c r="BU87" s="16" t="e">
        <f aca="false">MatchData[climb flag]*15</f>
        <v>#VALUE!</v>
      </c>
      <c r="BV87" s="16" t="e">
        <f aca="false">SUM(MatchData[[#this row],[total goal score]],MatchData[[#this row],[crossing score]],MatchData[[#this row],[challenge score]],MatchData[[#this row],[climb score]],MatchData[[#this row],[total auto score]])</f>
        <v>#VALUE!</v>
      </c>
      <c r="BW87" s="16" t="e">
        <f aca="false">ROUND(SUMIF(MatchData[team],MatchData[[#this row],[team]],MatchData[teleop low goals])/COUNTIF(MatchData[team],MatchData[[#this row],[team]]),2)</f>
        <v>#VALUE!</v>
      </c>
      <c r="BX87" s="16" t="e">
        <f aca="false">ROUND(SUMIF(MatchData[team],MatchData[[#this row],[team]],MatchData[teleop high goals])/COUNTIF(MatchData[team],MatchData[[#this row],[team]]),2)</f>
        <v>#VALUE!</v>
      </c>
      <c r="BY87" s="16" t="e">
        <f aca="false">COUNTIF(MatchData[team],MatchData[[#this row],[team]])</f>
        <v>#VALUE!</v>
      </c>
      <c r="BZ87" s="16" t="e">
        <f aca="false">SUMIF(MatchData[team],MatchData[[#this row],[team]],MatchData[portcullis available])</f>
        <v>#VALUE!</v>
      </c>
      <c r="CA87" s="16" t="e">
        <f aca="false">SUMIF(MatchData[team],MatchData[[#this row],[team]],MatchData[cheval available])</f>
        <v>#VALUE!</v>
      </c>
      <c r="CB87" s="16" t="e">
        <f aca="false">SUMIF(MatchData[team],MatchData[[#this row],[team]],MatchData[moat available])</f>
        <v>#VALUE!</v>
      </c>
      <c r="CC87" s="16" t="e">
        <f aca="false">SUMIF(MatchData[team],MatchData[[#this row],[team]],MatchData[ramparts available])</f>
        <v>#VALUE!</v>
      </c>
      <c r="CD87" s="16" t="e">
        <f aca="false">SUMIF(MatchData[team],MatchData[[#this row],[team]],MatchData[drawbridge available])</f>
        <v>#VALUE!</v>
      </c>
      <c r="CE87" s="16" t="e">
        <f aca="false">SUMIF(MatchData[team],MatchData[[#this row],[team]],MatchData[sally port available])</f>
        <v>#VALUE!</v>
      </c>
      <c r="CF87" s="16" t="e">
        <f aca="false">SUMIF(MatchData[team],MatchData[[#this row],[team]],MatchData[rock wall available])</f>
        <v>#VALUE!</v>
      </c>
      <c r="CG87" s="16" t="e">
        <f aca="false">SUMIF(MatchData[team],MatchData[[#this row],[team]],MatchData[rough terrain available])</f>
        <v>#VALUE!</v>
      </c>
      <c r="CH87" s="16" t="e">
        <f aca="false">SUMIF(MatchData[team],MatchData[[#this row],[team]],MatchData[low bar available])</f>
        <v>#VALUE!</v>
      </c>
      <c r="CI87" s="16" t="e">
        <f aca="false">SUMIF(MatchData[team],MatchData[[#this row],[team]],MatchData[portcullis teleop crossings]:MatchData[portcullis scored crossings])</f>
        <v>#VALUE!</v>
      </c>
      <c r="CJ87" s="16" t="e">
        <f aca="false">SUMIF(MatchData[team],MatchData[[#this row],[team]],MatchData[cheval teleop crossings])+SUMIF(MatchData[team],MatchData[[#this row],[team]],MatchData[cheval scored crossings])</f>
        <v>#VALUE!</v>
      </c>
      <c r="CK87" s="16" t="e">
        <f aca="false">SUMIF(MatchData[team],MatchData[[#this row],[team]],MatchData[moat teleop crossings])+SUMIF(MatchData[team],MatchData[[#this row],[team]],MatchData[moat scored crosings])</f>
        <v>#VALUE!</v>
      </c>
      <c r="CL87" s="16" t="e">
        <f aca="false">SUMIF(MatchData[team],MatchData[[#this row],[team]],MatchData[ramparts teleop crossings])+SUMIF(MatchData[team],MatchData[[#this row],[team]],MatchData[ramparts scored crossings])</f>
        <v>#VALUE!</v>
      </c>
      <c r="CM87" s="16" t="e">
        <f aca="false">SUMIF(MatchData[team],MatchData[[#this row],[team]],MatchData[drawbridge teleop crossings])+SUMIF(MatchData[team],MatchData[[#this row],[team]],MatchData[drawbridge scored crossings])</f>
        <v>#VALUE!</v>
      </c>
      <c r="CN87" s="16" t="e">
        <f aca="false">SUMIF(MatchData[team],MatchData[[#this row],[team]],MatchData[sally port teleop crossings])+SUMIF(MatchData[team],MatchData[[#this row],[team]],MatchData[sally port scored crossings])</f>
        <v>#VALUE!</v>
      </c>
      <c r="CO87" s="16" t="e">
        <f aca="false">SUMIF(MatchData[team],MatchData[[#this row],[team]],MatchData[rock wall teleop crossings])+SUMIF(MatchData[team],MatchData[[#this row],[team]],MatchData[rock wall scored crossings])</f>
        <v>#VALUE!</v>
      </c>
      <c r="CP87" s="16" t="e">
        <f aca="false">SUMIF(MatchData[team],MatchData[[#this row],[team]],MatchData[rough terrain teleop crossings])+SUMIF(MatchData[team],MatchData[[#this row],[team]],MatchData[rough terrain scored crossings])</f>
        <v>#VALUE!</v>
      </c>
      <c r="CQ87" s="16" t="e">
        <f aca="false">SUMIF(MatchData[team],MatchData[[#this row],[team]],MatchData[low bar teleop crossings])+SUMIF(MatchData[team],MatchData[[#this row],[team]],MatchData[low bar scored crossings])</f>
        <v>#VALUE!</v>
      </c>
      <c r="CR87" s="16" t="e">
        <f aca="false">IFERROR(ROUND(MatchData[[#this row],[portcullis sum]]/MatchData[[#this row],[portcullis avail count]],2),0)</f>
        <v>#VALUE!</v>
      </c>
      <c r="CS87" s="16" t="e">
        <f aca="false">IFERROR(ROUND(MatchData[[#this row],[cheval sum]]/MatchData[[#this row],[cheval avail count]],2),0)</f>
        <v>#VALUE!</v>
      </c>
      <c r="CT87" s="16" t="e">
        <f aca="false">IFERROR(ROUND(MatchData[[#this row],[moat sum]]/MatchData[[#this row],[moat avail count]],2),0)</f>
        <v>#VALUE!</v>
      </c>
      <c r="CU87" s="16" t="e">
        <f aca="false">IFERROR(ROUND(MatchData[[#this row],[ramparts sum]]/MatchData[[#this row],[ramparts avail count]],2),0)</f>
        <v>#VALUE!</v>
      </c>
      <c r="CV87" s="16" t="e">
        <f aca="false">IFERROR(ROUND(MatchData[[#this row],[drawbridge sum]]/MatchData[[#this row],[drawbridge avail countigh6]],2),0)</f>
        <v>#VALUE!</v>
      </c>
      <c r="CW87" s="16" t="e">
        <f aca="false">IFERROR(ROUND(MatchData[[#this row],[sally port sum]]/MatchData[[#this row],[sally port avail count]],2),0)</f>
        <v>#VALUE!</v>
      </c>
      <c r="CX87" s="5" t="e">
        <f aca="false">IFERROR(ROUND(MatchData[[#this row],[rock wall sum]]/MatchData[[#this row],[rock wall avail count]],2),0)</f>
        <v>#VALUE!</v>
      </c>
      <c r="CY87" s="5" t="e">
        <f aca="false">IFERROR(ROUND(MatchData[[#this row],[rough terrain sum]]/MatchData[[#this row],[rough terrain avail count]],2),0)</f>
        <v>#VALUE!</v>
      </c>
      <c r="CZ87" s="5" t="e">
        <f aca="false">IFERROR(ROUND(MatchData[[#this row],[low bar sum]]/MatchData[[#this row],[low bar avail count]],2),0)</f>
        <v>#VALUE!</v>
      </c>
      <c r="DA87" s="16" t="e">
        <f aca="false">SUM(MatchData[[#this row],[cheval sum]:[low bar sum]])/MatchData[match count]</f>
        <v>#VALUE!</v>
      </c>
      <c r="DB87" s="16" t="n">
        <f aca="false">MAX(IF(C$2:C$74=C87,BP$2:BP$74))</f>
        <v>-1.79769313486232E+308</v>
      </c>
      <c r="DC87" s="16" t="e">
        <f aca="false">AVERAGEIF(MatchData[team],MatchData[[#this row],[team]],MatchData[total score])</f>
        <v>#VALUE!</v>
      </c>
      <c r="DD87" s="16" t="e">
        <f aca="false">ROUND(AVERAGEIF(MatchData[team],MatchData[team],MatchData[climb or challenge flag]),2)</f>
        <v>#VALUE!</v>
      </c>
    </row>
    <row r="88" customFormat="false" ht="14.5" hidden="false" customHeight="false" outlineLevel="0" collapsed="false">
      <c r="A88" s="17" t="s">
        <v>108</v>
      </c>
      <c r="B88" s="18" t="n">
        <v>15</v>
      </c>
      <c r="C88" s="15" t="n">
        <v>3812</v>
      </c>
      <c r="D88" s="5" t="s">
        <v>109</v>
      </c>
      <c r="E88" s="5" t="s">
        <v>144</v>
      </c>
      <c r="G88" s="16"/>
      <c r="I88" s="16"/>
      <c r="J88" s="0"/>
      <c r="K88" s="16"/>
      <c r="N88" s="0"/>
      <c r="O88" s="0"/>
      <c r="P88" s="0"/>
      <c r="Q88" s="0"/>
      <c r="R88" s="0"/>
      <c r="S88" s="16"/>
      <c r="T88" s="0"/>
      <c r="U88" s="16"/>
      <c r="V88" s="16"/>
      <c r="W88" s="0"/>
      <c r="X88" s="0"/>
      <c r="AD88" s="16"/>
      <c r="AE88" s="5"/>
      <c r="AF88" s="16"/>
      <c r="AG88" s="16"/>
      <c r="AH88" s="16"/>
      <c r="AJ88" s="16"/>
      <c r="AL88" s="16"/>
      <c r="AN88" s="16"/>
      <c r="AP88" s="16"/>
      <c r="AR88" s="16"/>
      <c r="AT88" s="16"/>
      <c r="AU88" s="16"/>
      <c r="AV88" s="16"/>
      <c r="AW88" s="16"/>
      <c r="AX88" s="16"/>
      <c r="AY88" s="16"/>
      <c r="AZ88" s="16"/>
      <c r="BB88" s="16"/>
      <c r="BC88" s="16" t="e">
        <f aca="false">MatchData[cheval scored crossings]*5</f>
        <v>#VALUE!</v>
      </c>
      <c r="BD88" s="16" t="e">
        <f aca="false">MatchData[moat scored crosings]*5</f>
        <v>#VALUE!</v>
      </c>
      <c r="BE88" s="16" t="e">
        <f aca="false">MatchData[ramparts scored crossings]*5</f>
        <v>#VALUE!</v>
      </c>
      <c r="BF88" s="16" t="e">
        <f aca="false">MatchData[drawbridge scored crossings]*5</f>
        <v>#VALUE!</v>
      </c>
      <c r="BG88" s="16" t="e">
        <f aca="false">MatchData[sally port scored crossings]*5</f>
        <v>#VALUE!</v>
      </c>
      <c r="BH88" s="16" t="e">
        <f aca="false">MatchData[rock wall scored crossings]*5</f>
        <v>#VALUE!</v>
      </c>
      <c r="BI88" s="16" t="e">
        <f aca="false">MatchData[rough terrain scored crossings]*5</f>
        <v>#VALUE!</v>
      </c>
      <c r="BJ88" s="16" t="e">
        <f aca="false">MatchData[low bar scored crossings]*5</f>
        <v>#VALUE!</v>
      </c>
      <c r="BK88" s="16" t="e">
        <f aca="false">SUM(MatchData[[#this row],[low bar teleop crossings]:[rough terrain scored crossings]])</f>
        <v>#VALUE!</v>
      </c>
      <c r="BL88" s="16" t="e">
        <f aca="false">IFERROR(IF(OR(MatchData[[#this row],[challenge flag]],MatchData[[#this row],[climb flag]]),1,0),0)</f>
        <v>#VALUE!</v>
      </c>
      <c r="BM88" s="16" t="e">
        <f aca="false">MatchData[auto high goals]*10+MatchData[teleop high goals]*5</f>
        <v>#VALUE!</v>
      </c>
      <c r="BN88" s="16" t="e">
        <f aca="false">MatchData[auto low goals]*5+MatchData[teleop low goals]*2</f>
        <v>#VALUE!</v>
      </c>
      <c r="BO88" s="16" t="e">
        <f aca="false">MatchData[high goal score]+MatchData[low goal score]</f>
        <v>#VALUE!</v>
      </c>
      <c r="BP88" s="16" t="e">
        <f aca="false">MatchData[teleop high goals]+MatchData[teleop low goals]</f>
        <v>#VALUE!</v>
      </c>
      <c r="BQ88" s="16" t="e">
        <f aca="false">MatchData[[#this row],[auto reach flag]]*2+SUM(MatchData[[#this row],[portcullis auto crossings]:[low bar auto crossings]])*10+MatchData[[#this row],[auto low goals]]*5+MatchData[auto high goals]*10</f>
        <v>#VALUE!</v>
      </c>
      <c r="BR88" s="16" t="e">
        <f aca="false">SUM(MatchData[[#this row],[cheval teleop crossing score]:[low bar teleop crossing score]])</f>
        <v>#VALUE!</v>
      </c>
      <c r="BS88" s="16" t="e">
        <f aca="false">SUMIF(MatchData[team],MatchData[[#this row],[team]],MatchData[total auto score])/MatchData[match count]</f>
        <v>#VALUE!</v>
      </c>
      <c r="BT88" s="16" t="e">
        <f aca="false">MatchData[challenge flag]*5</f>
        <v>#VALUE!</v>
      </c>
      <c r="BU88" s="16" t="e">
        <f aca="false">MatchData[climb flag]*15</f>
        <v>#VALUE!</v>
      </c>
      <c r="BV88" s="16" t="e">
        <f aca="false">SUM(MatchData[[#this row],[total goal score]],MatchData[[#this row],[crossing score]],MatchData[[#this row],[challenge score]],MatchData[[#this row],[climb score]],MatchData[[#this row],[total auto score]])</f>
        <v>#VALUE!</v>
      </c>
      <c r="BW88" s="16" t="e">
        <f aca="false">ROUND(SUMIF(MatchData[team],MatchData[[#this row],[team]],MatchData[teleop low goals])/COUNTIF(MatchData[team],MatchData[[#this row],[team]]),2)</f>
        <v>#VALUE!</v>
      </c>
      <c r="BX88" s="16" t="e">
        <f aca="false">ROUND(SUMIF(MatchData[team],MatchData[[#this row],[team]],MatchData[teleop high goals])/COUNTIF(MatchData[team],MatchData[[#this row],[team]]),2)</f>
        <v>#VALUE!</v>
      </c>
      <c r="BY88" s="16" t="e">
        <f aca="false">COUNTIF(MatchData[team],MatchData[[#this row],[team]])</f>
        <v>#VALUE!</v>
      </c>
      <c r="BZ88" s="16" t="e">
        <f aca="false">SUMIF(MatchData[team],MatchData[[#this row],[team]],MatchData[portcullis available])</f>
        <v>#VALUE!</v>
      </c>
      <c r="CA88" s="16" t="e">
        <f aca="false">SUMIF(MatchData[team],MatchData[[#this row],[team]],MatchData[cheval available])</f>
        <v>#VALUE!</v>
      </c>
      <c r="CB88" s="16" t="e">
        <f aca="false">SUMIF(MatchData[team],MatchData[[#this row],[team]],MatchData[moat available])</f>
        <v>#VALUE!</v>
      </c>
      <c r="CC88" s="16" t="e">
        <f aca="false">SUMIF(MatchData[team],MatchData[[#this row],[team]],MatchData[ramparts available])</f>
        <v>#VALUE!</v>
      </c>
      <c r="CD88" s="16" t="e">
        <f aca="false">SUMIF(MatchData[team],MatchData[[#this row],[team]],MatchData[drawbridge available])</f>
        <v>#VALUE!</v>
      </c>
      <c r="CE88" s="16" t="e">
        <f aca="false">SUMIF(MatchData[team],MatchData[[#this row],[team]],MatchData[sally port available])</f>
        <v>#VALUE!</v>
      </c>
      <c r="CF88" s="16" t="e">
        <f aca="false">SUMIF(MatchData[team],MatchData[[#this row],[team]],MatchData[rock wall available])</f>
        <v>#VALUE!</v>
      </c>
      <c r="CG88" s="16" t="e">
        <f aca="false">SUMIF(MatchData[team],MatchData[[#this row],[team]],MatchData[rough terrain available])</f>
        <v>#VALUE!</v>
      </c>
      <c r="CH88" s="16" t="e">
        <f aca="false">SUMIF(MatchData[team],MatchData[[#this row],[team]],MatchData[low bar available])</f>
        <v>#VALUE!</v>
      </c>
      <c r="CI88" s="16" t="e">
        <f aca="false">SUMIF(MatchData[team],MatchData[[#this row],[team]],MatchData[portcullis teleop crossings]:MatchData[portcullis scored crossings])</f>
        <v>#VALUE!</v>
      </c>
      <c r="CJ88" s="16" t="e">
        <f aca="false">SUMIF(MatchData[team],MatchData[[#this row],[team]],MatchData[cheval teleop crossings])+SUMIF(MatchData[team],MatchData[[#this row],[team]],MatchData[cheval scored crossings])</f>
        <v>#VALUE!</v>
      </c>
      <c r="CK88" s="16" t="e">
        <f aca="false">SUMIF(MatchData[team],MatchData[[#this row],[team]],MatchData[moat teleop crossings])+SUMIF(MatchData[team],MatchData[[#this row],[team]],MatchData[moat scored crosings])</f>
        <v>#VALUE!</v>
      </c>
      <c r="CL88" s="16" t="e">
        <f aca="false">SUMIF(MatchData[team],MatchData[[#this row],[team]],MatchData[ramparts teleop crossings])+SUMIF(MatchData[team],MatchData[[#this row],[team]],MatchData[ramparts scored crossings])</f>
        <v>#VALUE!</v>
      </c>
      <c r="CM88" s="16" t="e">
        <f aca="false">SUMIF(MatchData[team],MatchData[[#this row],[team]],MatchData[drawbridge teleop crossings])+SUMIF(MatchData[team],MatchData[[#this row],[team]],MatchData[drawbridge scored crossings])</f>
        <v>#VALUE!</v>
      </c>
      <c r="CN88" s="16" t="e">
        <f aca="false">SUMIF(MatchData[team],MatchData[[#this row],[team]],MatchData[sally port teleop crossings])+SUMIF(MatchData[team],MatchData[[#this row],[team]],MatchData[sally port scored crossings])</f>
        <v>#VALUE!</v>
      </c>
      <c r="CO88" s="16" t="e">
        <f aca="false">SUMIF(MatchData[team],MatchData[[#this row],[team]],MatchData[rock wall teleop crossings])+SUMIF(MatchData[team],MatchData[[#this row],[team]],MatchData[rock wall scored crossings])</f>
        <v>#VALUE!</v>
      </c>
      <c r="CP88" s="16" t="e">
        <f aca="false">SUMIF(MatchData[team],MatchData[[#this row],[team]],MatchData[rough terrain teleop crossings])+SUMIF(MatchData[team],MatchData[[#this row],[team]],MatchData[rough terrain scored crossings])</f>
        <v>#VALUE!</v>
      </c>
      <c r="CQ88" s="16" t="e">
        <f aca="false">SUMIF(MatchData[team],MatchData[[#this row],[team]],MatchData[low bar teleop crossings])+SUMIF(MatchData[team],MatchData[[#this row],[team]],MatchData[low bar scored crossings])</f>
        <v>#VALUE!</v>
      </c>
      <c r="CR88" s="16" t="e">
        <f aca="false">IFERROR(ROUND(MatchData[[#this row],[portcullis sum]]/MatchData[[#this row],[portcullis avail count]],2),0)</f>
        <v>#VALUE!</v>
      </c>
      <c r="CS88" s="16" t="e">
        <f aca="false">IFERROR(ROUND(MatchData[[#this row],[cheval sum]]/MatchData[[#this row],[cheval avail count]],2),0)</f>
        <v>#VALUE!</v>
      </c>
      <c r="CT88" s="16" t="e">
        <f aca="false">IFERROR(ROUND(MatchData[[#this row],[moat sum]]/MatchData[[#this row],[moat avail count]],2),0)</f>
        <v>#VALUE!</v>
      </c>
      <c r="CU88" s="16" t="e">
        <f aca="false">IFERROR(ROUND(MatchData[[#this row],[ramparts sum]]/MatchData[[#this row],[ramparts avail count]],2),0)</f>
        <v>#VALUE!</v>
      </c>
      <c r="CV88" s="16" t="e">
        <f aca="false">IFERROR(ROUND(MatchData[[#this row],[drawbridge sum]]/MatchData[[#this row],[drawbridge avail countigh6]],2),0)</f>
        <v>#VALUE!</v>
      </c>
      <c r="CW88" s="16" t="e">
        <f aca="false">IFERROR(ROUND(MatchData[[#this row],[sally port sum]]/MatchData[[#this row],[sally port avail count]],2),0)</f>
        <v>#VALUE!</v>
      </c>
      <c r="CX88" s="5" t="e">
        <f aca="false">IFERROR(ROUND(MatchData[[#this row],[rock wall sum]]/MatchData[[#this row],[rock wall avail count]],2),0)</f>
        <v>#VALUE!</v>
      </c>
      <c r="CY88" s="5" t="e">
        <f aca="false">IFERROR(ROUND(MatchData[[#this row],[rough terrain sum]]/MatchData[[#this row],[rough terrain avail count]],2),0)</f>
        <v>#VALUE!</v>
      </c>
      <c r="CZ88" s="5" t="e">
        <f aca="false">IFERROR(ROUND(MatchData[[#this row],[low bar sum]]/MatchData[[#this row],[low bar avail count]],2),0)</f>
        <v>#VALUE!</v>
      </c>
      <c r="DA88" s="16" t="e">
        <f aca="false">SUM(MatchData[[#this row],[cheval sum]:[low bar sum]])/MatchData[match count]</f>
        <v>#VALUE!</v>
      </c>
      <c r="DB88" s="16" t="n">
        <f aca="false">MAX(IF(C$2:C$74=C88,BP$2:BP$74))</f>
        <v>-1.79769313486232E+308</v>
      </c>
      <c r="DC88" s="16" t="e">
        <f aca="false">AVERAGEIF(MatchData[team],MatchData[[#this row],[team]],MatchData[total score])</f>
        <v>#VALUE!</v>
      </c>
      <c r="DD88" s="16" t="e">
        <f aca="false">ROUND(AVERAGEIF(MatchData[team],MatchData[team],MatchData[climb or challenge flag]),2)</f>
        <v>#VALUE!</v>
      </c>
    </row>
    <row r="89" customFormat="false" ht="14.5" hidden="false" customHeight="false" outlineLevel="0" collapsed="false">
      <c r="A89" s="13" t="s">
        <v>108</v>
      </c>
      <c r="B89" s="14" t="n">
        <v>15</v>
      </c>
      <c r="C89" s="15" t="n">
        <v>3674</v>
      </c>
      <c r="D89" s="5" t="s">
        <v>113</v>
      </c>
      <c r="E89" s="5" t="s">
        <v>140</v>
      </c>
      <c r="G89" s="16"/>
      <c r="I89" s="16"/>
      <c r="J89" s="5" t="n">
        <v>1</v>
      </c>
      <c r="K89" s="16"/>
      <c r="L89" s="5" t="n">
        <v>1</v>
      </c>
      <c r="M89" s="5" t="n">
        <v>1</v>
      </c>
      <c r="N89" s="0"/>
      <c r="O89" s="5" t="n">
        <v>1</v>
      </c>
      <c r="P89" s="0"/>
      <c r="Q89" s="0"/>
      <c r="R89" s="5" t="n">
        <v>1</v>
      </c>
      <c r="S89" s="16"/>
      <c r="T89" s="0"/>
      <c r="U89" s="16"/>
      <c r="V89" s="16"/>
      <c r="W89" s="0"/>
      <c r="X89" s="0"/>
      <c r="AD89" s="16"/>
      <c r="AE89" s="5"/>
      <c r="AF89" s="16"/>
      <c r="AG89" s="16"/>
      <c r="AH89" s="16"/>
      <c r="AJ89" s="16"/>
      <c r="AL89" s="16"/>
      <c r="AN89" s="16"/>
      <c r="AP89" s="16"/>
      <c r="AR89" s="16"/>
      <c r="AT89" s="16" t="n">
        <v>2</v>
      </c>
      <c r="AU89" s="16"/>
      <c r="AV89" s="16"/>
      <c r="AW89" s="16"/>
      <c r="AX89" s="16"/>
      <c r="AY89" s="16"/>
      <c r="AZ89" s="16"/>
      <c r="BB89" s="16"/>
      <c r="BC89" s="16" t="e">
        <f aca="false">MatchData[cheval scored crossings]*5</f>
        <v>#VALUE!</v>
      </c>
      <c r="BD89" s="16" t="e">
        <f aca="false">MatchData[moat scored crosings]*5</f>
        <v>#VALUE!</v>
      </c>
      <c r="BE89" s="16" t="e">
        <f aca="false">MatchData[ramparts scored crossings]*5</f>
        <v>#VALUE!</v>
      </c>
      <c r="BF89" s="16" t="e">
        <f aca="false">MatchData[drawbridge scored crossings]*5</f>
        <v>#VALUE!</v>
      </c>
      <c r="BG89" s="16" t="e">
        <f aca="false">MatchData[sally port scored crossings]*5</f>
        <v>#VALUE!</v>
      </c>
      <c r="BH89" s="16" t="e">
        <f aca="false">MatchData[rock wall scored crossings]*5</f>
        <v>#VALUE!</v>
      </c>
      <c r="BI89" s="16" t="e">
        <f aca="false">MatchData[rough terrain scored crossings]*5</f>
        <v>#VALUE!</v>
      </c>
      <c r="BJ89" s="16" t="e">
        <f aca="false">MatchData[low bar scored crossings]*5</f>
        <v>#VALUE!</v>
      </c>
      <c r="BK89" s="16" t="e">
        <f aca="false">SUM(MatchData[[#this row],[low bar teleop crossings]:[rough terrain scored crossings]])</f>
        <v>#VALUE!</v>
      </c>
      <c r="BL89" s="16" t="e">
        <f aca="false">IFERROR(IF(OR(MatchData[[#this row],[challenge flag]],MatchData[[#this row],[climb flag]]),1,0),0)</f>
        <v>#VALUE!</v>
      </c>
      <c r="BM89" s="16" t="e">
        <f aca="false">MatchData[auto high goals]*10+MatchData[teleop high goals]*5</f>
        <v>#VALUE!</v>
      </c>
      <c r="BN89" s="16" t="e">
        <f aca="false">MatchData[auto low goals]*5+MatchData[teleop low goals]*2</f>
        <v>#VALUE!</v>
      </c>
      <c r="BO89" s="16" t="e">
        <f aca="false">MatchData[high goal score]+MatchData[low goal score]</f>
        <v>#VALUE!</v>
      </c>
      <c r="BP89" s="16" t="e">
        <f aca="false">MatchData[teleop high goals]+MatchData[teleop low goals]</f>
        <v>#VALUE!</v>
      </c>
      <c r="BQ89" s="16" t="e">
        <f aca="false">MatchData[[#this row],[auto reach flag]]*2+SUM(MatchData[[#this row],[portcullis auto crossings]:[low bar auto crossings]])*10+MatchData[[#this row],[auto low goals]]*5+MatchData[auto high goals]*10</f>
        <v>#VALUE!</v>
      </c>
      <c r="BR89" s="16" t="e">
        <f aca="false">SUM(MatchData[[#this row],[cheval teleop crossing score]:[low bar teleop crossing score]])</f>
        <v>#VALUE!</v>
      </c>
      <c r="BS89" s="16" t="e">
        <f aca="false">SUMIF(MatchData[team],MatchData[[#this row],[team]],MatchData[total auto score])/MatchData[match count]</f>
        <v>#VALUE!</v>
      </c>
      <c r="BT89" s="16" t="e">
        <f aca="false">MatchData[challenge flag]*5</f>
        <v>#VALUE!</v>
      </c>
      <c r="BU89" s="16" t="e">
        <f aca="false">MatchData[climb flag]*15</f>
        <v>#VALUE!</v>
      </c>
      <c r="BV89" s="16" t="e">
        <f aca="false">SUM(MatchData[[#this row],[total goal score]],MatchData[[#this row],[crossing score]],MatchData[[#this row],[challenge score]],MatchData[[#this row],[climb score]],MatchData[[#this row],[total auto score]])</f>
        <v>#VALUE!</v>
      </c>
      <c r="BW89" s="16" t="e">
        <f aca="false">ROUND(SUMIF(MatchData[team],MatchData[[#this row],[team]],MatchData[teleop low goals])/COUNTIF(MatchData[team],MatchData[[#this row],[team]]),2)</f>
        <v>#VALUE!</v>
      </c>
      <c r="BX89" s="16" t="e">
        <f aca="false">ROUND(SUMIF(MatchData[team],MatchData[[#this row],[team]],MatchData[teleop high goals])/COUNTIF(MatchData[team],MatchData[[#this row],[team]]),2)</f>
        <v>#VALUE!</v>
      </c>
      <c r="BY89" s="16" t="e">
        <f aca="false">COUNTIF(MatchData[team],MatchData[[#this row],[team]])</f>
        <v>#VALUE!</v>
      </c>
      <c r="BZ89" s="16" t="e">
        <f aca="false">SUMIF(MatchData[team],MatchData[[#this row],[team]],MatchData[portcullis available])</f>
        <v>#VALUE!</v>
      </c>
      <c r="CA89" s="16" t="e">
        <f aca="false">SUMIF(MatchData[team],MatchData[[#this row],[team]],MatchData[cheval available])</f>
        <v>#VALUE!</v>
      </c>
      <c r="CB89" s="16" t="e">
        <f aca="false">SUMIF(MatchData[team],MatchData[[#this row],[team]],MatchData[moat available])</f>
        <v>#VALUE!</v>
      </c>
      <c r="CC89" s="16" t="e">
        <f aca="false">SUMIF(MatchData[team],MatchData[[#this row],[team]],MatchData[ramparts available])</f>
        <v>#VALUE!</v>
      </c>
      <c r="CD89" s="16" t="e">
        <f aca="false">SUMIF(MatchData[team],MatchData[[#this row],[team]],MatchData[drawbridge available])</f>
        <v>#VALUE!</v>
      </c>
      <c r="CE89" s="16" t="e">
        <f aca="false">SUMIF(MatchData[team],MatchData[[#this row],[team]],MatchData[sally port available])</f>
        <v>#VALUE!</v>
      </c>
      <c r="CF89" s="16" t="e">
        <f aca="false">SUMIF(MatchData[team],MatchData[[#this row],[team]],MatchData[rock wall available])</f>
        <v>#VALUE!</v>
      </c>
      <c r="CG89" s="16" t="e">
        <f aca="false">SUMIF(MatchData[team],MatchData[[#this row],[team]],MatchData[rough terrain available])</f>
        <v>#VALUE!</v>
      </c>
      <c r="CH89" s="16" t="e">
        <f aca="false">SUMIF(MatchData[team],MatchData[[#this row],[team]],MatchData[low bar available])</f>
        <v>#VALUE!</v>
      </c>
      <c r="CI89" s="16" t="e">
        <f aca="false">SUMIF(MatchData[team],MatchData[[#this row],[team]],MatchData[portcullis teleop crossings]:MatchData[portcullis scored crossings])</f>
        <v>#VALUE!</v>
      </c>
      <c r="CJ89" s="16" t="e">
        <f aca="false">SUMIF(MatchData[team],MatchData[[#this row],[team]],MatchData[cheval teleop crossings])+SUMIF(MatchData[team],MatchData[[#this row],[team]],MatchData[cheval scored crossings])</f>
        <v>#VALUE!</v>
      </c>
      <c r="CK89" s="16" t="e">
        <f aca="false">SUMIF(MatchData[team],MatchData[[#this row],[team]],MatchData[moat teleop crossings])+SUMIF(MatchData[team],MatchData[[#this row],[team]],MatchData[moat scored crosings])</f>
        <v>#VALUE!</v>
      </c>
      <c r="CL89" s="16" t="e">
        <f aca="false">SUMIF(MatchData[team],MatchData[[#this row],[team]],MatchData[ramparts teleop crossings])+SUMIF(MatchData[team],MatchData[[#this row],[team]],MatchData[ramparts scored crossings])</f>
        <v>#VALUE!</v>
      </c>
      <c r="CM89" s="16" t="e">
        <f aca="false">SUMIF(MatchData[team],MatchData[[#this row],[team]],MatchData[drawbridge teleop crossings])+SUMIF(MatchData[team],MatchData[[#this row],[team]],MatchData[drawbridge scored crossings])</f>
        <v>#VALUE!</v>
      </c>
      <c r="CN89" s="16" t="e">
        <f aca="false">SUMIF(MatchData[team],MatchData[[#this row],[team]],MatchData[sally port teleop crossings])+SUMIF(MatchData[team],MatchData[[#this row],[team]],MatchData[sally port scored crossings])</f>
        <v>#VALUE!</v>
      </c>
      <c r="CO89" s="16" t="e">
        <f aca="false">SUMIF(MatchData[team],MatchData[[#this row],[team]],MatchData[rock wall teleop crossings])+SUMIF(MatchData[team],MatchData[[#this row],[team]],MatchData[rock wall scored crossings])</f>
        <v>#VALUE!</v>
      </c>
      <c r="CP89" s="16" t="e">
        <f aca="false">SUMIF(MatchData[team],MatchData[[#this row],[team]],MatchData[rough terrain teleop crossings])+SUMIF(MatchData[team],MatchData[[#this row],[team]],MatchData[rough terrain scored crossings])</f>
        <v>#VALUE!</v>
      </c>
      <c r="CQ89" s="16" t="e">
        <f aca="false">SUMIF(MatchData[team],MatchData[[#this row],[team]],MatchData[low bar teleop crossings])+SUMIF(MatchData[team],MatchData[[#this row],[team]],MatchData[low bar scored crossings])</f>
        <v>#VALUE!</v>
      </c>
      <c r="CR89" s="16" t="e">
        <f aca="false">IFERROR(ROUND(MatchData[[#this row],[portcullis sum]]/MatchData[[#this row],[portcullis avail count]],2),0)</f>
        <v>#VALUE!</v>
      </c>
      <c r="CS89" s="16" t="e">
        <f aca="false">IFERROR(ROUND(MatchData[[#this row],[cheval sum]]/MatchData[[#this row],[cheval avail count]],2),0)</f>
        <v>#VALUE!</v>
      </c>
      <c r="CT89" s="16" t="e">
        <f aca="false">IFERROR(ROUND(MatchData[[#this row],[moat sum]]/MatchData[[#this row],[moat avail count]],2),0)</f>
        <v>#VALUE!</v>
      </c>
      <c r="CU89" s="16" t="e">
        <f aca="false">IFERROR(ROUND(MatchData[[#this row],[ramparts sum]]/MatchData[[#this row],[ramparts avail count]],2),0)</f>
        <v>#VALUE!</v>
      </c>
      <c r="CV89" s="16" t="e">
        <f aca="false">IFERROR(ROUND(MatchData[[#this row],[drawbridge sum]]/MatchData[[#this row],[drawbridge avail countigh6]],2),0)</f>
        <v>#VALUE!</v>
      </c>
      <c r="CW89" s="16" t="e">
        <f aca="false">IFERROR(ROUND(MatchData[[#this row],[sally port sum]]/MatchData[[#this row],[sally port avail count]],2),0)</f>
        <v>#VALUE!</v>
      </c>
      <c r="CX89" s="5" t="e">
        <f aca="false">IFERROR(ROUND(MatchData[[#this row],[rock wall sum]]/MatchData[[#this row],[rock wall avail count]],2),0)</f>
        <v>#VALUE!</v>
      </c>
      <c r="CY89" s="5" t="e">
        <f aca="false">IFERROR(ROUND(MatchData[[#this row],[rough terrain sum]]/MatchData[[#this row],[rough terrain avail count]],2),0)</f>
        <v>#VALUE!</v>
      </c>
      <c r="CZ89" s="5" t="e">
        <f aca="false">IFERROR(ROUND(MatchData[[#this row],[low bar sum]]/MatchData[[#this row],[low bar avail count]],2),0)</f>
        <v>#VALUE!</v>
      </c>
      <c r="DA89" s="16" t="e">
        <f aca="false">SUM(MatchData[[#this row],[cheval sum]:[low bar sum]])/MatchData[match count]</f>
        <v>#VALUE!</v>
      </c>
      <c r="DB89" s="16" t="n">
        <f aca="false">MAX(IF(C$2:C$74=C89,BP$2:BP$74))</f>
        <v>-1.79769313486232E+308</v>
      </c>
      <c r="DC89" s="16" t="e">
        <f aca="false">AVERAGEIF(MatchData[team],MatchData[[#this row],[team]],MatchData[total score])</f>
        <v>#VALUE!</v>
      </c>
      <c r="DD89" s="16" t="e">
        <f aca="false">ROUND(AVERAGEIF(MatchData[team],MatchData[team],MatchData[climb or challenge flag]),2)</f>
        <v>#VALUE!</v>
      </c>
    </row>
    <row r="90" customFormat="false" ht="14.5" hidden="false" customHeight="false" outlineLevel="0" collapsed="false">
      <c r="A90" s="17" t="s">
        <v>108</v>
      </c>
      <c r="B90" s="18" t="n">
        <v>15</v>
      </c>
      <c r="C90" s="15" t="n">
        <v>3711</v>
      </c>
      <c r="D90" s="5" t="s">
        <v>113</v>
      </c>
      <c r="E90" s="5" t="s">
        <v>142</v>
      </c>
      <c r="G90" s="16"/>
      <c r="I90" s="16"/>
      <c r="J90" s="5" t="n">
        <v>1</v>
      </c>
      <c r="K90" s="16"/>
      <c r="L90" s="5" t="n">
        <v>1</v>
      </c>
      <c r="M90" s="5" t="n">
        <v>1</v>
      </c>
      <c r="N90" s="0"/>
      <c r="O90" s="5" t="n">
        <v>1</v>
      </c>
      <c r="P90" s="0"/>
      <c r="Q90" s="0"/>
      <c r="R90" s="5" t="n">
        <v>1</v>
      </c>
      <c r="S90" s="16" t="n">
        <v>1</v>
      </c>
      <c r="T90" s="0"/>
      <c r="U90" s="16"/>
      <c r="V90" s="16"/>
      <c r="W90" s="0"/>
      <c r="X90" s="0"/>
      <c r="AD90" s="16"/>
      <c r="AE90" s="5"/>
      <c r="AF90" s="16"/>
      <c r="AG90" s="16"/>
      <c r="AH90" s="16"/>
      <c r="AJ90" s="16" t="n">
        <v>1</v>
      </c>
      <c r="AL90" s="16"/>
      <c r="AN90" s="16"/>
      <c r="AP90" s="16"/>
      <c r="AR90" s="16"/>
      <c r="AT90" s="16"/>
      <c r="AU90" s="16"/>
      <c r="AV90" s="16"/>
      <c r="AW90" s="16"/>
      <c r="AX90" s="16"/>
      <c r="AY90" s="16"/>
      <c r="AZ90" s="16"/>
      <c r="BB90" s="16"/>
      <c r="BC90" s="16" t="e">
        <f aca="false">MatchData[cheval scored crossings]*5</f>
        <v>#VALUE!</v>
      </c>
      <c r="BD90" s="16" t="e">
        <f aca="false">MatchData[moat scored crosings]*5</f>
        <v>#VALUE!</v>
      </c>
      <c r="BE90" s="16" t="e">
        <f aca="false">MatchData[ramparts scored crossings]*5</f>
        <v>#VALUE!</v>
      </c>
      <c r="BF90" s="16" t="e">
        <f aca="false">MatchData[drawbridge scored crossings]*5</f>
        <v>#VALUE!</v>
      </c>
      <c r="BG90" s="16" t="e">
        <f aca="false">MatchData[sally port scored crossings]*5</f>
        <v>#VALUE!</v>
      </c>
      <c r="BH90" s="16" t="e">
        <f aca="false">MatchData[rock wall scored crossings]*5</f>
        <v>#VALUE!</v>
      </c>
      <c r="BI90" s="16" t="e">
        <f aca="false">MatchData[rough terrain scored crossings]*5</f>
        <v>#VALUE!</v>
      </c>
      <c r="BJ90" s="16" t="e">
        <f aca="false">MatchData[low bar scored crossings]*5</f>
        <v>#VALUE!</v>
      </c>
      <c r="BK90" s="16" t="e">
        <f aca="false">SUM(MatchData[[#this row],[low bar teleop crossings]:[rough terrain scored crossings]])</f>
        <v>#VALUE!</v>
      </c>
      <c r="BL90" s="16" t="e">
        <f aca="false">IFERROR(IF(OR(MatchData[[#this row],[challenge flag]],MatchData[[#this row],[climb flag]]),1,0),0)</f>
        <v>#VALUE!</v>
      </c>
      <c r="BM90" s="16" t="e">
        <f aca="false">MatchData[auto high goals]*10+MatchData[teleop high goals]*5</f>
        <v>#VALUE!</v>
      </c>
      <c r="BN90" s="16" t="e">
        <f aca="false">MatchData[auto low goals]*5+MatchData[teleop low goals]*2</f>
        <v>#VALUE!</v>
      </c>
      <c r="BO90" s="16" t="e">
        <f aca="false">MatchData[high goal score]+MatchData[low goal score]</f>
        <v>#VALUE!</v>
      </c>
      <c r="BP90" s="16" t="e">
        <f aca="false">MatchData[teleop high goals]+MatchData[teleop low goals]</f>
        <v>#VALUE!</v>
      </c>
      <c r="BQ90" s="16" t="e">
        <f aca="false">MatchData[[#this row],[auto reach flag]]*2+SUM(MatchData[[#this row],[portcullis auto crossings]:[low bar auto crossings]])*10+MatchData[[#this row],[auto low goals]]*5+MatchData[auto high goals]*10</f>
        <v>#VALUE!</v>
      </c>
      <c r="BR90" s="16" t="e">
        <f aca="false">SUM(MatchData[[#this row],[cheval teleop crossing score]:[low bar teleop crossing score]])</f>
        <v>#VALUE!</v>
      </c>
      <c r="BS90" s="16" t="e">
        <f aca="false">SUMIF(MatchData[team],MatchData[[#this row],[team]],MatchData[total auto score])/MatchData[match count]</f>
        <v>#VALUE!</v>
      </c>
      <c r="BT90" s="16" t="e">
        <f aca="false">MatchData[challenge flag]*5</f>
        <v>#VALUE!</v>
      </c>
      <c r="BU90" s="16" t="e">
        <f aca="false">MatchData[climb flag]*15</f>
        <v>#VALUE!</v>
      </c>
      <c r="BV90" s="16" t="e">
        <f aca="false">SUM(MatchData[[#this row],[total goal score]],MatchData[[#this row],[crossing score]],MatchData[[#this row],[challenge score]],MatchData[[#this row],[climb score]],MatchData[[#this row],[total auto score]])</f>
        <v>#VALUE!</v>
      </c>
      <c r="BW90" s="16" t="e">
        <f aca="false">ROUND(SUMIF(MatchData[team],MatchData[[#this row],[team]],MatchData[teleop low goals])/COUNTIF(MatchData[team],MatchData[[#this row],[team]]),2)</f>
        <v>#VALUE!</v>
      </c>
      <c r="BX90" s="16" t="e">
        <f aca="false">ROUND(SUMIF(MatchData[team],MatchData[[#this row],[team]],MatchData[teleop high goals])/COUNTIF(MatchData[team],MatchData[[#this row],[team]]),2)</f>
        <v>#VALUE!</v>
      </c>
      <c r="BY90" s="16" t="e">
        <f aca="false">COUNTIF(MatchData[team],MatchData[[#this row],[team]])</f>
        <v>#VALUE!</v>
      </c>
      <c r="BZ90" s="16" t="e">
        <f aca="false">SUMIF(MatchData[team],MatchData[[#this row],[team]],MatchData[portcullis available])</f>
        <v>#VALUE!</v>
      </c>
      <c r="CA90" s="16" t="e">
        <f aca="false">SUMIF(MatchData[team],MatchData[[#this row],[team]],MatchData[cheval available])</f>
        <v>#VALUE!</v>
      </c>
      <c r="CB90" s="16" t="e">
        <f aca="false">SUMIF(MatchData[team],MatchData[[#this row],[team]],MatchData[moat available])</f>
        <v>#VALUE!</v>
      </c>
      <c r="CC90" s="16" t="e">
        <f aca="false">SUMIF(MatchData[team],MatchData[[#this row],[team]],MatchData[ramparts available])</f>
        <v>#VALUE!</v>
      </c>
      <c r="CD90" s="16" t="e">
        <f aca="false">SUMIF(MatchData[team],MatchData[[#this row],[team]],MatchData[drawbridge available])</f>
        <v>#VALUE!</v>
      </c>
      <c r="CE90" s="16" t="e">
        <f aca="false">SUMIF(MatchData[team],MatchData[[#this row],[team]],MatchData[sally port available])</f>
        <v>#VALUE!</v>
      </c>
      <c r="CF90" s="16" t="e">
        <f aca="false">SUMIF(MatchData[team],MatchData[[#this row],[team]],MatchData[rock wall available])</f>
        <v>#VALUE!</v>
      </c>
      <c r="CG90" s="16" t="e">
        <f aca="false">SUMIF(MatchData[team],MatchData[[#this row],[team]],MatchData[rough terrain available])</f>
        <v>#VALUE!</v>
      </c>
      <c r="CH90" s="16" t="e">
        <f aca="false">SUMIF(MatchData[team],MatchData[[#this row],[team]],MatchData[low bar available])</f>
        <v>#VALUE!</v>
      </c>
      <c r="CI90" s="16" t="e">
        <f aca="false">SUMIF(MatchData[team],MatchData[[#this row],[team]],MatchData[portcullis teleop crossings]:MatchData[portcullis scored crossings])</f>
        <v>#VALUE!</v>
      </c>
      <c r="CJ90" s="16" t="e">
        <f aca="false">SUMIF(MatchData[team],MatchData[[#this row],[team]],MatchData[cheval teleop crossings])+SUMIF(MatchData[team],MatchData[[#this row],[team]],MatchData[cheval scored crossings])</f>
        <v>#VALUE!</v>
      </c>
      <c r="CK90" s="16" t="e">
        <f aca="false">SUMIF(MatchData[team],MatchData[[#this row],[team]],MatchData[moat teleop crossings])+SUMIF(MatchData[team],MatchData[[#this row],[team]],MatchData[moat scored crosings])</f>
        <v>#VALUE!</v>
      </c>
      <c r="CL90" s="16" t="e">
        <f aca="false">SUMIF(MatchData[team],MatchData[[#this row],[team]],MatchData[ramparts teleop crossings])+SUMIF(MatchData[team],MatchData[[#this row],[team]],MatchData[ramparts scored crossings])</f>
        <v>#VALUE!</v>
      </c>
      <c r="CM90" s="16" t="e">
        <f aca="false">SUMIF(MatchData[team],MatchData[[#this row],[team]],MatchData[drawbridge teleop crossings])+SUMIF(MatchData[team],MatchData[[#this row],[team]],MatchData[drawbridge scored crossings])</f>
        <v>#VALUE!</v>
      </c>
      <c r="CN90" s="16" t="e">
        <f aca="false">SUMIF(MatchData[team],MatchData[[#this row],[team]],MatchData[sally port teleop crossings])+SUMIF(MatchData[team],MatchData[[#this row],[team]],MatchData[sally port scored crossings])</f>
        <v>#VALUE!</v>
      </c>
      <c r="CO90" s="16" t="e">
        <f aca="false">SUMIF(MatchData[team],MatchData[[#this row],[team]],MatchData[rock wall teleop crossings])+SUMIF(MatchData[team],MatchData[[#this row],[team]],MatchData[rock wall scored crossings])</f>
        <v>#VALUE!</v>
      </c>
      <c r="CP90" s="16" t="e">
        <f aca="false">SUMIF(MatchData[team],MatchData[[#this row],[team]],MatchData[rough terrain teleop crossings])+SUMIF(MatchData[team],MatchData[[#this row],[team]],MatchData[rough terrain scored crossings])</f>
        <v>#VALUE!</v>
      </c>
      <c r="CQ90" s="16" t="e">
        <f aca="false">SUMIF(MatchData[team],MatchData[[#this row],[team]],MatchData[low bar teleop crossings])+SUMIF(MatchData[team],MatchData[[#this row],[team]],MatchData[low bar scored crossings])</f>
        <v>#VALUE!</v>
      </c>
      <c r="CR90" s="16" t="e">
        <f aca="false">IFERROR(ROUND(MatchData[[#this row],[portcullis sum]]/MatchData[[#this row],[portcullis avail count]],2),0)</f>
        <v>#VALUE!</v>
      </c>
      <c r="CS90" s="16" t="e">
        <f aca="false">IFERROR(ROUND(MatchData[[#this row],[cheval sum]]/MatchData[[#this row],[cheval avail count]],2),0)</f>
        <v>#VALUE!</v>
      </c>
      <c r="CT90" s="16" t="e">
        <f aca="false">IFERROR(ROUND(MatchData[[#this row],[moat sum]]/MatchData[[#this row],[moat avail count]],2),0)</f>
        <v>#VALUE!</v>
      </c>
      <c r="CU90" s="16" t="e">
        <f aca="false">IFERROR(ROUND(MatchData[[#this row],[ramparts sum]]/MatchData[[#this row],[ramparts avail count]],2),0)</f>
        <v>#VALUE!</v>
      </c>
      <c r="CV90" s="16" t="e">
        <f aca="false">IFERROR(ROUND(MatchData[[#this row],[drawbridge sum]]/MatchData[[#this row],[drawbridge avail countigh6]],2),0)</f>
        <v>#VALUE!</v>
      </c>
      <c r="CW90" s="16" t="e">
        <f aca="false">IFERROR(ROUND(MatchData[[#this row],[sally port sum]]/MatchData[[#this row],[sally port avail count]],2),0)</f>
        <v>#VALUE!</v>
      </c>
      <c r="CX90" s="5" t="e">
        <f aca="false">IFERROR(ROUND(MatchData[[#this row],[rock wall sum]]/MatchData[[#this row],[rock wall avail count]],2),0)</f>
        <v>#VALUE!</v>
      </c>
      <c r="CY90" s="5" t="e">
        <f aca="false">IFERROR(ROUND(MatchData[[#this row],[rough terrain sum]]/MatchData[[#this row],[rough terrain avail count]],2),0)</f>
        <v>#VALUE!</v>
      </c>
      <c r="CZ90" s="5" t="e">
        <f aca="false">IFERROR(ROUND(MatchData[[#this row],[low bar sum]]/MatchData[[#this row],[low bar avail count]],2),0)</f>
        <v>#VALUE!</v>
      </c>
      <c r="DA90" s="16" t="e">
        <f aca="false">SUM(MatchData[[#this row],[cheval sum]:[low bar sum]])/MatchData[match count]</f>
        <v>#VALUE!</v>
      </c>
      <c r="DB90" s="16" t="n">
        <f aca="false">MAX(IF(C$2:C$74=C90,BP$2:BP$74))</f>
        <v>-1.79769313486232E+308</v>
      </c>
      <c r="DC90" s="16" t="e">
        <f aca="false">AVERAGEIF(MatchData[team],MatchData[[#this row],[team]],MatchData[total score])</f>
        <v>#VALUE!</v>
      </c>
      <c r="DD90" s="16" t="e">
        <f aca="false">ROUND(AVERAGEIF(MatchData[team],MatchData[team],MatchData[climb or challenge flag]),2)</f>
        <v>#VALUE!</v>
      </c>
    </row>
    <row r="91" customFormat="false" ht="14.5" hidden="false" customHeight="false" outlineLevel="0" collapsed="false">
      <c r="A91" s="17" t="s">
        <v>108</v>
      </c>
      <c r="B91" s="14" t="n">
        <v>15</v>
      </c>
      <c r="C91" s="15" t="n">
        <v>5956</v>
      </c>
      <c r="D91" s="5" t="s">
        <v>113</v>
      </c>
      <c r="E91" s="5" t="s">
        <v>119</v>
      </c>
      <c r="G91" s="16"/>
      <c r="I91" s="16"/>
      <c r="J91" s="5" t="n">
        <v>1</v>
      </c>
      <c r="K91" s="16"/>
      <c r="L91" s="5" t="n">
        <v>1</v>
      </c>
      <c r="M91" s="5" t="n">
        <v>1</v>
      </c>
      <c r="N91" s="0"/>
      <c r="O91" s="5" t="n">
        <v>1</v>
      </c>
      <c r="P91" s="0"/>
      <c r="Q91" s="0"/>
      <c r="R91" s="5" t="n">
        <v>1</v>
      </c>
      <c r="S91" s="16"/>
      <c r="T91" s="0"/>
      <c r="U91" s="16"/>
      <c r="V91" s="16"/>
      <c r="W91" s="0"/>
      <c r="X91" s="0"/>
      <c r="AD91" s="16"/>
      <c r="AE91" s="5"/>
      <c r="AF91" s="16"/>
      <c r="AG91" s="16"/>
      <c r="AH91" s="16"/>
      <c r="AJ91" s="16"/>
      <c r="AL91" s="16"/>
      <c r="AN91" s="16"/>
      <c r="AP91" s="16"/>
      <c r="AR91" s="16"/>
      <c r="AT91" s="16"/>
      <c r="AU91" s="16"/>
      <c r="AV91" s="16"/>
      <c r="AW91" s="16"/>
      <c r="AX91" s="16"/>
      <c r="AY91" s="16"/>
      <c r="AZ91" s="16" t="n">
        <v>1</v>
      </c>
      <c r="BB91" s="16"/>
      <c r="BC91" s="16" t="e">
        <f aca="false">MatchData[cheval scored crossings]*5</f>
        <v>#VALUE!</v>
      </c>
      <c r="BD91" s="16" t="e">
        <f aca="false">MatchData[moat scored crosings]*5</f>
        <v>#VALUE!</v>
      </c>
      <c r="BE91" s="16" t="e">
        <f aca="false">MatchData[ramparts scored crossings]*5</f>
        <v>#VALUE!</v>
      </c>
      <c r="BF91" s="16" t="e">
        <f aca="false">MatchData[drawbridge scored crossings]*5</f>
        <v>#VALUE!</v>
      </c>
      <c r="BG91" s="16" t="e">
        <f aca="false">MatchData[sally port scored crossings]*5</f>
        <v>#VALUE!</v>
      </c>
      <c r="BH91" s="16" t="e">
        <f aca="false">MatchData[rock wall scored crossings]*5</f>
        <v>#VALUE!</v>
      </c>
      <c r="BI91" s="16" t="e">
        <f aca="false">MatchData[rough terrain scored crossings]*5</f>
        <v>#VALUE!</v>
      </c>
      <c r="BJ91" s="16" t="e">
        <f aca="false">MatchData[low bar scored crossings]*5</f>
        <v>#VALUE!</v>
      </c>
      <c r="BK91" s="16" t="e">
        <f aca="false">SUM(MatchData[[#this row],[low bar teleop crossings]:[rough terrain scored crossings]])</f>
        <v>#VALUE!</v>
      </c>
      <c r="BL91" s="16" t="e">
        <f aca="false">IFERROR(IF(OR(MatchData[[#this row],[challenge flag]],MatchData[[#this row],[climb flag]]),1,0),0)</f>
        <v>#VALUE!</v>
      </c>
      <c r="BM91" s="16" t="e">
        <f aca="false">MatchData[auto high goals]*10+MatchData[teleop high goals]*5</f>
        <v>#VALUE!</v>
      </c>
      <c r="BN91" s="16" t="e">
        <f aca="false">MatchData[auto low goals]*5+MatchData[teleop low goals]*2</f>
        <v>#VALUE!</v>
      </c>
      <c r="BO91" s="16" t="e">
        <f aca="false">MatchData[high goal score]+MatchData[low goal score]</f>
        <v>#VALUE!</v>
      </c>
      <c r="BP91" s="16" t="e">
        <f aca="false">MatchData[teleop high goals]+MatchData[teleop low goals]</f>
        <v>#VALUE!</v>
      </c>
      <c r="BQ91" s="16" t="e">
        <f aca="false">MatchData[[#this row],[auto reach flag]]*2+SUM(MatchData[[#this row],[portcullis auto crossings]:[low bar auto crossings]])*10+MatchData[[#this row],[auto low goals]]*5+MatchData[auto high goals]*10</f>
        <v>#VALUE!</v>
      </c>
      <c r="BR91" s="16" t="e">
        <f aca="false">SUM(MatchData[[#this row],[cheval teleop crossing score]:[low bar teleop crossing score]])</f>
        <v>#VALUE!</v>
      </c>
      <c r="BS91" s="16" t="e">
        <f aca="false">SUMIF(MatchData[team],MatchData[[#this row],[team]],MatchData[total auto score])/MatchData[match count]</f>
        <v>#VALUE!</v>
      </c>
      <c r="BT91" s="16" t="e">
        <f aca="false">MatchData[challenge flag]*5</f>
        <v>#VALUE!</v>
      </c>
      <c r="BU91" s="16" t="e">
        <f aca="false">MatchData[climb flag]*15</f>
        <v>#VALUE!</v>
      </c>
      <c r="BV91" s="16" t="e">
        <f aca="false">SUM(MatchData[[#this row],[total goal score]],MatchData[[#this row],[crossing score]],MatchData[[#this row],[challenge score]],MatchData[[#this row],[climb score]],MatchData[[#this row],[total auto score]])</f>
        <v>#VALUE!</v>
      </c>
      <c r="BW91" s="16" t="e">
        <f aca="false">ROUND(SUMIF(MatchData[team],MatchData[[#this row],[team]],MatchData[teleop low goals])/COUNTIF(MatchData[team],MatchData[[#this row],[team]]),2)</f>
        <v>#VALUE!</v>
      </c>
      <c r="BX91" s="16" t="e">
        <f aca="false">ROUND(SUMIF(MatchData[team],MatchData[[#this row],[team]],MatchData[teleop high goals])/COUNTIF(MatchData[team],MatchData[[#this row],[team]]),2)</f>
        <v>#VALUE!</v>
      </c>
      <c r="BY91" s="16" t="e">
        <f aca="false">COUNTIF(MatchData[team],MatchData[[#this row],[team]])</f>
        <v>#VALUE!</v>
      </c>
      <c r="BZ91" s="16" t="e">
        <f aca="false">SUMIF(MatchData[team],MatchData[[#this row],[team]],MatchData[portcullis available])</f>
        <v>#VALUE!</v>
      </c>
      <c r="CA91" s="16" t="e">
        <f aca="false">SUMIF(MatchData[team],MatchData[[#this row],[team]],MatchData[cheval available])</f>
        <v>#VALUE!</v>
      </c>
      <c r="CB91" s="16" t="e">
        <f aca="false">SUMIF(MatchData[team],MatchData[[#this row],[team]],MatchData[moat available])</f>
        <v>#VALUE!</v>
      </c>
      <c r="CC91" s="16" t="e">
        <f aca="false">SUMIF(MatchData[team],MatchData[[#this row],[team]],MatchData[ramparts available])</f>
        <v>#VALUE!</v>
      </c>
      <c r="CD91" s="16" t="e">
        <f aca="false">SUMIF(MatchData[team],MatchData[[#this row],[team]],MatchData[drawbridge available])</f>
        <v>#VALUE!</v>
      </c>
      <c r="CE91" s="16" t="e">
        <f aca="false">SUMIF(MatchData[team],MatchData[[#this row],[team]],MatchData[sally port available])</f>
        <v>#VALUE!</v>
      </c>
      <c r="CF91" s="16" t="e">
        <f aca="false">SUMIF(MatchData[team],MatchData[[#this row],[team]],MatchData[rock wall available])</f>
        <v>#VALUE!</v>
      </c>
      <c r="CG91" s="16" t="e">
        <f aca="false">SUMIF(MatchData[team],MatchData[[#this row],[team]],MatchData[rough terrain available])</f>
        <v>#VALUE!</v>
      </c>
      <c r="CH91" s="16" t="e">
        <f aca="false">SUMIF(MatchData[team],MatchData[[#this row],[team]],MatchData[low bar available])</f>
        <v>#VALUE!</v>
      </c>
      <c r="CI91" s="16" t="e">
        <f aca="false">SUMIF(MatchData[team],MatchData[[#this row],[team]],MatchData[portcullis teleop crossings]:MatchData[portcullis scored crossings])</f>
        <v>#VALUE!</v>
      </c>
      <c r="CJ91" s="16" t="e">
        <f aca="false">SUMIF(MatchData[team],MatchData[[#this row],[team]],MatchData[cheval teleop crossings])+SUMIF(MatchData[team],MatchData[[#this row],[team]],MatchData[cheval scored crossings])</f>
        <v>#VALUE!</v>
      </c>
      <c r="CK91" s="16" t="e">
        <f aca="false">SUMIF(MatchData[team],MatchData[[#this row],[team]],MatchData[moat teleop crossings])+SUMIF(MatchData[team],MatchData[[#this row],[team]],MatchData[moat scored crosings])</f>
        <v>#VALUE!</v>
      </c>
      <c r="CL91" s="16" t="e">
        <f aca="false">SUMIF(MatchData[team],MatchData[[#this row],[team]],MatchData[ramparts teleop crossings])+SUMIF(MatchData[team],MatchData[[#this row],[team]],MatchData[ramparts scored crossings])</f>
        <v>#VALUE!</v>
      </c>
      <c r="CM91" s="16" t="e">
        <f aca="false">SUMIF(MatchData[team],MatchData[[#this row],[team]],MatchData[drawbridge teleop crossings])+SUMIF(MatchData[team],MatchData[[#this row],[team]],MatchData[drawbridge scored crossings])</f>
        <v>#VALUE!</v>
      </c>
      <c r="CN91" s="16" t="e">
        <f aca="false">SUMIF(MatchData[team],MatchData[[#this row],[team]],MatchData[sally port teleop crossings])+SUMIF(MatchData[team],MatchData[[#this row],[team]],MatchData[sally port scored crossings])</f>
        <v>#VALUE!</v>
      </c>
      <c r="CO91" s="16" t="e">
        <f aca="false">SUMIF(MatchData[team],MatchData[[#this row],[team]],MatchData[rock wall teleop crossings])+SUMIF(MatchData[team],MatchData[[#this row],[team]],MatchData[rock wall scored crossings])</f>
        <v>#VALUE!</v>
      </c>
      <c r="CP91" s="16" t="e">
        <f aca="false">SUMIF(MatchData[team],MatchData[[#this row],[team]],MatchData[rough terrain teleop crossings])+SUMIF(MatchData[team],MatchData[[#this row],[team]],MatchData[rough terrain scored crossings])</f>
        <v>#VALUE!</v>
      </c>
      <c r="CQ91" s="16" t="e">
        <f aca="false">SUMIF(MatchData[team],MatchData[[#this row],[team]],MatchData[low bar teleop crossings])+SUMIF(MatchData[team],MatchData[[#this row],[team]],MatchData[low bar scored crossings])</f>
        <v>#VALUE!</v>
      </c>
      <c r="CR91" s="16" t="e">
        <f aca="false">IFERROR(ROUND(MatchData[[#this row],[portcullis sum]]/MatchData[[#this row],[portcullis avail count]],2),0)</f>
        <v>#VALUE!</v>
      </c>
      <c r="CS91" s="16" t="e">
        <f aca="false">IFERROR(ROUND(MatchData[[#this row],[cheval sum]]/MatchData[[#this row],[cheval avail count]],2),0)</f>
        <v>#VALUE!</v>
      </c>
      <c r="CT91" s="16" t="e">
        <f aca="false">IFERROR(ROUND(MatchData[[#this row],[moat sum]]/MatchData[[#this row],[moat avail count]],2),0)</f>
        <v>#VALUE!</v>
      </c>
      <c r="CU91" s="16" t="e">
        <f aca="false">IFERROR(ROUND(MatchData[[#this row],[ramparts sum]]/MatchData[[#this row],[ramparts avail count]],2),0)</f>
        <v>#VALUE!</v>
      </c>
      <c r="CV91" s="16" t="e">
        <f aca="false">IFERROR(ROUND(MatchData[[#this row],[drawbridge sum]]/MatchData[[#this row],[drawbridge avail countigh6]],2),0)</f>
        <v>#VALUE!</v>
      </c>
      <c r="CW91" s="16" t="e">
        <f aca="false">IFERROR(ROUND(MatchData[[#this row],[sally port sum]]/MatchData[[#this row],[sally port avail count]],2),0)</f>
        <v>#VALUE!</v>
      </c>
      <c r="CX91" s="5" t="e">
        <f aca="false">IFERROR(ROUND(MatchData[[#this row],[rock wall sum]]/MatchData[[#this row],[rock wall avail count]],2),0)</f>
        <v>#VALUE!</v>
      </c>
      <c r="CY91" s="5" t="e">
        <f aca="false">IFERROR(ROUND(MatchData[[#this row],[rough terrain sum]]/MatchData[[#this row],[rough terrain avail count]],2),0)</f>
        <v>#VALUE!</v>
      </c>
      <c r="CZ91" s="5" t="e">
        <f aca="false">IFERROR(ROUND(MatchData[[#this row],[low bar sum]]/MatchData[[#this row],[low bar avail count]],2),0)</f>
        <v>#VALUE!</v>
      </c>
      <c r="DA91" s="16" t="e">
        <f aca="false">SUM(MatchData[[#this row],[cheval sum]:[low bar sum]])/MatchData[match count]</f>
        <v>#VALUE!</v>
      </c>
      <c r="DB91" s="16" t="n">
        <f aca="false">MAX(IF(C$2:C$74=C91,BP$2:BP$74))</f>
        <v>-1.79769313486232E+308</v>
      </c>
      <c r="DC91" s="16" t="e">
        <f aca="false">AVERAGEIF(MatchData[team],MatchData[[#this row],[team]],MatchData[total score])</f>
        <v>#VALUE!</v>
      </c>
      <c r="DD91" s="16" t="e">
        <f aca="false">ROUND(AVERAGEIF(MatchData[team],MatchData[team],MatchData[climb or challenge flag]),2)</f>
        <v>#VALUE!</v>
      </c>
    </row>
    <row r="92" customFormat="false" ht="14.5" hidden="false" customHeight="false" outlineLevel="0" collapsed="false">
      <c r="A92" s="13" t="s">
        <v>108</v>
      </c>
      <c r="B92" s="14" t="n">
        <v>16</v>
      </c>
      <c r="C92" s="15" t="n">
        <v>1425</v>
      </c>
      <c r="D92" s="5" t="s">
        <v>109</v>
      </c>
      <c r="E92" s="5" t="s">
        <v>125</v>
      </c>
      <c r="G92" s="16"/>
      <c r="I92" s="16" t="n">
        <v>3</v>
      </c>
      <c r="J92" s="5" t="n">
        <v>1</v>
      </c>
      <c r="K92" s="16"/>
      <c r="L92" s="5" t="n">
        <v>1</v>
      </c>
      <c r="N92" s="5" t="n">
        <v>1</v>
      </c>
      <c r="O92" s="5" t="n">
        <v>1</v>
      </c>
      <c r="P92" s="0"/>
      <c r="Q92" s="5" t="n">
        <v>1</v>
      </c>
      <c r="R92" s="0"/>
      <c r="S92" s="16"/>
      <c r="T92" s="0"/>
      <c r="U92" s="16"/>
      <c r="V92" s="16"/>
      <c r="W92" s="5" t="n">
        <v>1</v>
      </c>
      <c r="X92" s="0"/>
      <c r="AD92" s="16" t="n">
        <v>1</v>
      </c>
      <c r="AE92" s="5"/>
      <c r="AF92" s="16"/>
      <c r="AG92" s="16"/>
      <c r="AH92" s="16"/>
      <c r="AJ92" s="16"/>
      <c r="AL92" s="16" t="n">
        <v>1</v>
      </c>
      <c r="AN92" s="16"/>
      <c r="AP92" s="16"/>
      <c r="AR92" s="16" t="n">
        <v>1</v>
      </c>
      <c r="AT92" s="16"/>
      <c r="AU92" s="16"/>
      <c r="AV92" s="16"/>
      <c r="AW92" s="16" t="n">
        <v>1</v>
      </c>
      <c r="AX92" s="16"/>
      <c r="AY92" s="16"/>
      <c r="AZ92" s="16"/>
      <c r="BB92" s="16" t="n">
        <v>1</v>
      </c>
      <c r="BC92" s="16" t="e">
        <f aca="false">MatchData[cheval scored crossings]*5</f>
        <v>#VALUE!</v>
      </c>
      <c r="BD92" s="16" t="e">
        <f aca="false">MatchData[moat scored crosings]*5</f>
        <v>#VALUE!</v>
      </c>
      <c r="BE92" s="16" t="e">
        <f aca="false">MatchData[ramparts scored crossings]*5</f>
        <v>#VALUE!</v>
      </c>
      <c r="BF92" s="16" t="e">
        <f aca="false">MatchData[drawbridge scored crossings]*5</f>
        <v>#VALUE!</v>
      </c>
      <c r="BG92" s="16" t="e">
        <f aca="false">MatchData[sally port scored crossings]*5</f>
        <v>#VALUE!</v>
      </c>
      <c r="BH92" s="16" t="e">
        <f aca="false">MatchData[rock wall scored crossings]*5</f>
        <v>#VALUE!</v>
      </c>
      <c r="BI92" s="16" t="e">
        <f aca="false">MatchData[rough terrain scored crossings]*5</f>
        <v>#VALUE!</v>
      </c>
      <c r="BJ92" s="16" t="e">
        <f aca="false">MatchData[low bar scored crossings]*5</f>
        <v>#VALUE!</v>
      </c>
      <c r="BK92" s="16" t="e">
        <f aca="false">SUM(MatchData[[#this row],[low bar teleop crossings]:[rough terrain scored crossings]])</f>
        <v>#VALUE!</v>
      </c>
      <c r="BL92" s="16" t="e">
        <f aca="false">IFERROR(IF(OR(MatchData[[#this row],[challenge flag]],MatchData[[#this row],[climb flag]]),1,0),0)</f>
        <v>#VALUE!</v>
      </c>
      <c r="BM92" s="16" t="e">
        <f aca="false">MatchData[auto high goals]*10+MatchData[teleop high goals]*5</f>
        <v>#VALUE!</v>
      </c>
      <c r="BN92" s="16" t="e">
        <f aca="false">MatchData[auto low goals]*5+MatchData[teleop low goals]*2</f>
        <v>#VALUE!</v>
      </c>
      <c r="BO92" s="16" t="e">
        <f aca="false">MatchData[high goal score]+MatchData[low goal score]</f>
        <v>#VALUE!</v>
      </c>
      <c r="BP92" s="16" t="e">
        <f aca="false">MatchData[teleop high goals]+MatchData[teleop low goals]</f>
        <v>#VALUE!</v>
      </c>
      <c r="BQ92" s="16" t="e">
        <f aca="false">MatchData[[#this row],[auto reach flag]]*2+SUM(MatchData[[#this row],[portcullis auto crossings]:[low bar auto crossings]])*10+MatchData[[#this row],[auto low goals]]*5+MatchData[auto high goals]*10</f>
        <v>#VALUE!</v>
      </c>
      <c r="BR92" s="16" t="e">
        <f aca="false">SUM(MatchData[[#this row],[cheval teleop crossing score]:[low bar teleop crossing score]])</f>
        <v>#VALUE!</v>
      </c>
      <c r="BS92" s="16" t="e">
        <f aca="false">SUMIF(MatchData[team],MatchData[[#this row],[team]],MatchData[total auto score])/MatchData[match count]</f>
        <v>#VALUE!</v>
      </c>
      <c r="BT92" s="16" t="e">
        <f aca="false">MatchData[challenge flag]*5</f>
        <v>#VALUE!</v>
      </c>
      <c r="BU92" s="16" t="e">
        <f aca="false">MatchData[climb flag]*15</f>
        <v>#VALUE!</v>
      </c>
      <c r="BV92" s="16" t="e">
        <f aca="false">SUM(MatchData[[#this row],[total goal score]],MatchData[[#this row],[crossing score]],MatchData[[#this row],[challenge score]],MatchData[[#this row],[climb score]],MatchData[[#this row],[total auto score]])</f>
        <v>#VALUE!</v>
      </c>
      <c r="BW92" s="16" t="e">
        <f aca="false">ROUND(SUMIF(MatchData[team],MatchData[[#this row],[team]],MatchData[teleop low goals])/COUNTIF(MatchData[team],MatchData[[#this row],[team]]),2)</f>
        <v>#VALUE!</v>
      </c>
      <c r="BX92" s="16" t="e">
        <f aca="false">ROUND(SUMIF(MatchData[team],MatchData[[#this row],[team]],MatchData[teleop high goals])/COUNTIF(MatchData[team],MatchData[[#this row],[team]]),2)</f>
        <v>#VALUE!</v>
      </c>
      <c r="BY92" s="16" t="e">
        <f aca="false">COUNTIF(MatchData[team],MatchData[[#this row],[team]])</f>
        <v>#VALUE!</v>
      </c>
      <c r="BZ92" s="16" t="e">
        <f aca="false">SUMIF(MatchData[team],MatchData[[#this row],[team]],MatchData[portcullis available])</f>
        <v>#VALUE!</v>
      </c>
      <c r="CA92" s="16" t="e">
        <f aca="false">SUMIF(MatchData[team],MatchData[[#this row],[team]],MatchData[cheval available])</f>
        <v>#VALUE!</v>
      </c>
      <c r="CB92" s="16" t="e">
        <f aca="false">SUMIF(MatchData[team],MatchData[[#this row],[team]],MatchData[moat available])</f>
        <v>#VALUE!</v>
      </c>
      <c r="CC92" s="16" t="e">
        <f aca="false">SUMIF(MatchData[team],MatchData[[#this row],[team]],MatchData[ramparts available])</f>
        <v>#VALUE!</v>
      </c>
      <c r="CD92" s="16" t="e">
        <f aca="false">SUMIF(MatchData[team],MatchData[[#this row],[team]],MatchData[drawbridge available])</f>
        <v>#VALUE!</v>
      </c>
      <c r="CE92" s="16" t="e">
        <f aca="false">SUMIF(MatchData[team],MatchData[[#this row],[team]],MatchData[sally port available])</f>
        <v>#VALUE!</v>
      </c>
      <c r="CF92" s="16" t="e">
        <f aca="false">SUMIF(MatchData[team],MatchData[[#this row],[team]],MatchData[rock wall available])</f>
        <v>#VALUE!</v>
      </c>
      <c r="CG92" s="16" t="e">
        <f aca="false">SUMIF(MatchData[team],MatchData[[#this row],[team]],MatchData[rough terrain available])</f>
        <v>#VALUE!</v>
      </c>
      <c r="CH92" s="16" t="e">
        <f aca="false">SUMIF(MatchData[team],MatchData[[#this row],[team]],MatchData[low bar available])</f>
        <v>#VALUE!</v>
      </c>
      <c r="CI92" s="16" t="e">
        <f aca="false">SUMIF(MatchData[team],MatchData[[#this row],[team]],MatchData[portcullis teleop crossings]) + SUMIF(MatchData[team],MatchData[[#this row],[team]],MatchData[portcullis scored crossings])</f>
        <v>#VALUE!</v>
      </c>
      <c r="CJ92" s="16" t="e">
        <f aca="false">SUMIF(MatchData[team],MatchData[[#this row],[team]],MatchData[cheval teleop crossings])+SUMIF(MatchData[team],MatchData[[#this row],[team]],MatchData[cheval scored crossings])</f>
        <v>#VALUE!</v>
      </c>
      <c r="CK92" s="16" t="e">
        <f aca="false">SUMIF(MatchData[team],MatchData[[#this row],[team]],MatchData[moat teleop crossings])+SUMIF(MatchData[team],MatchData[[#this row],[team]],MatchData[moat scored crosings])</f>
        <v>#VALUE!</v>
      </c>
      <c r="CL92" s="16" t="e">
        <f aca="false">SUMIF(MatchData[team],MatchData[[#this row],[team]],MatchData[ramparts teleop crossings])+SUMIF(MatchData[team],MatchData[[#this row],[team]],MatchData[ramparts scored crossings])</f>
        <v>#VALUE!</v>
      </c>
      <c r="CM92" s="16" t="e">
        <f aca="false">SUMIF(MatchData[team],MatchData[[#this row],[team]],MatchData[drawbridge teleop crossings])+SUMIF(MatchData[team],MatchData[[#this row],[team]],MatchData[drawbridge scored crossings])</f>
        <v>#VALUE!</v>
      </c>
      <c r="CN92" s="16" t="e">
        <f aca="false">SUMIF(MatchData[team],MatchData[[#this row],[team]],MatchData[sally port teleop crossings])+SUMIF(MatchData[team],MatchData[[#this row],[team]],MatchData[sally port scored crossings])</f>
        <v>#VALUE!</v>
      </c>
      <c r="CO92" s="16" t="e">
        <f aca="false">SUMIF(MatchData[team],MatchData[[#this row],[team]],MatchData[rock wall teleop crossings])+SUMIF(MatchData[team],MatchData[[#this row],[team]],MatchData[rock wall scored crossings])</f>
        <v>#VALUE!</v>
      </c>
      <c r="CP92" s="16" t="e">
        <f aca="false">SUMIF(MatchData[team],MatchData[[#this row],[team]],MatchData[rough terrain teleop crossings])+SUMIF(MatchData[team],MatchData[[#this row],[team]],MatchData[rough terrain scored crossings])</f>
        <v>#VALUE!</v>
      </c>
      <c r="CQ92" s="16" t="e">
        <f aca="false">SUMIF(MatchData[team],MatchData[[#this row],[team]],MatchData[low bar teleop crossings])+SUMIF(MatchData[team],MatchData[[#this row],[team]],MatchData[low bar scored crossings])</f>
        <v>#VALUE!</v>
      </c>
      <c r="CR92" s="16" t="e">
        <f aca="false">IFERROR(ROUND(MatchData[[#this row],[portcullis sum]]/MatchData[[#this row],[portcullis avail count]],2),0)</f>
        <v>#VALUE!</v>
      </c>
      <c r="CS92" s="16" t="e">
        <f aca="false">IFERROR(ROUND(MatchData[[#this row],[cheval sum]]/MatchData[[#this row],[cheval avail count]],2),0)</f>
        <v>#VALUE!</v>
      </c>
      <c r="CT92" s="16" t="e">
        <f aca="false">IFERROR(ROUND(MatchData[[#this row],[moat sum]]/MatchData[[#this row],[moat avail count]],2),0)</f>
        <v>#VALUE!</v>
      </c>
      <c r="CU92" s="16" t="e">
        <f aca="false">IFERROR(ROUND(MatchData[[#this row],[ramparts sum]]/MatchData[[#this row],[ramparts avail count]],2),0)</f>
        <v>#VALUE!</v>
      </c>
      <c r="CV92" s="16" t="e">
        <f aca="false">IFERROR(ROUND(MatchData[[#this row],[drawbridge sum]]/MatchData[[#this row],[drawbridge avail countigh6]],2),0)</f>
        <v>#VALUE!</v>
      </c>
      <c r="CW92" s="16" t="e">
        <f aca="false">IFERROR(ROUND(MatchData[[#this row],[sally port sum]]/MatchData[[#this row],[sally port avail count]],2),0)</f>
        <v>#VALUE!</v>
      </c>
      <c r="CX92" s="5" t="e">
        <f aca="false">IFERROR(ROUND(MatchData[[#this row],[rock wall sum]]/MatchData[[#this row],[rock wall avail count]],2),0)</f>
        <v>#VALUE!</v>
      </c>
      <c r="CY92" s="5" t="e">
        <f aca="false">IFERROR(ROUND(MatchData[[#this row],[rough terrain sum]]/MatchData[[#this row],[rough terrain avail count]],2),0)</f>
        <v>#VALUE!</v>
      </c>
      <c r="CZ92" s="5" t="e">
        <f aca="false">IFERROR(ROUND(MatchData[[#this row],[low bar sum]]/MatchData[[#this row],[low bar avail count]],2),0)</f>
        <v>#VALUE!</v>
      </c>
      <c r="DA92" s="16" t="e">
        <f aca="false">SUM(MatchData[[#this row],[cheval sum]:[low bar sum]])/MatchData[match count]</f>
        <v>#VALUE!</v>
      </c>
      <c r="DB92" s="16" t="n">
        <f aca="false">MAX(IF(C$2:C$74=C92,BP$2:BP$74))</f>
        <v>-1.79769313486232E+308</v>
      </c>
      <c r="DC92" s="16" t="e">
        <f aca="false">AVERAGEIF(MatchData[team],MatchData[[#this row],[team]],MatchData[total score])</f>
        <v>#VALUE!</v>
      </c>
      <c r="DD92" s="16" t="e">
        <f aca="false">ROUND(AVERAGEIF(MatchData[team],MatchData[team],MatchData[climb or challenge flag]),2)</f>
        <v>#VALUE!</v>
      </c>
    </row>
    <row r="93" customFormat="false" ht="14.5" hidden="false" customHeight="false" outlineLevel="0" collapsed="false">
      <c r="A93" s="13" t="s">
        <v>108</v>
      </c>
      <c r="B93" s="14" t="n">
        <v>16</v>
      </c>
      <c r="C93" s="15" t="n">
        <v>2471</v>
      </c>
      <c r="D93" s="5" t="s">
        <v>109</v>
      </c>
      <c r="E93" s="5" t="s">
        <v>140</v>
      </c>
      <c r="G93" s="16"/>
      <c r="I93" s="16"/>
      <c r="J93" s="5" t="n">
        <v>1</v>
      </c>
      <c r="K93" s="16"/>
      <c r="L93" s="5" t="n">
        <v>1</v>
      </c>
      <c r="N93" s="5" t="n">
        <v>1</v>
      </c>
      <c r="O93" s="5" t="n">
        <v>1</v>
      </c>
      <c r="P93" s="0"/>
      <c r="Q93" s="5" t="n">
        <v>1</v>
      </c>
      <c r="R93" s="0"/>
      <c r="S93" s="16"/>
      <c r="T93" s="0"/>
      <c r="U93" s="16"/>
      <c r="V93" s="16"/>
      <c r="W93" s="0"/>
      <c r="X93" s="0"/>
      <c r="Z93" s="5" t="n">
        <v>1</v>
      </c>
      <c r="AD93" s="16"/>
      <c r="AE93" s="5"/>
      <c r="AF93" s="16"/>
      <c r="AG93" s="16"/>
      <c r="AH93" s="16" t="n">
        <v>2</v>
      </c>
      <c r="AJ93" s="16"/>
      <c r="AL93" s="16"/>
      <c r="AN93" s="16" t="n">
        <v>2</v>
      </c>
      <c r="AP93" s="16"/>
      <c r="AR93" s="16" t="n">
        <v>1</v>
      </c>
      <c r="AT93" s="16"/>
      <c r="AU93" s="16"/>
      <c r="AV93" s="16"/>
      <c r="AW93" s="16" t="n">
        <v>1</v>
      </c>
      <c r="AX93" s="16"/>
      <c r="AY93" s="16"/>
      <c r="AZ93" s="16"/>
      <c r="BB93" s="16" t="n">
        <v>1</v>
      </c>
      <c r="BC93" s="16" t="e">
        <f aca="false">MatchData[cheval scored crossings]*5</f>
        <v>#VALUE!</v>
      </c>
      <c r="BD93" s="16" t="e">
        <f aca="false">MatchData[moat scored crosings]*5</f>
        <v>#VALUE!</v>
      </c>
      <c r="BE93" s="16" t="e">
        <f aca="false">MatchData[ramparts scored crossings]*5</f>
        <v>#VALUE!</v>
      </c>
      <c r="BF93" s="16" t="e">
        <f aca="false">MatchData[drawbridge scored crossings]*5</f>
        <v>#VALUE!</v>
      </c>
      <c r="BG93" s="16" t="e">
        <f aca="false">MatchData[sally port scored crossings]*5</f>
        <v>#VALUE!</v>
      </c>
      <c r="BH93" s="16" t="e">
        <f aca="false">MatchData[rock wall scored crossings]*5</f>
        <v>#VALUE!</v>
      </c>
      <c r="BI93" s="16" t="e">
        <f aca="false">MatchData[rough terrain scored crossings]*5</f>
        <v>#VALUE!</v>
      </c>
      <c r="BJ93" s="16" t="e">
        <f aca="false">MatchData[low bar scored crossings]*5</f>
        <v>#VALUE!</v>
      </c>
      <c r="BK93" s="16" t="e">
        <f aca="false">SUM(MatchData[[#this row],[low bar teleop crossings]:[rough terrain scored crossings]])</f>
        <v>#VALUE!</v>
      </c>
      <c r="BL93" s="16" t="e">
        <f aca="false">IFERROR(IF(OR(MatchData[[#this row],[challenge flag]],MatchData[[#this row],[climb flag]]),1,0),0)</f>
        <v>#VALUE!</v>
      </c>
      <c r="BM93" s="16" t="e">
        <f aca="false">MatchData[auto high goals]*10+MatchData[teleop high goals]*5</f>
        <v>#VALUE!</v>
      </c>
      <c r="BN93" s="16" t="e">
        <f aca="false">MatchData[auto low goals]*5+MatchData[teleop low goals]*2</f>
        <v>#VALUE!</v>
      </c>
      <c r="BO93" s="16" t="e">
        <f aca="false">MatchData[high goal score]+MatchData[low goal score]</f>
        <v>#VALUE!</v>
      </c>
      <c r="BP93" s="16" t="e">
        <f aca="false">MatchData[teleop high goals]+MatchData[teleop low goals]</f>
        <v>#VALUE!</v>
      </c>
      <c r="BQ93" s="16" t="e">
        <f aca="false">MatchData[[#this row],[auto reach flag]]*2+SUM(MatchData[[#this row],[portcullis auto crossings]:[low bar auto crossings]])*10+MatchData[[#this row],[auto low goals]]*5+MatchData[auto high goals]*10</f>
        <v>#VALUE!</v>
      </c>
      <c r="BR93" s="16" t="e">
        <f aca="false">SUM(MatchData[[#this row],[cheval teleop crossing score]:[low bar teleop crossing score]])</f>
        <v>#VALUE!</v>
      </c>
      <c r="BS93" s="16" t="e">
        <f aca="false">SUMIF(MatchData[team],MatchData[[#this row],[team]],MatchData[total auto score])/MatchData[match count]</f>
        <v>#VALUE!</v>
      </c>
      <c r="BT93" s="16" t="e">
        <f aca="false">MatchData[challenge flag]*5</f>
        <v>#VALUE!</v>
      </c>
      <c r="BU93" s="16" t="e">
        <f aca="false">MatchData[climb flag]*15</f>
        <v>#VALUE!</v>
      </c>
      <c r="BV93" s="16" t="e">
        <f aca="false">SUM(MatchData[[#this row],[total goal score]],MatchData[[#this row],[crossing score]],MatchData[[#this row],[challenge score]],MatchData[[#this row],[climb score]],MatchData[[#this row],[total auto score]])</f>
        <v>#VALUE!</v>
      </c>
      <c r="BW93" s="16" t="e">
        <f aca="false">ROUND(SUMIF(MatchData[team],MatchData[[#this row],[team]],MatchData[teleop low goals])/COUNTIF(MatchData[team],MatchData[[#this row],[team]]),2)</f>
        <v>#VALUE!</v>
      </c>
      <c r="BX93" s="16" t="e">
        <f aca="false">ROUND(SUMIF(MatchData[team],MatchData[[#this row],[team]],MatchData[teleop high goals])/COUNTIF(MatchData[team],MatchData[[#this row],[team]]),2)</f>
        <v>#VALUE!</v>
      </c>
      <c r="BY93" s="16" t="e">
        <f aca="false">COUNTIF(MatchData[team],MatchData[[#this row],[team]])</f>
        <v>#VALUE!</v>
      </c>
      <c r="BZ93" s="16" t="e">
        <f aca="false">SUMIF(MatchData[team],MatchData[[#this row],[team]],MatchData[portcullis available])</f>
        <v>#VALUE!</v>
      </c>
      <c r="CA93" s="16" t="e">
        <f aca="false">SUMIF(MatchData[team],MatchData[[#this row],[team]],MatchData[cheval available])</f>
        <v>#VALUE!</v>
      </c>
      <c r="CB93" s="16" t="e">
        <f aca="false">SUMIF(MatchData[team],MatchData[[#this row],[team]],MatchData[moat available])</f>
        <v>#VALUE!</v>
      </c>
      <c r="CC93" s="16" t="e">
        <f aca="false">SUMIF(MatchData[team],MatchData[[#this row],[team]],MatchData[ramparts available])</f>
        <v>#VALUE!</v>
      </c>
      <c r="CD93" s="16" t="e">
        <f aca="false">SUMIF(MatchData[team],MatchData[[#this row],[team]],MatchData[drawbridge available])</f>
        <v>#VALUE!</v>
      </c>
      <c r="CE93" s="16" t="e">
        <f aca="false">SUMIF(MatchData[team],MatchData[[#this row],[team]],MatchData[sally port available])</f>
        <v>#VALUE!</v>
      </c>
      <c r="CF93" s="16" t="e">
        <f aca="false">SUMIF(MatchData[team],MatchData[[#this row],[team]],MatchData[rock wall available])</f>
        <v>#VALUE!</v>
      </c>
      <c r="CG93" s="16" t="e">
        <f aca="false">SUMIF(MatchData[team],MatchData[[#this row],[team]],MatchData[rough terrain available])</f>
        <v>#VALUE!</v>
      </c>
      <c r="CH93" s="16" t="e">
        <f aca="false">SUMIF(MatchData[team],MatchData[[#this row],[team]],MatchData[low bar available])</f>
        <v>#VALUE!</v>
      </c>
      <c r="CI93" s="16" t="e">
        <f aca="false">SUMIF(MatchData[team],MatchData[[#this row],[team]],MatchData[portcullis teleop crossings]:MatchData[portcullis scored crossings])</f>
        <v>#VALUE!</v>
      </c>
      <c r="CJ93" s="16" t="e">
        <f aca="false">SUMIF(MatchData[team],MatchData[[#this row],[team]],MatchData[cheval teleop crossings])+SUMIF(MatchData[team],MatchData[[#this row],[team]],MatchData[cheval scored crossings])</f>
        <v>#VALUE!</v>
      </c>
      <c r="CK93" s="16" t="e">
        <f aca="false">SUMIF(MatchData[team],MatchData[[#this row],[team]],MatchData[moat teleop crossings])+SUMIF(MatchData[team],MatchData[[#this row],[team]],MatchData[moat scored crosings])</f>
        <v>#VALUE!</v>
      </c>
      <c r="CL93" s="16" t="e">
        <f aca="false">SUMIF(MatchData[team],MatchData[[#this row],[team]],MatchData[ramparts teleop crossings])+SUMIF(MatchData[team],MatchData[[#this row],[team]],MatchData[ramparts scored crossings])</f>
        <v>#VALUE!</v>
      </c>
      <c r="CM93" s="16" t="e">
        <f aca="false">SUMIF(MatchData[team],MatchData[[#this row],[team]],MatchData[drawbridge teleop crossings])+SUMIF(MatchData[team],MatchData[[#this row],[team]],MatchData[drawbridge scored crossings])</f>
        <v>#VALUE!</v>
      </c>
      <c r="CN93" s="16" t="e">
        <f aca="false">SUMIF(MatchData[team],MatchData[[#this row],[team]],MatchData[sally port teleop crossings])+SUMIF(MatchData[team],MatchData[[#this row],[team]],MatchData[sally port scored crossings])</f>
        <v>#VALUE!</v>
      </c>
      <c r="CO93" s="16" t="e">
        <f aca="false">SUMIF(MatchData[team],MatchData[[#this row],[team]],MatchData[rock wall teleop crossings])+SUMIF(MatchData[team],MatchData[[#this row],[team]],MatchData[rock wall scored crossings])</f>
        <v>#VALUE!</v>
      </c>
      <c r="CP93" s="16" t="e">
        <f aca="false">SUMIF(MatchData[team],MatchData[[#this row],[team]],MatchData[rough terrain teleop crossings])+SUMIF(MatchData[team],MatchData[[#this row],[team]],MatchData[rough terrain scored crossings])</f>
        <v>#VALUE!</v>
      </c>
      <c r="CQ93" s="16" t="e">
        <f aca="false">SUMIF(MatchData[team],MatchData[[#this row],[team]],MatchData[low bar teleop crossings])+SUMIF(MatchData[team],MatchData[[#this row],[team]],MatchData[low bar scored crossings])</f>
        <v>#VALUE!</v>
      </c>
      <c r="CR93" s="16" t="e">
        <f aca="false">IFERROR(ROUND(MatchData[[#this row],[portcullis sum]]/MatchData[[#this row],[portcullis avail count]],2),0)</f>
        <v>#VALUE!</v>
      </c>
      <c r="CS93" s="16" t="e">
        <f aca="false">IFERROR(ROUND(MatchData[[#this row],[cheval sum]]/MatchData[[#this row],[cheval avail count]],2),0)</f>
        <v>#VALUE!</v>
      </c>
      <c r="CT93" s="16" t="e">
        <f aca="false">IFERROR(ROUND(MatchData[[#this row],[moat sum]]/MatchData[[#this row],[moat avail count]],2),0)</f>
        <v>#VALUE!</v>
      </c>
      <c r="CU93" s="16" t="e">
        <f aca="false">IFERROR(ROUND(MatchData[[#this row],[ramparts sum]]/MatchData[[#this row],[ramparts avail count]],2),0)</f>
        <v>#VALUE!</v>
      </c>
      <c r="CV93" s="16" t="e">
        <f aca="false">IFERROR(ROUND(MatchData[[#this row],[drawbridge sum]]/MatchData[[#this row],[drawbridge avail countigh6]],2),0)</f>
        <v>#VALUE!</v>
      </c>
      <c r="CW93" s="16" t="e">
        <f aca="false">IFERROR(ROUND(MatchData[[#this row],[sally port sum]]/MatchData[[#this row],[sally port avail count]],2),0)</f>
        <v>#VALUE!</v>
      </c>
      <c r="CX93" s="5" t="e">
        <f aca="false">IFERROR(ROUND(MatchData[[#this row],[rock wall sum]]/MatchData[[#this row],[rock wall avail count]],2),0)</f>
        <v>#VALUE!</v>
      </c>
      <c r="CY93" s="5" t="e">
        <f aca="false">IFERROR(ROUND(MatchData[[#this row],[rough terrain sum]]/MatchData[[#this row],[rough terrain avail count]],2),0)</f>
        <v>#VALUE!</v>
      </c>
      <c r="CZ93" s="5" t="e">
        <f aca="false">IFERROR(ROUND(MatchData[[#this row],[low bar sum]]/MatchData[[#this row],[low bar avail count]],2),0)</f>
        <v>#VALUE!</v>
      </c>
      <c r="DA93" s="16" t="e">
        <f aca="false">SUM(MatchData[[#this row],[cheval sum]:[low bar sum]])/MatchData[match count]</f>
        <v>#VALUE!</v>
      </c>
      <c r="DB93" s="16" t="n">
        <f aca="false">MAX(IF(C$2:C$74=C93,BP$2:BP$74))</f>
        <v>-1.79769313486232E+308</v>
      </c>
      <c r="DC93" s="16" t="e">
        <f aca="false">AVERAGEIF(MatchData[team],MatchData[[#this row],[team]],MatchData[total score])</f>
        <v>#VALUE!</v>
      </c>
      <c r="DD93" s="16" t="e">
        <f aca="false">ROUND(AVERAGEIF(MatchData[team],MatchData[team],MatchData[climb or challenge flag]),2)</f>
        <v>#VALUE!</v>
      </c>
    </row>
    <row r="94" customFormat="false" ht="14.5" hidden="false" customHeight="false" outlineLevel="0" collapsed="false">
      <c r="A94" s="17" t="s">
        <v>108</v>
      </c>
      <c r="B94" s="18" t="n">
        <v>16</v>
      </c>
      <c r="C94" s="15" t="n">
        <v>4662</v>
      </c>
      <c r="D94" s="5" t="s">
        <v>109</v>
      </c>
      <c r="E94" s="5" t="s">
        <v>110</v>
      </c>
      <c r="G94" s="16"/>
      <c r="I94" s="16"/>
      <c r="J94" s="5" t="n">
        <v>1</v>
      </c>
      <c r="K94" s="16"/>
      <c r="L94" s="5" t="n">
        <v>1</v>
      </c>
      <c r="N94" s="5" t="n">
        <v>1</v>
      </c>
      <c r="O94" s="5" t="n">
        <v>1</v>
      </c>
      <c r="P94" s="0"/>
      <c r="Q94" s="5" t="n">
        <v>1</v>
      </c>
      <c r="R94" s="0"/>
      <c r="S94" s="16" t="n">
        <v>1</v>
      </c>
      <c r="T94" s="0"/>
      <c r="U94" s="16"/>
      <c r="V94" s="16"/>
      <c r="W94" s="0"/>
      <c r="X94" s="0"/>
      <c r="AD94" s="16"/>
      <c r="AE94" s="5"/>
      <c r="AF94" s="16"/>
      <c r="AG94" s="16"/>
      <c r="AH94" s="16"/>
      <c r="AJ94" s="16"/>
      <c r="AL94" s="16"/>
      <c r="AN94" s="16"/>
      <c r="AP94" s="16"/>
      <c r="AR94" s="16"/>
      <c r="AT94" s="16"/>
      <c r="AU94" s="16"/>
      <c r="AV94" s="16"/>
      <c r="AW94" s="16"/>
      <c r="AX94" s="16"/>
      <c r="AY94" s="16"/>
      <c r="AZ94" s="16" t="n">
        <v>1</v>
      </c>
      <c r="BB94" s="16"/>
      <c r="BC94" s="16" t="e">
        <f aca="false">MatchData[cheval scored crossings]*5</f>
        <v>#VALUE!</v>
      </c>
      <c r="BD94" s="16" t="e">
        <f aca="false">MatchData[moat scored crosings]*5</f>
        <v>#VALUE!</v>
      </c>
      <c r="BE94" s="16" t="e">
        <f aca="false">MatchData[ramparts scored crossings]*5</f>
        <v>#VALUE!</v>
      </c>
      <c r="BF94" s="16" t="e">
        <f aca="false">MatchData[drawbridge scored crossings]*5</f>
        <v>#VALUE!</v>
      </c>
      <c r="BG94" s="16" t="e">
        <f aca="false">MatchData[sally port scored crossings]*5</f>
        <v>#VALUE!</v>
      </c>
      <c r="BH94" s="16" t="e">
        <f aca="false">MatchData[rock wall scored crossings]*5</f>
        <v>#VALUE!</v>
      </c>
      <c r="BI94" s="16" t="e">
        <f aca="false">MatchData[rough terrain scored crossings]*5</f>
        <v>#VALUE!</v>
      </c>
      <c r="BJ94" s="16" t="e">
        <f aca="false">MatchData[low bar scored crossings]*5</f>
        <v>#VALUE!</v>
      </c>
      <c r="BK94" s="16" t="e">
        <f aca="false">SUM(MatchData[[#this row],[low bar teleop crossings]:[rough terrain scored crossings]])</f>
        <v>#VALUE!</v>
      </c>
      <c r="BL94" s="16" t="e">
        <f aca="false">IFERROR(IF(OR(MatchData[[#this row],[challenge flag]],MatchData[[#this row],[climb flag]]),1,0),0)</f>
        <v>#VALUE!</v>
      </c>
      <c r="BM94" s="16" t="e">
        <f aca="false">MatchData[auto high goals]*10+MatchData[teleop high goals]*5</f>
        <v>#VALUE!</v>
      </c>
      <c r="BN94" s="16" t="e">
        <f aca="false">MatchData[auto low goals]*5+MatchData[teleop low goals]*2</f>
        <v>#VALUE!</v>
      </c>
      <c r="BO94" s="16" t="e">
        <f aca="false">MatchData[high goal score]+MatchData[low goal score]</f>
        <v>#VALUE!</v>
      </c>
      <c r="BP94" s="16" t="e">
        <f aca="false">MatchData[teleop high goals]+MatchData[teleop low goals]</f>
        <v>#VALUE!</v>
      </c>
      <c r="BQ94" s="16" t="e">
        <f aca="false">MatchData[[#this row],[auto reach flag]]*2+SUM(MatchData[[#this row],[portcullis auto crossings]:[low bar auto crossings]])*10+MatchData[[#this row],[auto low goals]]*5+MatchData[auto high goals]*10</f>
        <v>#VALUE!</v>
      </c>
      <c r="BR94" s="16" t="e">
        <f aca="false">SUM(MatchData[[#this row],[cheval teleop crossing score]:[low bar teleop crossing score]])</f>
        <v>#VALUE!</v>
      </c>
      <c r="BS94" s="16" t="e">
        <f aca="false">SUMIF(MatchData[team],MatchData[[#this row],[team]],MatchData[total auto score])/MatchData[match count]</f>
        <v>#VALUE!</v>
      </c>
      <c r="BT94" s="16" t="e">
        <f aca="false">MatchData[challenge flag]*5</f>
        <v>#VALUE!</v>
      </c>
      <c r="BU94" s="16" t="e">
        <f aca="false">MatchData[climb flag]*15</f>
        <v>#VALUE!</v>
      </c>
      <c r="BV94" s="16" t="e">
        <f aca="false">SUM(MatchData[[#this row],[total goal score]],MatchData[[#this row],[crossing score]],MatchData[[#this row],[challenge score]],MatchData[[#this row],[climb score]],MatchData[[#this row],[total auto score]])</f>
        <v>#VALUE!</v>
      </c>
      <c r="BW94" s="16" t="e">
        <f aca="false">ROUND(SUMIF(MatchData[team],MatchData[[#this row],[team]],MatchData[teleop low goals])/COUNTIF(MatchData[team],MatchData[[#this row],[team]]),2)</f>
        <v>#VALUE!</v>
      </c>
      <c r="BX94" s="16" t="e">
        <f aca="false">ROUND(SUMIF(MatchData[team],MatchData[[#this row],[team]],MatchData[teleop high goals])/COUNTIF(MatchData[team],MatchData[[#this row],[team]]),2)</f>
        <v>#VALUE!</v>
      </c>
      <c r="BY94" s="16" t="e">
        <f aca="false">COUNTIF(MatchData[team],MatchData[[#this row],[team]])</f>
        <v>#VALUE!</v>
      </c>
      <c r="BZ94" s="16" t="e">
        <f aca="false">SUMIF(MatchData[team],MatchData[[#this row],[team]],MatchData[portcullis available])</f>
        <v>#VALUE!</v>
      </c>
      <c r="CA94" s="16" t="e">
        <f aca="false">SUMIF(MatchData[team],MatchData[[#this row],[team]],MatchData[cheval available])</f>
        <v>#VALUE!</v>
      </c>
      <c r="CB94" s="16" t="e">
        <f aca="false">SUMIF(MatchData[team],MatchData[[#this row],[team]],MatchData[moat available])</f>
        <v>#VALUE!</v>
      </c>
      <c r="CC94" s="16" t="e">
        <f aca="false">SUMIF(MatchData[team],MatchData[[#this row],[team]],MatchData[ramparts available])</f>
        <v>#VALUE!</v>
      </c>
      <c r="CD94" s="16" t="e">
        <f aca="false">SUMIF(MatchData[team],MatchData[[#this row],[team]],MatchData[drawbridge available])</f>
        <v>#VALUE!</v>
      </c>
      <c r="CE94" s="16" t="e">
        <f aca="false">SUMIF(MatchData[team],MatchData[[#this row],[team]],MatchData[sally port available])</f>
        <v>#VALUE!</v>
      </c>
      <c r="CF94" s="16" t="e">
        <f aca="false">SUMIF(MatchData[team],MatchData[[#this row],[team]],MatchData[rock wall available])</f>
        <v>#VALUE!</v>
      </c>
      <c r="CG94" s="16" t="e">
        <f aca="false">SUMIF(MatchData[team],MatchData[[#this row],[team]],MatchData[rough terrain available])</f>
        <v>#VALUE!</v>
      </c>
      <c r="CH94" s="16" t="e">
        <f aca="false">SUMIF(MatchData[team],MatchData[[#this row],[team]],MatchData[low bar available])</f>
        <v>#VALUE!</v>
      </c>
      <c r="CI94" s="16" t="e">
        <f aca="false">SUMIF(MatchData[team],MatchData[[#this row],[team]],MatchData[portcullis teleop crossings]:MatchData[portcullis scored crossings])</f>
        <v>#VALUE!</v>
      </c>
      <c r="CJ94" s="16" t="e">
        <f aca="false">SUMIF(MatchData[team],MatchData[[#this row],[team]],MatchData[cheval teleop crossings])+SUMIF(MatchData[team],MatchData[[#this row],[team]],MatchData[cheval scored crossings])</f>
        <v>#VALUE!</v>
      </c>
      <c r="CK94" s="16" t="e">
        <f aca="false">SUMIF(MatchData[team],MatchData[[#this row],[team]],MatchData[moat teleop crossings])+SUMIF(MatchData[team],MatchData[[#this row],[team]],MatchData[moat scored crosings])</f>
        <v>#VALUE!</v>
      </c>
      <c r="CL94" s="16" t="e">
        <f aca="false">SUMIF(MatchData[team],MatchData[[#this row],[team]],MatchData[ramparts teleop crossings])+SUMIF(MatchData[team],MatchData[[#this row],[team]],MatchData[ramparts scored crossings])</f>
        <v>#VALUE!</v>
      </c>
      <c r="CM94" s="16" t="e">
        <f aca="false">SUMIF(MatchData[team],MatchData[[#this row],[team]],MatchData[drawbridge teleop crossings])+SUMIF(MatchData[team],MatchData[[#this row],[team]],MatchData[drawbridge scored crossings])</f>
        <v>#VALUE!</v>
      </c>
      <c r="CN94" s="16" t="e">
        <f aca="false">SUMIF(MatchData[team],MatchData[[#this row],[team]],MatchData[sally port teleop crossings])+SUMIF(MatchData[team],MatchData[[#this row],[team]],MatchData[sally port scored crossings])</f>
        <v>#VALUE!</v>
      </c>
      <c r="CO94" s="16" t="e">
        <f aca="false">SUMIF(MatchData[team],MatchData[[#this row],[team]],MatchData[rock wall teleop crossings])+SUMIF(MatchData[team],MatchData[[#this row],[team]],MatchData[rock wall scored crossings])</f>
        <v>#VALUE!</v>
      </c>
      <c r="CP94" s="16" t="e">
        <f aca="false">SUMIF(MatchData[team],MatchData[[#this row],[team]],MatchData[rough terrain teleop crossings])+SUMIF(MatchData[team],MatchData[[#this row],[team]],MatchData[rough terrain scored crossings])</f>
        <v>#VALUE!</v>
      </c>
      <c r="CQ94" s="16" t="e">
        <f aca="false">SUMIF(MatchData[team],MatchData[[#this row],[team]],MatchData[low bar teleop crossings])+SUMIF(MatchData[team],MatchData[[#this row],[team]],MatchData[low bar scored crossings])</f>
        <v>#VALUE!</v>
      </c>
      <c r="CR94" s="16" t="e">
        <f aca="false">IFERROR(ROUND(MatchData[[#this row],[portcullis sum]]/MatchData[[#this row],[portcullis avail count]],2),0)</f>
        <v>#VALUE!</v>
      </c>
      <c r="CS94" s="16" t="e">
        <f aca="false">IFERROR(ROUND(MatchData[[#this row],[cheval sum]]/MatchData[[#this row],[cheval avail count]],2),0)</f>
        <v>#VALUE!</v>
      </c>
      <c r="CT94" s="16" t="e">
        <f aca="false">IFERROR(ROUND(MatchData[[#this row],[moat sum]]/MatchData[[#this row],[moat avail count]],2),0)</f>
        <v>#VALUE!</v>
      </c>
      <c r="CU94" s="16" t="e">
        <f aca="false">IFERROR(ROUND(MatchData[[#this row],[ramparts sum]]/MatchData[[#this row],[ramparts avail count]],2),0)</f>
        <v>#VALUE!</v>
      </c>
      <c r="CV94" s="16" t="e">
        <f aca="false">IFERROR(ROUND(MatchData[[#this row],[drawbridge sum]]/MatchData[[#this row],[drawbridge avail countigh6]],2),0)</f>
        <v>#VALUE!</v>
      </c>
      <c r="CW94" s="16" t="e">
        <f aca="false">IFERROR(ROUND(MatchData[[#this row],[sally port sum]]/MatchData[[#this row],[sally port avail count]],2),0)</f>
        <v>#VALUE!</v>
      </c>
      <c r="CX94" s="5" t="e">
        <f aca="false">IFERROR(ROUND(MatchData[[#this row],[rock wall sum]]/MatchData[[#this row],[rock wall avail count]],2),0)</f>
        <v>#VALUE!</v>
      </c>
      <c r="CY94" s="5" t="e">
        <f aca="false">IFERROR(ROUND(MatchData[[#this row],[rough terrain sum]]/MatchData[[#this row],[rough terrain avail count]],2),0)</f>
        <v>#VALUE!</v>
      </c>
      <c r="CZ94" s="5" t="e">
        <f aca="false">IFERROR(ROUND(MatchData[[#this row],[low bar sum]]/MatchData[[#this row],[low bar avail count]],2),0)</f>
        <v>#VALUE!</v>
      </c>
      <c r="DA94" s="16" t="e">
        <f aca="false">SUM(MatchData[[#this row],[cheval sum]:[low bar sum]])/MatchData[match count]</f>
        <v>#VALUE!</v>
      </c>
      <c r="DB94" s="16" t="n">
        <f aca="false">MAX(IF(C$2:C$74=C94,BP$2:BP$74))</f>
        <v>-1.79769313486232E+308</v>
      </c>
      <c r="DC94" s="16" t="e">
        <f aca="false">AVERAGEIF(MatchData[team],MatchData[[#this row],[team]],MatchData[total score])</f>
        <v>#VALUE!</v>
      </c>
      <c r="DD94" s="16" t="e">
        <f aca="false">ROUND(AVERAGEIF(MatchData[team],MatchData[team],MatchData[climb or challenge flag]),2)</f>
        <v>#VALUE!</v>
      </c>
    </row>
    <row r="95" customFormat="false" ht="14.5" hidden="false" customHeight="false" outlineLevel="0" collapsed="false">
      <c r="A95" s="13" t="s">
        <v>108</v>
      </c>
      <c r="B95" s="14" t="n">
        <v>16</v>
      </c>
      <c r="C95" s="15" t="n">
        <v>957</v>
      </c>
      <c r="D95" s="5" t="s">
        <v>113</v>
      </c>
      <c r="E95" s="5" t="s">
        <v>142</v>
      </c>
      <c r="G95" s="16"/>
      <c r="I95" s="16"/>
      <c r="J95" s="5" t="n">
        <v>1</v>
      </c>
      <c r="K95" s="16"/>
      <c r="L95" s="5" t="n">
        <v>1</v>
      </c>
      <c r="M95" s="5" t="n">
        <v>1</v>
      </c>
      <c r="N95" s="0"/>
      <c r="O95" s="5" t="n">
        <v>1</v>
      </c>
      <c r="P95" s="0"/>
      <c r="Q95" s="5" t="n">
        <v>1</v>
      </c>
      <c r="R95" s="0"/>
      <c r="S95" s="16"/>
      <c r="T95" s="0"/>
      <c r="U95" s="16"/>
      <c r="V95" s="16"/>
      <c r="W95" s="0"/>
      <c r="X95" s="0"/>
      <c r="AD95" s="16"/>
      <c r="AE95" s="5"/>
      <c r="AF95" s="16"/>
      <c r="AG95" s="16"/>
      <c r="AH95" s="16"/>
      <c r="AJ95" s="16"/>
      <c r="AL95" s="16"/>
      <c r="AN95" s="16"/>
      <c r="AP95" s="16"/>
      <c r="AR95" s="16"/>
      <c r="AT95" s="16"/>
      <c r="AU95" s="16"/>
      <c r="AV95" s="16"/>
      <c r="AW95" s="16"/>
      <c r="AX95" s="16"/>
      <c r="AY95" s="16"/>
      <c r="AZ95" s="16"/>
      <c r="BB95" s="16"/>
      <c r="BC95" s="16" t="e">
        <f aca="false">MatchData[cheval scored crossings]*5</f>
        <v>#VALUE!</v>
      </c>
      <c r="BD95" s="16" t="e">
        <f aca="false">MatchData[moat scored crosings]*5</f>
        <v>#VALUE!</v>
      </c>
      <c r="BE95" s="16" t="e">
        <f aca="false">MatchData[ramparts scored crossings]*5</f>
        <v>#VALUE!</v>
      </c>
      <c r="BF95" s="16" t="e">
        <f aca="false">MatchData[drawbridge scored crossings]*5</f>
        <v>#VALUE!</v>
      </c>
      <c r="BG95" s="16" t="e">
        <f aca="false">MatchData[sally port scored crossings]*5</f>
        <v>#VALUE!</v>
      </c>
      <c r="BH95" s="16" t="e">
        <f aca="false">MatchData[rock wall scored crossings]*5</f>
        <v>#VALUE!</v>
      </c>
      <c r="BI95" s="16" t="e">
        <f aca="false">MatchData[rough terrain scored crossings]*5</f>
        <v>#VALUE!</v>
      </c>
      <c r="BJ95" s="16" t="e">
        <f aca="false">MatchData[low bar scored crossings]*5</f>
        <v>#VALUE!</v>
      </c>
      <c r="BK95" s="16" t="e">
        <f aca="false">SUM(MatchData[[#this row],[low bar teleop crossings]:[rough terrain scored crossings]])</f>
        <v>#VALUE!</v>
      </c>
      <c r="BL95" s="16" t="e">
        <f aca="false">IFERROR(IF(OR(MatchData[[#this row],[challenge flag]],MatchData[[#this row],[climb flag]]),1,0),0)</f>
        <v>#VALUE!</v>
      </c>
      <c r="BM95" s="16" t="e">
        <f aca="false">MatchData[auto high goals]*10+MatchData[teleop high goals]*5</f>
        <v>#VALUE!</v>
      </c>
      <c r="BN95" s="16" t="e">
        <f aca="false">MatchData[auto low goals]*5+MatchData[teleop low goals]*2</f>
        <v>#VALUE!</v>
      </c>
      <c r="BO95" s="16" t="e">
        <f aca="false">MatchData[high goal score]+MatchData[low goal score]</f>
        <v>#VALUE!</v>
      </c>
      <c r="BP95" s="16" t="e">
        <f aca="false">MatchData[teleop high goals]+MatchData[teleop low goals]</f>
        <v>#VALUE!</v>
      </c>
      <c r="BQ95" s="16" t="e">
        <f aca="false">MatchData[[#this row],[auto reach flag]]*2+SUM(MatchData[[#this row],[portcullis auto crossings]:[low bar auto crossings]])*10+MatchData[[#this row],[auto low goals]]*5+MatchData[auto high goals]*10</f>
        <v>#VALUE!</v>
      </c>
      <c r="BR95" s="16" t="e">
        <f aca="false">SUM(MatchData[[#this row],[cheval teleop crossing score]:[low bar teleop crossing score]])</f>
        <v>#VALUE!</v>
      </c>
      <c r="BS95" s="16" t="e">
        <f aca="false">SUMIF(MatchData[team],MatchData[[#this row],[team]],MatchData[total auto score])/MatchData[match count]</f>
        <v>#VALUE!</v>
      </c>
      <c r="BT95" s="16" t="e">
        <f aca="false">MatchData[challenge flag]*5</f>
        <v>#VALUE!</v>
      </c>
      <c r="BU95" s="16" t="e">
        <f aca="false">MatchData[climb flag]*15</f>
        <v>#VALUE!</v>
      </c>
      <c r="BV95" s="16" t="e">
        <f aca="false">SUM(MatchData[[#this row],[total goal score]],MatchData[[#this row],[crossing score]],MatchData[[#this row],[challenge score]],MatchData[[#this row],[climb score]],MatchData[[#this row],[total auto score]])</f>
        <v>#VALUE!</v>
      </c>
      <c r="BW95" s="16" t="e">
        <f aca="false">ROUND(SUMIF(MatchData[team],MatchData[[#this row],[team]],MatchData[teleop low goals])/COUNTIF(MatchData[team],MatchData[[#this row],[team]]),2)</f>
        <v>#VALUE!</v>
      </c>
      <c r="BX95" s="16" t="e">
        <f aca="false">ROUND(SUMIF(MatchData[team],MatchData[[#this row],[team]],MatchData[teleop high goals])/COUNTIF(MatchData[team],MatchData[[#this row],[team]]),2)</f>
        <v>#VALUE!</v>
      </c>
      <c r="BY95" s="16" t="e">
        <f aca="false">COUNTIF(MatchData[team],MatchData[[#this row],[team]])</f>
        <v>#VALUE!</v>
      </c>
      <c r="BZ95" s="16" t="e">
        <f aca="false">SUMIF(MatchData[team],MatchData[[#this row],[team]],MatchData[portcullis available])</f>
        <v>#VALUE!</v>
      </c>
      <c r="CA95" s="16" t="e">
        <f aca="false">SUMIF(MatchData[team],MatchData[[#this row],[team]],MatchData[cheval available])</f>
        <v>#VALUE!</v>
      </c>
      <c r="CB95" s="16" t="e">
        <f aca="false">SUMIF(MatchData[team],MatchData[[#this row],[team]],MatchData[moat available])</f>
        <v>#VALUE!</v>
      </c>
      <c r="CC95" s="16" t="e">
        <f aca="false">SUMIF(MatchData[team],MatchData[[#this row],[team]],MatchData[ramparts available])</f>
        <v>#VALUE!</v>
      </c>
      <c r="CD95" s="16" t="e">
        <f aca="false">SUMIF(MatchData[team],MatchData[[#this row],[team]],MatchData[drawbridge available])</f>
        <v>#VALUE!</v>
      </c>
      <c r="CE95" s="16" t="e">
        <f aca="false">SUMIF(MatchData[team],MatchData[[#this row],[team]],MatchData[sally port available])</f>
        <v>#VALUE!</v>
      </c>
      <c r="CF95" s="16" t="e">
        <f aca="false">SUMIF(MatchData[team],MatchData[[#this row],[team]],MatchData[rock wall available])</f>
        <v>#VALUE!</v>
      </c>
      <c r="CG95" s="16" t="e">
        <f aca="false">SUMIF(MatchData[team],MatchData[[#this row],[team]],MatchData[rough terrain available])</f>
        <v>#VALUE!</v>
      </c>
      <c r="CH95" s="16" t="e">
        <f aca="false">SUMIF(MatchData[team],MatchData[[#this row],[team]],MatchData[low bar available])</f>
        <v>#VALUE!</v>
      </c>
      <c r="CI95" s="16" t="e">
        <f aca="false">SUMIF(MatchData[team],MatchData[[#this row],[team]],MatchData[portcullis teleop crossings]:MatchData[portcullis scored crossings])</f>
        <v>#VALUE!</v>
      </c>
      <c r="CJ95" s="16" t="e">
        <f aca="false">SUMIF(MatchData[team],MatchData[[#this row],[team]],MatchData[cheval teleop crossings])+SUMIF(MatchData[team],MatchData[[#this row],[team]],MatchData[cheval scored crossings])</f>
        <v>#VALUE!</v>
      </c>
      <c r="CK95" s="16" t="e">
        <f aca="false">SUMIF(MatchData[team],MatchData[[#this row],[team]],MatchData[moat teleop crossings])+SUMIF(MatchData[team],MatchData[[#this row],[team]],MatchData[moat scored crosings])</f>
        <v>#VALUE!</v>
      </c>
      <c r="CL95" s="16" t="e">
        <f aca="false">SUMIF(MatchData[team],MatchData[[#this row],[team]],MatchData[ramparts teleop crossings])+SUMIF(MatchData[team],MatchData[[#this row],[team]],MatchData[ramparts scored crossings])</f>
        <v>#VALUE!</v>
      </c>
      <c r="CM95" s="16" t="e">
        <f aca="false">SUMIF(MatchData[team],MatchData[[#this row],[team]],MatchData[drawbridge teleop crossings])+SUMIF(MatchData[team],MatchData[[#this row],[team]],MatchData[drawbridge scored crossings])</f>
        <v>#VALUE!</v>
      </c>
      <c r="CN95" s="16" t="e">
        <f aca="false">SUMIF(MatchData[team],MatchData[[#this row],[team]],MatchData[sally port teleop crossings])+SUMIF(MatchData[team],MatchData[[#this row],[team]],MatchData[sally port scored crossings])</f>
        <v>#VALUE!</v>
      </c>
      <c r="CO95" s="16" t="e">
        <f aca="false">SUMIF(MatchData[team],MatchData[[#this row],[team]],MatchData[rock wall teleop crossings])+SUMIF(MatchData[team],MatchData[[#this row],[team]],MatchData[rock wall scored crossings])</f>
        <v>#VALUE!</v>
      </c>
      <c r="CP95" s="16" t="e">
        <f aca="false">SUMIF(MatchData[team],MatchData[[#this row],[team]],MatchData[rough terrain teleop crossings])+SUMIF(MatchData[team],MatchData[[#this row],[team]],MatchData[rough terrain scored crossings])</f>
        <v>#VALUE!</v>
      </c>
      <c r="CQ95" s="16" t="e">
        <f aca="false">SUMIF(MatchData[team],MatchData[[#this row],[team]],MatchData[low bar teleop crossings])+SUMIF(MatchData[team],MatchData[[#this row],[team]],MatchData[low bar scored crossings])</f>
        <v>#VALUE!</v>
      </c>
      <c r="CR95" s="16" t="e">
        <f aca="false">IFERROR(ROUND(MatchData[[#this row],[portcullis sum]]/MatchData[[#this row],[portcullis avail count]],2),0)</f>
        <v>#VALUE!</v>
      </c>
      <c r="CS95" s="16" t="e">
        <f aca="false">IFERROR(ROUND(MatchData[[#this row],[cheval sum]]/MatchData[[#this row],[cheval avail count]],2),0)</f>
        <v>#VALUE!</v>
      </c>
      <c r="CT95" s="16" t="e">
        <f aca="false">IFERROR(ROUND(MatchData[[#this row],[moat sum]]/MatchData[[#this row],[moat avail count]],2),0)</f>
        <v>#VALUE!</v>
      </c>
      <c r="CU95" s="16" t="e">
        <f aca="false">IFERROR(ROUND(MatchData[[#this row],[ramparts sum]]/MatchData[[#this row],[ramparts avail count]],2),0)</f>
        <v>#VALUE!</v>
      </c>
      <c r="CV95" s="16" t="e">
        <f aca="false">IFERROR(ROUND(MatchData[[#this row],[drawbridge sum]]/MatchData[[#this row],[drawbridge avail countigh6]],2),0)</f>
        <v>#VALUE!</v>
      </c>
      <c r="CW95" s="16" t="e">
        <f aca="false">IFERROR(ROUND(MatchData[[#this row],[sally port sum]]/MatchData[[#this row],[sally port avail count]],2),0)</f>
        <v>#VALUE!</v>
      </c>
      <c r="CX95" s="5" t="e">
        <f aca="false">IFERROR(ROUND(MatchData[[#this row],[rock wall sum]]/MatchData[[#this row],[rock wall avail count]],2),0)</f>
        <v>#VALUE!</v>
      </c>
      <c r="CY95" s="5" t="e">
        <f aca="false">IFERROR(ROUND(MatchData[[#this row],[rough terrain sum]]/MatchData[[#this row],[rough terrain avail count]],2),0)</f>
        <v>#VALUE!</v>
      </c>
      <c r="CZ95" s="5" t="e">
        <f aca="false">IFERROR(ROUND(MatchData[[#this row],[low bar sum]]/MatchData[[#this row],[low bar avail count]],2),0)</f>
        <v>#VALUE!</v>
      </c>
      <c r="DA95" s="16" t="e">
        <f aca="false">SUM(MatchData[[#this row],[cheval sum]:[low bar sum]])/MatchData[match count]</f>
        <v>#VALUE!</v>
      </c>
      <c r="DB95" s="16" t="n">
        <f aca="false">MAX(IF(C$2:C$74=C95,BP$2:BP$74))</f>
        <v>-1.79769313486232E+308</v>
      </c>
      <c r="DC95" s="16" t="e">
        <f aca="false">AVERAGEIF(MatchData[team],MatchData[[#this row],[team]],MatchData[total score])</f>
        <v>#VALUE!</v>
      </c>
      <c r="DD95" s="16" t="e">
        <f aca="false">ROUND(AVERAGEIF(MatchData[team],MatchData[team],MatchData[climb or challenge flag]),2)</f>
        <v>#VALUE!</v>
      </c>
    </row>
    <row r="96" customFormat="false" ht="14.5" hidden="false" customHeight="false" outlineLevel="0" collapsed="false">
      <c r="A96" s="13" t="s">
        <v>108</v>
      </c>
      <c r="B96" s="14" t="n">
        <v>16</v>
      </c>
      <c r="C96" s="15" t="n">
        <v>1571</v>
      </c>
      <c r="D96" s="5" t="s">
        <v>113</v>
      </c>
      <c r="E96" s="5" t="s">
        <v>137</v>
      </c>
      <c r="G96" s="16"/>
      <c r="I96" s="16" t="n">
        <v>1</v>
      </c>
      <c r="J96" s="5" t="n">
        <v>1</v>
      </c>
      <c r="K96" s="16"/>
      <c r="L96" s="5" t="n">
        <v>1</v>
      </c>
      <c r="M96" s="5" t="n">
        <v>1</v>
      </c>
      <c r="N96" s="0"/>
      <c r="O96" s="5" t="n">
        <v>1</v>
      </c>
      <c r="P96" s="0"/>
      <c r="Q96" s="5" t="n">
        <v>1</v>
      </c>
      <c r="R96" s="0"/>
      <c r="S96" s="16"/>
      <c r="T96" s="0"/>
      <c r="U96" s="16"/>
      <c r="V96" s="16"/>
      <c r="W96" s="0"/>
      <c r="X96" s="0"/>
      <c r="AC96" s="5" t="n">
        <v>1</v>
      </c>
      <c r="AD96" s="16" t="n">
        <v>1</v>
      </c>
      <c r="AE96" s="5"/>
      <c r="AF96" s="16"/>
      <c r="AG96" s="16"/>
      <c r="AH96" s="16"/>
      <c r="AJ96" s="16"/>
      <c r="AL96" s="16"/>
      <c r="AN96" s="16"/>
      <c r="AP96" s="16"/>
      <c r="AR96" s="16" t="n">
        <v>1</v>
      </c>
      <c r="AT96" s="16"/>
      <c r="AU96" s="16"/>
      <c r="AV96" s="16"/>
      <c r="AW96" s="16"/>
      <c r="AX96" s="16"/>
      <c r="AY96" s="16" t="n">
        <v>1</v>
      </c>
      <c r="AZ96" s="16"/>
      <c r="BB96" s="16" t="n">
        <v>1</v>
      </c>
      <c r="BC96" s="16" t="e">
        <f aca="false">MatchData[cheval scored crossings]*5</f>
        <v>#VALUE!</v>
      </c>
      <c r="BD96" s="16" t="e">
        <f aca="false">MatchData[moat scored crosings]*5</f>
        <v>#VALUE!</v>
      </c>
      <c r="BE96" s="16" t="e">
        <f aca="false">MatchData[ramparts scored crossings]*5</f>
        <v>#VALUE!</v>
      </c>
      <c r="BF96" s="16" t="e">
        <f aca="false">MatchData[drawbridge scored crossings]*5</f>
        <v>#VALUE!</v>
      </c>
      <c r="BG96" s="16" t="e">
        <f aca="false">MatchData[sally port scored crossings]*5</f>
        <v>#VALUE!</v>
      </c>
      <c r="BH96" s="16" t="e">
        <f aca="false">MatchData[rock wall scored crossings]*5</f>
        <v>#VALUE!</v>
      </c>
      <c r="BI96" s="16" t="e">
        <f aca="false">MatchData[rough terrain scored crossings]*5</f>
        <v>#VALUE!</v>
      </c>
      <c r="BJ96" s="16" t="e">
        <f aca="false">MatchData[low bar scored crossings]*5</f>
        <v>#VALUE!</v>
      </c>
      <c r="BK96" s="16" t="e">
        <f aca="false">SUM(MatchData[[#this row],[low bar teleop crossings]:[rough terrain scored crossings]])</f>
        <v>#VALUE!</v>
      </c>
      <c r="BL96" s="16" t="e">
        <f aca="false">IFERROR(IF(OR(MatchData[[#this row],[challenge flag]],MatchData[[#this row],[climb flag]]),1,0),0)</f>
        <v>#VALUE!</v>
      </c>
      <c r="BM96" s="16" t="e">
        <f aca="false">MatchData[auto high goals]*10+MatchData[teleop high goals]*5</f>
        <v>#VALUE!</v>
      </c>
      <c r="BN96" s="16" t="e">
        <f aca="false">MatchData[auto low goals]*5+MatchData[teleop low goals]*2</f>
        <v>#VALUE!</v>
      </c>
      <c r="BO96" s="16" t="e">
        <f aca="false">MatchData[high goal score]+MatchData[low goal score]</f>
        <v>#VALUE!</v>
      </c>
      <c r="BP96" s="16" t="e">
        <f aca="false">MatchData[teleop high goals]+MatchData[teleop low goals]</f>
        <v>#VALUE!</v>
      </c>
      <c r="BQ96" s="16" t="e">
        <f aca="false">MatchData[[#this row],[auto reach flag]]*2+SUM(MatchData[[#this row],[portcullis auto crossings]:[low bar auto crossings]])*10+MatchData[[#this row],[auto low goals]]*5+MatchData[auto high goals]*10</f>
        <v>#VALUE!</v>
      </c>
      <c r="BR96" s="16" t="e">
        <f aca="false">SUM(MatchData[[#this row],[cheval teleop crossing score]:[low bar teleop crossing score]])</f>
        <v>#VALUE!</v>
      </c>
      <c r="BS96" s="16" t="e">
        <f aca="false">SUMIF(MatchData[team],MatchData[[#this row],[team]],MatchData[total auto score])/MatchData[match count]</f>
        <v>#VALUE!</v>
      </c>
      <c r="BT96" s="16" t="e">
        <f aca="false">MatchData[challenge flag]*5</f>
        <v>#VALUE!</v>
      </c>
      <c r="BU96" s="16" t="e">
        <f aca="false">MatchData[climb flag]*15</f>
        <v>#VALUE!</v>
      </c>
      <c r="BV96" s="16" t="e">
        <f aca="false">SUM(MatchData[[#this row],[total goal score]],MatchData[[#this row],[crossing score]],MatchData[[#this row],[challenge score]],MatchData[[#this row],[climb score]],MatchData[[#this row],[total auto score]])</f>
        <v>#VALUE!</v>
      </c>
      <c r="BW96" s="16" t="e">
        <f aca="false">ROUND(SUMIF(MatchData[team],MatchData[[#this row],[team]],MatchData[teleop low goals])/COUNTIF(MatchData[team],MatchData[[#this row],[team]]),2)</f>
        <v>#VALUE!</v>
      </c>
      <c r="BX96" s="16" t="e">
        <f aca="false">ROUND(SUMIF(MatchData[team],MatchData[[#this row],[team]],MatchData[teleop high goals])/COUNTIF(MatchData[team],MatchData[[#this row],[team]]),2)</f>
        <v>#VALUE!</v>
      </c>
      <c r="BY96" s="16" t="e">
        <f aca="false">COUNTIF(MatchData[team],MatchData[[#this row],[team]])</f>
        <v>#VALUE!</v>
      </c>
      <c r="BZ96" s="16" t="e">
        <f aca="false">SUMIF(MatchData[team],MatchData[[#this row],[team]],MatchData[portcullis available])</f>
        <v>#VALUE!</v>
      </c>
      <c r="CA96" s="16" t="e">
        <f aca="false">SUMIF(MatchData[team],MatchData[[#this row],[team]],MatchData[cheval available])</f>
        <v>#VALUE!</v>
      </c>
      <c r="CB96" s="16" t="e">
        <f aca="false">SUMIF(MatchData[team],MatchData[[#this row],[team]],MatchData[moat available])</f>
        <v>#VALUE!</v>
      </c>
      <c r="CC96" s="16" t="e">
        <f aca="false">SUMIF(MatchData[team],MatchData[[#this row],[team]],MatchData[ramparts available])</f>
        <v>#VALUE!</v>
      </c>
      <c r="CD96" s="16" t="e">
        <f aca="false">SUMIF(MatchData[team],MatchData[[#this row],[team]],MatchData[drawbridge available])</f>
        <v>#VALUE!</v>
      </c>
      <c r="CE96" s="16" t="e">
        <f aca="false">SUMIF(MatchData[team],MatchData[[#this row],[team]],MatchData[sally port available])</f>
        <v>#VALUE!</v>
      </c>
      <c r="CF96" s="16" t="e">
        <f aca="false">SUMIF(MatchData[team],MatchData[[#this row],[team]],MatchData[rock wall available])</f>
        <v>#VALUE!</v>
      </c>
      <c r="CG96" s="16" t="e">
        <f aca="false">SUMIF(MatchData[team],MatchData[[#this row],[team]],MatchData[rough terrain available])</f>
        <v>#VALUE!</v>
      </c>
      <c r="CH96" s="16" t="e">
        <f aca="false">SUMIF(MatchData[team],MatchData[[#this row],[team]],MatchData[low bar available])</f>
        <v>#VALUE!</v>
      </c>
      <c r="CI96" s="16" t="e">
        <f aca="false">SUMIF(MatchData[team],MatchData[[#this row],[team]],MatchData[portcullis teleop crossings]:MatchData[portcullis scored crossings])</f>
        <v>#VALUE!</v>
      </c>
      <c r="CJ96" s="16" t="e">
        <f aca="false">SUMIF(MatchData[team],MatchData[[#this row],[team]],MatchData[cheval teleop crossings])+SUMIF(MatchData[team],MatchData[[#this row],[team]],MatchData[cheval scored crossings])</f>
        <v>#VALUE!</v>
      </c>
      <c r="CK96" s="16" t="e">
        <f aca="false">SUMIF(MatchData[team],MatchData[[#this row],[team]],MatchData[moat teleop crossings])+SUMIF(MatchData[team],MatchData[[#this row],[team]],MatchData[moat scored crosings])</f>
        <v>#VALUE!</v>
      </c>
      <c r="CL96" s="16" t="e">
        <f aca="false">SUMIF(MatchData[team],MatchData[[#this row],[team]],MatchData[ramparts teleop crossings])+SUMIF(MatchData[team],MatchData[[#this row],[team]],MatchData[ramparts scored crossings])</f>
        <v>#VALUE!</v>
      </c>
      <c r="CM96" s="16" t="e">
        <f aca="false">SUMIF(MatchData[team],MatchData[[#this row],[team]],MatchData[drawbridge teleop crossings])+SUMIF(MatchData[team],MatchData[[#this row],[team]],MatchData[drawbridge scored crossings])</f>
        <v>#VALUE!</v>
      </c>
      <c r="CN96" s="16" t="e">
        <f aca="false">SUMIF(MatchData[team],MatchData[[#this row],[team]],MatchData[sally port teleop crossings])+SUMIF(MatchData[team],MatchData[[#this row],[team]],MatchData[sally port scored crossings])</f>
        <v>#VALUE!</v>
      </c>
      <c r="CO96" s="16" t="e">
        <f aca="false">SUMIF(MatchData[team],MatchData[[#this row],[team]],MatchData[rock wall teleop crossings])+SUMIF(MatchData[team],MatchData[[#this row],[team]],MatchData[rock wall scored crossings])</f>
        <v>#VALUE!</v>
      </c>
      <c r="CP96" s="16" t="e">
        <f aca="false">SUMIF(MatchData[team],MatchData[[#this row],[team]],MatchData[rough terrain teleop crossings])+SUMIF(MatchData[team],MatchData[[#this row],[team]],MatchData[rough terrain scored crossings])</f>
        <v>#VALUE!</v>
      </c>
      <c r="CQ96" s="16" t="e">
        <f aca="false">SUMIF(MatchData[team],MatchData[[#this row],[team]],MatchData[low bar teleop crossings])+SUMIF(MatchData[team],MatchData[[#this row],[team]],MatchData[low bar scored crossings])</f>
        <v>#VALUE!</v>
      </c>
      <c r="CR96" s="16" t="e">
        <f aca="false">IFERROR(ROUND(MatchData[[#this row],[portcullis sum]]/MatchData[[#this row],[portcullis avail count]],2),0)</f>
        <v>#VALUE!</v>
      </c>
      <c r="CS96" s="16" t="e">
        <f aca="false">IFERROR(ROUND(MatchData[[#this row],[cheval sum]]/MatchData[[#this row],[cheval avail count]],2),0)</f>
        <v>#VALUE!</v>
      </c>
      <c r="CT96" s="16" t="e">
        <f aca="false">IFERROR(ROUND(MatchData[[#this row],[moat sum]]/MatchData[[#this row],[moat avail count]],2),0)</f>
        <v>#VALUE!</v>
      </c>
      <c r="CU96" s="16" t="e">
        <f aca="false">IFERROR(ROUND(MatchData[[#this row],[ramparts sum]]/MatchData[[#this row],[ramparts avail count]],2),0)</f>
        <v>#VALUE!</v>
      </c>
      <c r="CV96" s="16" t="e">
        <f aca="false">IFERROR(ROUND(MatchData[[#this row],[drawbridge sum]]/MatchData[[#this row],[drawbridge avail countigh6]],2),0)</f>
        <v>#VALUE!</v>
      </c>
      <c r="CW96" s="16" t="e">
        <f aca="false">IFERROR(ROUND(MatchData[[#this row],[sally port sum]]/MatchData[[#this row],[sally port avail count]],2),0)</f>
        <v>#VALUE!</v>
      </c>
      <c r="CX96" s="5" t="e">
        <f aca="false">IFERROR(ROUND(MatchData[[#this row],[rock wall sum]]/MatchData[[#this row],[rock wall avail count]],2),0)</f>
        <v>#VALUE!</v>
      </c>
      <c r="CY96" s="5" t="e">
        <f aca="false">IFERROR(ROUND(MatchData[[#this row],[rough terrain sum]]/MatchData[[#this row],[rough terrain avail count]],2),0)</f>
        <v>#VALUE!</v>
      </c>
      <c r="CZ96" s="5" t="e">
        <f aca="false">IFERROR(ROUND(MatchData[[#this row],[low bar sum]]/MatchData[[#this row],[low bar avail count]],2),0)</f>
        <v>#VALUE!</v>
      </c>
      <c r="DA96" s="16" t="e">
        <f aca="false">SUM(MatchData[[#this row],[cheval sum]:[low bar sum]])/MatchData[match count]</f>
        <v>#VALUE!</v>
      </c>
      <c r="DB96" s="16" t="n">
        <f aca="false">MAX(IF(C$2:C$74=C96,BP$2:BP$74))</f>
        <v>-1.79769313486232E+308</v>
      </c>
      <c r="DC96" s="16" t="e">
        <f aca="false">AVERAGEIF(MatchData[team],MatchData[[#this row],[team]],MatchData[total score])</f>
        <v>#VALUE!</v>
      </c>
      <c r="DD96" s="16" t="e">
        <f aca="false">ROUND(AVERAGEIF(MatchData[team],MatchData[team],MatchData[climb or challenge flag]),2)</f>
        <v>#VALUE!</v>
      </c>
    </row>
    <row r="97" customFormat="false" ht="14.5" hidden="false" customHeight="false" outlineLevel="0" collapsed="false">
      <c r="A97" s="13" t="s">
        <v>108</v>
      </c>
      <c r="B97" s="14" t="n">
        <v>16</v>
      </c>
      <c r="C97" s="15" t="n">
        <v>2521</v>
      </c>
      <c r="D97" s="5" t="s">
        <v>113</v>
      </c>
      <c r="E97" s="5" t="s">
        <v>127</v>
      </c>
      <c r="G97" s="16"/>
      <c r="I97" s="16"/>
      <c r="J97" s="5" t="n">
        <v>1</v>
      </c>
      <c r="K97" s="16"/>
      <c r="L97" s="5" t="n">
        <v>1</v>
      </c>
      <c r="M97" s="5" t="n">
        <v>1</v>
      </c>
      <c r="N97" s="0"/>
      <c r="O97" s="5" t="n">
        <v>1</v>
      </c>
      <c r="P97" s="0"/>
      <c r="Q97" s="5" t="n">
        <v>1</v>
      </c>
      <c r="R97" s="0"/>
      <c r="S97" s="16"/>
      <c r="T97" s="0"/>
      <c r="U97" s="16"/>
      <c r="V97" s="16" t="n">
        <v>1</v>
      </c>
      <c r="W97" s="0"/>
      <c r="X97" s="0"/>
      <c r="AD97" s="16"/>
      <c r="AE97" s="5"/>
      <c r="AF97" s="16"/>
      <c r="AG97" s="16"/>
      <c r="AH97" s="16"/>
      <c r="AJ97" s="16"/>
      <c r="AL97" s="16"/>
      <c r="AN97" s="16"/>
      <c r="AP97" s="16"/>
      <c r="AR97" s="16"/>
      <c r="AT97" s="16"/>
      <c r="AU97" s="16"/>
      <c r="AV97" s="16"/>
      <c r="AW97" s="16"/>
      <c r="AX97" s="16"/>
      <c r="AY97" s="16"/>
      <c r="AZ97" s="16"/>
      <c r="BB97" s="16"/>
      <c r="BC97" s="16" t="e">
        <f aca="false">MatchData[cheval scored crossings]*5</f>
        <v>#VALUE!</v>
      </c>
      <c r="BD97" s="16" t="e">
        <f aca="false">MatchData[moat scored crosings]*5</f>
        <v>#VALUE!</v>
      </c>
      <c r="BE97" s="16" t="e">
        <f aca="false">MatchData[ramparts scored crossings]*5</f>
        <v>#VALUE!</v>
      </c>
      <c r="BF97" s="16" t="e">
        <f aca="false">MatchData[drawbridge scored crossings]*5</f>
        <v>#VALUE!</v>
      </c>
      <c r="BG97" s="16" t="e">
        <f aca="false">MatchData[sally port scored crossings]*5</f>
        <v>#VALUE!</v>
      </c>
      <c r="BH97" s="16" t="e">
        <f aca="false">MatchData[rock wall scored crossings]*5</f>
        <v>#VALUE!</v>
      </c>
      <c r="BI97" s="16" t="e">
        <f aca="false">MatchData[rough terrain scored crossings]*5</f>
        <v>#VALUE!</v>
      </c>
      <c r="BJ97" s="16" t="e">
        <f aca="false">MatchData[low bar scored crossings]*5</f>
        <v>#VALUE!</v>
      </c>
      <c r="BK97" s="16" t="e">
        <f aca="false">SUM(MatchData[[#this row],[low bar teleop crossings]:[rough terrain scored crossings]])</f>
        <v>#VALUE!</v>
      </c>
      <c r="BL97" s="16" t="e">
        <f aca="false">IFERROR(IF(OR(MatchData[[#this row],[challenge flag]],MatchData[[#this row],[climb flag]]),1,0),0)</f>
        <v>#VALUE!</v>
      </c>
      <c r="BM97" s="16" t="e">
        <f aca="false">MatchData[auto high goals]*10+MatchData[teleop high goals]*5</f>
        <v>#VALUE!</v>
      </c>
      <c r="BN97" s="16" t="e">
        <f aca="false">MatchData[auto low goals]*5+MatchData[teleop low goals]*2</f>
        <v>#VALUE!</v>
      </c>
      <c r="BO97" s="16" t="e">
        <f aca="false">MatchData[high goal score]+MatchData[low goal score]</f>
        <v>#VALUE!</v>
      </c>
      <c r="BP97" s="16" t="e">
        <f aca="false">MatchData[teleop high goals]+MatchData[teleop low goals]</f>
        <v>#VALUE!</v>
      </c>
      <c r="BQ97" s="16" t="e">
        <f aca="false">MatchData[[#this row],[auto reach flag]]*2+SUM(MatchData[[#this row],[portcullis auto crossings]:[low bar auto crossings]])*10+MatchData[[#this row],[auto low goals]]*5+MatchData[auto high goals]*10</f>
        <v>#VALUE!</v>
      </c>
      <c r="BR97" s="16" t="e">
        <f aca="false">SUM(MatchData[[#this row],[cheval teleop crossing score]:[low bar teleop crossing score]])</f>
        <v>#VALUE!</v>
      </c>
      <c r="BS97" s="16" t="e">
        <f aca="false">SUMIF(MatchData[team],MatchData[[#this row],[team]],MatchData[total auto score])/MatchData[match count]</f>
        <v>#VALUE!</v>
      </c>
      <c r="BT97" s="16" t="e">
        <f aca="false">MatchData[challenge flag]*5</f>
        <v>#VALUE!</v>
      </c>
      <c r="BU97" s="16" t="e">
        <f aca="false">MatchData[climb flag]*15</f>
        <v>#VALUE!</v>
      </c>
      <c r="BV97" s="16" t="e">
        <f aca="false">SUM(MatchData[[#this row],[total goal score]],MatchData[[#this row],[crossing score]],MatchData[[#this row],[challenge score]],MatchData[[#this row],[climb score]],MatchData[[#this row],[total auto score]])</f>
        <v>#VALUE!</v>
      </c>
      <c r="BW97" s="16" t="e">
        <f aca="false">ROUND(SUMIF(MatchData[team],MatchData[[#this row],[team]],MatchData[teleop low goals])/COUNTIF(MatchData[team],MatchData[[#this row],[team]]),2)</f>
        <v>#VALUE!</v>
      </c>
      <c r="BX97" s="16" t="e">
        <f aca="false">ROUND(SUMIF(MatchData[team],MatchData[[#this row],[team]],MatchData[teleop high goals])/COUNTIF(MatchData[team],MatchData[[#this row],[team]]),2)</f>
        <v>#VALUE!</v>
      </c>
      <c r="BY97" s="16" t="e">
        <f aca="false">COUNTIF(MatchData[team],MatchData[[#this row],[team]])</f>
        <v>#VALUE!</v>
      </c>
      <c r="BZ97" s="16" t="e">
        <f aca="false">SUMIF(MatchData[team],MatchData[[#this row],[team]],MatchData[portcullis available])</f>
        <v>#VALUE!</v>
      </c>
      <c r="CA97" s="16" t="e">
        <f aca="false">SUMIF(MatchData[team],MatchData[[#this row],[team]],MatchData[cheval available])</f>
        <v>#VALUE!</v>
      </c>
      <c r="CB97" s="16" t="e">
        <f aca="false">SUMIF(MatchData[team],MatchData[[#this row],[team]],MatchData[moat available])</f>
        <v>#VALUE!</v>
      </c>
      <c r="CC97" s="16" t="e">
        <f aca="false">SUMIF(MatchData[team],MatchData[[#this row],[team]],MatchData[ramparts available])</f>
        <v>#VALUE!</v>
      </c>
      <c r="CD97" s="16" t="e">
        <f aca="false">SUMIF(MatchData[team],MatchData[[#this row],[team]],MatchData[drawbridge available])</f>
        <v>#VALUE!</v>
      </c>
      <c r="CE97" s="16" t="e">
        <f aca="false">SUMIF(MatchData[team],MatchData[[#this row],[team]],MatchData[sally port available])</f>
        <v>#VALUE!</v>
      </c>
      <c r="CF97" s="16" t="e">
        <f aca="false">SUMIF(MatchData[team],MatchData[[#this row],[team]],MatchData[rock wall available])</f>
        <v>#VALUE!</v>
      </c>
      <c r="CG97" s="16" t="e">
        <f aca="false">SUMIF(MatchData[team],MatchData[[#this row],[team]],MatchData[rough terrain available])</f>
        <v>#VALUE!</v>
      </c>
      <c r="CH97" s="16" t="e">
        <f aca="false">SUMIF(MatchData[team],MatchData[[#this row],[team]],MatchData[low bar available])</f>
        <v>#VALUE!</v>
      </c>
      <c r="CI97" s="16" t="e">
        <f aca="false">SUMIF(MatchData[team],MatchData[[#this row],[team]],MatchData[portcullis teleop crossings]:MatchData[portcullis scored crossings])</f>
        <v>#VALUE!</v>
      </c>
      <c r="CJ97" s="16" t="e">
        <f aca="false">SUMIF(MatchData[team],MatchData[[#this row],[team]],MatchData[cheval teleop crossings])+SUMIF(MatchData[team],MatchData[[#this row],[team]],MatchData[cheval scored crossings])</f>
        <v>#VALUE!</v>
      </c>
      <c r="CK97" s="16" t="e">
        <f aca="false">SUMIF(MatchData[team],MatchData[[#this row],[team]],MatchData[moat teleop crossings])+SUMIF(MatchData[team],MatchData[[#this row],[team]],MatchData[moat scored crosings])</f>
        <v>#VALUE!</v>
      </c>
      <c r="CL97" s="16" t="e">
        <f aca="false">SUMIF(MatchData[team],MatchData[[#this row],[team]],MatchData[ramparts teleop crossings])+SUMIF(MatchData[team],MatchData[[#this row],[team]],MatchData[ramparts scored crossings])</f>
        <v>#VALUE!</v>
      </c>
      <c r="CM97" s="16" t="e">
        <f aca="false">SUMIF(MatchData[team],MatchData[[#this row],[team]],MatchData[drawbridge teleop crossings])+SUMIF(MatchData[team],MatchData[[#this row],[team]],MatchData[drawbridge scored crossings])</f>
        <v>#VALUE!</v>
      </c>
      <c r="CN97" s="16" t="e">
        <f aca="false">SUMIF(MatchData[team],MatchData[[#this row],[team]],MatchData[sally port teleop crossings])+SUMIF(MatchData[team],MatchData[[#this row],[team]],MatchData[sally port scored crossings])</f>
        <v>#VALUE!</v>
      </c>
      <c r="CO97" s="16" t="e">
        <f aca="false">SUMIF(MatchData[team],MatchData[[#this row],[team]],MatchData[rock wall teleop crossings])+SUMIF(MatchData[team],MatchData[[#this row],[team]],MatchData[rock wall scored crossings])</f>
        <v>#VALUE!</v>
      </c>
      <c r="CP97" s="16" t="e">
        <f aca="false">SUMIF(MatchData[team],MatchData[[#this row],[team]],MatchData[rough terrain teleop crossings])+SUMIF(MatchData[team],MatchData[[#this row],[team]],MatchData[rough terrain scored crossings])</f>
        <v>#VALUE!</v>
      </c>
      <c r="CQ97" s="16" t="e">
        <f aca="false">SUMIF(MatchData[team],MatchData[[#this row],[team]],MatchData[low bar teleop crossings])+SUMIF(MatchData[team],MatchData[[#this row],[team]],MatchData[low bar scored crossings])</f>
        <v>#VALUE!</v>
      </c>
      <c r="CR97" s="16" t="e">
        <f aca="false">IFERROR(ROUND(MatchData[[#this row],[portcullis sum]]/MatchData[[#this row],[portcullis avail count]],2),0)</f>
        <v>#VALUE!</v>
      </c>
      <c r="CS97" s="16" t="e">
        <f aca="false">IFERROR(ROUND(MatchData[[#this row],[cheval sum]]/MatchData[[#this row],[cheval avail count]],2),0)</f>
        <v>#VALUE!</v>
      </c>
      <c r="CT97" s="16" t="e">
        <f aca="false">IFERROR(ROUND(MatchData[[#this row],[moat sum]]/MatchData[[#this row],[moat avail count]],2),0)</f>
        <v>#VALUE!</v>
      </c>
      <c r="CU97" s="16" t="e">
        <f aca="false">IFERROR(ROUND(MatchData[[#this row],[ramparts sum]]/MatchData[[#this row],[ramparts avail count]],2),0)</f>
        <v>#VALUE!</v>
      </c>
      <c r="CV97" s="16" t="e">
        <f aca="false">IFERROR(ROUND(MatchData[[#this row],[drawbridge sum]]/MatchData[[#this row],[drawbridge avail countigh6]],2),0)</f>
        <v>#VALUE!</v>
      </c>
      <c r="CW97" s="16" t="e">
        <f aca="false">IFERROR(ROUND(MatchData[[#this row],[sally port sum]]/MatchData[[#this row],[sally port avail count]],2),0)</f>
        <v>#VALUE!</v>
      </c>
      <c r="CX97" s="5" t="e">
        <f aca="false">IFERROR(ROUND(MatchData[[#this row],[rock wall sum]]/MatchData[[#this row],[rock wall avail count]],2),0)</f>
        <v>#VALUE!</v>
      </c>
      <c r="CY97" s="5" t="e">
        <f aca="false">IFERROR(ROUND(MatchData[[#this row],[rough terrain sum]]/MatchData[[#this row],[rough terrain avail count]],2),0)</f>
        <v>#VALUE!</v>
      </c>
      <c r="CZ97" s="5" t="e">
        <f aca="false">IFERROR(ROUND(MatchData[[#this row],[low bar sum]]/MatchData[[#this row],[low bar avail count]],2),0)</f>
        <v>#VALUE!</v>
      </c>
      <c r="DA97" s="16" t="e">
        <f aca="false">SUM(MatchData[[#this row],[cheval sum]:[low bar sum]])/MatchData[match count]</f>
        <v>#VALUE!</v>
      </c>
      <c r="DB97" s="16" t="n">
        <f aca="false">MAX(IF(C$2:C$74=C97,BP$2:BP$74))</f>
        <v>-1.79769313486232E+308</v>
      </c>
      <c r="DC97" s="16" t="e">
        <f aca="false">AVERAGEIF(MatchData[team],MatchData[[#this row],[team]],MatchData[total score])</f>
        <v>#VALUE!</v>
      </c>
      <c r="DD97" s="16" t="e">
        <f aca="false">ROUND(AVERAGEIF(MatchData[team],MatchData[team],MatchData[climb or challenge flag]),2)</f>
        <v>#VALUE!</v>
      </c>
    </row>
    <row r="98" customFormat="false" ht="14.5" hidden="false" customHeight="false" outlineLevel="0" collapsed="false">
      <c r="A98" s="13" t="s">
        <v>108</v>
      </c>
      <c r="B98" s="14" t="n">
        <v>17</v>
      </c>
      <c r="C98" s="15" t="n">
        <v>3673</v>
      </c>
      <c r="D98" s="5" t="s">
        <v>109</v>
      </c>
      <c r="E98" s="5" t="s">
        <v>145</v>
      </c>
      <c r="G98" s="16" t="n">
        <v>1</v>
      </c>
      <c r="I98" s="16"/>
      <c r="J98" s="5" t="n">
        <v>1</v>
      </c>
      <c r="K98" s="16"/>
      <c r="L98" s="5" t="n">
        <v>1</v>
      </c>
      <c r="M98" s="5" t="n">
        <v>1</v>
      </c>
      <c r="N98" s="0"/>
      <c r="O98" s="5" t="n">
        <v>1</v>
      </c>
      <c r="P98" s="0"/>
      <c r="Q98" s="0"/>
      <c r="R98" s="5" t="n">
        <v>1</v>
      </c>
      <c r="S98" s="16"/>
      <c r="T98" s="0"/>
      <c r="U98" s="16"/>
      <c r="V98" s="16"/>
      <c r="W98" s="0"/>
      <c r="X98" s="0"/>
      <c r="AA98" s="5" t="n">
        <v>1</v>
      </c>
      <c r="AD98" s="16"/>
      <c r="AE98" s="5"/>
      <c r="AF98" s="16"/>
      <c r="AG98" s="16"/>
      <c r="AH98" s="16"/>
      <c r="AJ98" s="16"/>
      <c r="AL98" s="16"/>
      <c r="AN98" s="16"/>
      <c r="AP98" s="16"/>
      <c r="AR98" s="16"/>
      <c r="AS98" s="5" t="n">
        <v>1</v>
      </c>
      <c r="AT98" s="16" t="n">
        <v>1</v>
      </c>
      <c r="AU98" s="16"/>
      <c r="AV98" s="16"/>
      <c r="AW98" s="16" t="n">
        <v>1</v>
      </c>
      <c r="AX98" s="16"/>
      <c r="AY98" s="16"/>
      <c r="AZ98" s="16"/>
      <c r="BB98" s="16"/>
      <c r="BC98" s="16" t="e">
        <f aca="false">MatchData[cheval scored crossings]*5</f>
        <v>#VALUE!</v>
      </c>
      <c r="BD98" s="16" t="e">
        <f aca="false">MatchData[moat scored crosings]*5</f>
        <v>#VALUE!</v>
      </c>
      <c r="BE98" s="16" t="e">
        <f aca="false">MatchData[ramparts scored crossings]*5</f>
        <v>#VALUE!</v>
      </c>
      <c r="BF98" s="16" t="e">
        <f aca="false">MatchData[drawbridge scored crossings]*5</f>
        <v>#VALUE!</v>
      </c>
      <c r="BG98" s="16" t="e">
        <f aca="false">MatchData[sally port scored crossings]*5</f>
        <v>#VALUE!</v>
      </c>
      <c r="BH98" s="16" t="e">
        <f aca="false">MatchData[rock wall scored crossings]*5</f>
        <v>#VALUE!</v>
      </c>
      <c r="BI98" s="16" t="e">
        <f aca="false">MatchData[rough terrain scored crossings]*5</f>
        <v>#VALUE!</v>
      </c>
      <c r="BJ98" s="16" t="e">
        <f aca="false">MatchData[low bar scored crossings]*5</f>
        <v>#VALUE!</v>
      </c>
      <c r="BK98" s="16" t="e">
        <f aca="false">SUM(MatchData[[#this row],[low bar teleop crossings]:[rough terrain scored crossings]])</f>
        <v>#VALUE!</v>
      </c>
      <c r="BL98" s="16" t="e">
        <f aca="false">IFERROR(IF(OR(MatchData[[#this row],[challenge flag]],MatchData[[#this row],[climb flag]]),1,0),0)</f>
        <v>#VALUE!</v>
      </c>
      <c r="BM98" s="16" t="e">
        <f aca="false">MatchData[auto high goals]*10+MatchData[teleop high goals]*5</f>
        <v>#VALUE!</v>
      </c>
      <c r="BN98" s="16" t="e">
        <f aca="false">MatchData[auto low goals]*5+MatchData[teleop low goals]*2</f>
        <v>#VALUE!</v>
      </c>
      <c r="BO98" s="16" t="e">
        <f aca="false">MatchData[high goal score]+MatchData[low goal score]</f>
        <v>#VALUE!</v>
      </c>
      <c r="BP98" s="16" t="e">
        <f aca="false">MatchData[teleop high goals]+MatchData[teleop low goals]</f>
        <v>#VALUE!</v>
      </c>
      <c r="BQ98" s="16" t="e">
        <f aca="false">MatchData[[#this row],[auto reach flag]]*2+SUM(MatchData[[#this row],[portcullis auto crossings]:[low bar auto crossings]])*10+MatchData[[#this row],[auto low goals]]*5+MatchData[auto high goals]*10</f>
        <v>#VALUE!</v>
      </c>
      <c r="BR98" s="16" t="e">
        <f aca="false">SUM(MatchData[[#this row],[cheval teleop crossing score]:[low bar teleop crossing score]])</f>
        <v>#VALUE!</v>
      </c>
      <c r="BS98" s="16" t="e">
        <f aca="false">SUMIF(MatchData[team],MatchData[[#this row],[team]],MatchData[total auto score])/MatchData[match count]</f>
        <v>#VALUE!</v>
      </c>
      <c r="BT98" s="16" t="e">
        <f aca="false">MatchData[challenge flag]*5</f>
        <v>#VALUE!</v>
      </c>
      <c r="BU98" s="16" t="e">
        <f aca="false">MatchData[climb flag]*15</f>
        <v>#VALUE!</v>
      </c>
      <c r="BV98" s="16" t="e">
        <f aca="false">SUM(MatchData[[#this row],[total goal score]],MatchData[[#this row],[crossing score]],MatchData[[#this row],[challenge score]],MatchData[[#this row],[climb score]],MatchData[[#this row],[total auto score]])</f>
        <v>#VALUE!</v>
      </c>
      <c r="BW98" s="16" t="e">
        <f aca="false">ROUND(SUMIF(MatchData[team],MatchData[[#this row],[team]],MatchData[teleop low goals])/COUNTIF(MatchData[team],MatchData[[#this row],[team]]),2)</f>
        <v>#VALUE!</v>
      </c>
      <c r="BX98" s="16" t="e">
        <f aca="false">ROUND(SUMIF(MatchData[team],MatchData[[#this row],[team]],MatchData[teleop high goals])/COUNTIF(MatchData[team],MatchData[[#this row],[team]]),2)</f>
        <v>#VALUE!</v>
      </c>
      <c r="BY98" s="16" t="e">
        <f aca="false">COUNTIF(MatchData[team],MatchData[[#this row],[team]])</f>
        <v>#VALUE!</v>
      </c>
      <c r="BZ98" s="16" t="e">
        <f aca="false">SUMIF(MatchData[team],MatchData[[#this row],[team]],MatchData[portcullis available])</f>
        <v>#VALUE!</v>
      </c>
      <c r="CA98" s="16" t="e">
        <f aca="false">SUMIF(MatchData[team],MatchData[[#this row],[team]],MatchData[cheval available])</f>
        <v>#VALUE!</v>
      </c>
      <c r="CB98" s="16" t="e">
        <f aca="false">SUMIF(MatchData[team],MatchData[[#this row],[team]],MatchData[moat available])</f>
        <v>#VALUE!</v>
      </c>
      <c r="CC98" s="16" t="e">
        <f aca="false">SUMIF(MatchData[team],MatchData[[#this row],[team]],MatchData[ramparts available])</f>
        <v>#VALUE!</v>
      </c>
      <c r="CD98" s="16" t="e">
        <f aca="false">SUMIF(MatchData[team],MatchData[[#this row],[team]],MatchData[drawbridge available])</f>
        <v>#VALUE!</v>
      </c>
      <c r="CE98" s="16" t="e">
        <f aca="false">SUMIF(MatchData[team],MatchData[[#this row],[team]],MatchData[sally port available])</f>
        <v>#VALUE!</v>
      </c>
      <c r="CF98" s="16" t="e">
        <f aca="false">SUMIF(MatchData[team],MatchData[[#this row],[team]],MatchData[rock wall available])</f>
        <v>#VALUE!</v>
      </c>
      <c r="CG98" s="16" t="e">
        <f aca="false">SUMIF(MatchData[team],MatchData[[#this row],[team]],MatchData[rough terrain available])</f>
        <v>#VALUE!</v>
      </c>
      <c r="CH98" s="16" t="e">
        <f aca="false">SUMIF(MatchData[team],MatchData[[#this row],[team]],MatchData[low bar available])</f>
        <v>#VALUE!</v>
      </c>
      <c r="CI98" s="16" t="e">
        <f aca="false">SUMIF(MatchData[team],MatchData[[#this row],[team]],MatchData[portcullis teleop crossings]:MatchData[portcullis scored crossings])</f>
        <v>#VALUE!</v>
      </c>
      <c r="CJ98" s="16" t="e">
        <f aca="false">SUMIF(MatchData[team],MatchData[[#this row],[team]],MatchData[cheval teleop crossings])+SUMIF(MatchData[team],MatchData[[#this row],[team]],MatchData[cheval scored crossings])</f>
        <v>#VALUE!</v>
      </c>
      <c r="CK98" s="16" t="e">
        <f aca="false">SUMIF(MatchData[team],MatchData[[#this row],[team]],MatchData[moat teleop crossings])+SUMIF(MatchData[team],MatchData[[#this row],[team]],MatchData[moat scored crosings])</f>
        <v>#VALUE!</v>
      </c>
      <c r="CL98" s="16" t="e">
        <f aca="false">SUMIF(MatchData[team],MatchData[[#this row],[team]],MatchData[ramparts teleop crossings])+SUMIF(MatchData[team],MatchData[[#this row],[team]],MatchData[ramparts scored crossings])</f>
        <v>#VALUE!</v>
      </c>
      <c r="CM98" s="16" t="e">
        <f aca="false">SUMIF(MatchData[team],MatchData[[#this row],[team]],MatchData[drawbridge teleop crossings])+SUMIF(MatchData[team],MatchData[[#this row],[team]],MatchData[drawbridge scored crossings])</f>
        <v>#VALUE!</v>
      </c>
      <c r="CN98" s="16" t="e">
        <f aca="false">SUMIF(MatchData[team],MatchData[[#this row],[team]],MatchData[sally port teleop crossings])+SUMIF(MatchData[team],MatchData[[#this row],[team]],MatchData[sally port scored crossings])</f>
        <v>#VALUE!</v>
      </c>
      <c r="CO98" s="16" t="e">
        <f aca="false">SUMIF(MatchData[team],MatchData[[#this row],[team]],MatchData[rock wall teleop crossings])+SUMIF(MatchData[team],MatchData[[#this row],[team]],MatchData[rock wall scored crossings])</f>
        <v>#VALUE!</v>
      </c>
      <c r="CP98" s="16" t="e">
        <f aca="false">SUMIF(MatchData[team],MatchData[[#this row],[team]],MatchData[rough terrain teleop crossings])+SUMIF(MatchData[team],MatchData[[#this row],[team]],MatchData[rough terrain scored crossings])</f>
        <v>#VALUE!</v>
      </c>
      <c r="CQ98" s="16" t="e">
        <f aca="false">SUMIF(MatchData[team],MatchData[[#this row],[team]],MatchData[low bar teleop crossings])+SUMIF(MatchData[team],MatchData[[#this row],[team]],MatchData[low bar scored crossings])</f>
        <v>#VALUE!</v>
      </c>
      <c r="CR98" s="16" t="e">
        <f aca="false">IFERROR(ROUND(MatchData[[#this row],[portcullis sum]]/MatchData[[#this row],[portcullis avail count]],2),0)</f>
        <v>#VALUE!</v>
      </c>
      <c r="CS98" s="16" t="e">
        <f aca="false">IFERROR(ROUND(MatchData[[#this row],[cheval sum]]/MatchData[[#this row],[cheval avail count]],2),0)</f>
        <v>#VALUE!</v>
      </c>
      <c r="CT98" s="16" t="e">
        <f aca="false">IFERROR(ROUND(MatchData[[#this row],[moat sum]]/MatchData[[#this row],[moat avail count]],2),0)</f>
        <v>#VALUE!</v>
      </c>
      <c r="CU98" s="16" t="e">
        <f aca="false">IFERROR(ROUND(MatchData[[#this row],[ramparts sum]]/MatchData[[#this row],[ramparts avail count]],2),0)</f>
        <v>#VALUE!</v>
      </c>
      <c r="CV98" s="16" t="e">
        <f aca="false">IFERROR(ROUND(MatchData[[#this row],[drawbridge sum]]/MatchData[[#this row],[drawbridge avail countigh6]],2),0)</f>
        <v>#VALUE!</v>
      </c>
      <c r="CW98" s="16" t="e">
        <f aca="false">IFERROR(ROUND(MatchData[[#this row],[sally port sum]]/MatchData[[#this row],[sally port avail count]],2),0)</f>
        <v>#VALUE!</v>
      </c>
      <c r="CX98" s="5" t="e">
        <f aca="false">IFERROR(ROUND(MatchData[[#this row],[rock wall sum]]/MatchData[[#this row],[rock wall avail count]],2),0)</f>
        <v>#VALUE!</v>
      </c>
      <c r="CY98" s="5" t="e">
        <f aca="false">IFERROR(ROUND(MatchData[[#this row],[rough terrain sum]]/MatchData[[#this row],[rough terrain avail count]],2),0)</f>
        <v>#VALUE!</v>
      </c>
      <c r="CZ98" s="5" t="e">
        <f aca="false">IFERROR(ROUND(MatchData[[#this row],[low bar sum]]/MatchData[[#this row],[low bar avail count]],2),0)</f>
        <v>#VALUE!</v>
      </c>
      <c r="DA98" s="16" t="e">
        <f aca="false">SUM(MatchData[[#this row],[cheval sum]:[low bar sum]])/MatchData[match count]</f>
        <v>#VALUE!</v>
      </c>
      <c r="DB98" s="16" t="n">
        <f aca="false">MAX(IF(C$2:C$74=C98,BP$2:BP$74))</f>
        <v>-1.79769313486232E+308</v>
      </c>
      <c r="DC98" s="16" t="e">
        <f aca="false">AVERAGEIF(MatchData[team],MatchData[[#this row],[team]],MatchData[total score])</f>
        <v>#VALUE!</v>
      </c>
      <c r="DD98" s="16" t="e">
        <f aca="false">ROUND(AVERAGEIF(MatchData[team],MatchData[team],MatchData[climb or challenge flag]),2)</f>
        <v>#VALUE!</v>
      </c>
    </row>
    <row r="99" customFormat="false" ht="14.5" hidden="false" customHeight="false" outlineLevel="0" collapsed="false">
      <c r="A99" s="17" t="s">
        <v>108</v>
      </c>
      <c r="B99" s="18" t="n">
        <v>17</v>
      </c>
      <c r="C99" s="15" t="n">
        <v>5085</v>
      </c>
      <c r="D99" s="5" t="s">
        <v>109</v>
      </c>
      <c r="E99" s="5" t="s">
        <v>146</v>
      </c>
      <c r="G99" s="16"/>
      <c r="I99" s="16"/>
      <c r="J99" s="5" t="n">
        <v>1</v>
      </c>
      <c r="K99" s="16"/>
      <c r="L99" s="5" t="n">
        <v>1</v>
      </c>
      <c r="M99" s="5" t="n">
        <v>1</v>
      </c>
      <c r="N99" s="0"/>
      <c r="O99" s="5" t="n">
        <v>1</v>
      </c>
      <c r="P99" s="0"/>
      <c r="Q99" s="0"/>
      <c r="R99" s="5" t="n">
        <v>1</v>
      </c>
      <c r="S99" s="16"/>
      <c r="T99" s="0"/>
      <c r="U99" s="16"/>
      <c r="V99" s="16"/>
      <c r="W99" s="0"/>
      <c r="X99" s="0"/>
      <c r="AD99" s="16"/>
      <c r="AE99" s="5"/>
      <c r="AF99" s="16"/>
      <c r="AG99" s="16"/>
      <c r="AH99" s="16"/>
      <c r="AJ99" s="16"/>
      <c r="AL99" s="16"/>
      <c r="AN99" s="16"/>
      <c r="AP99" s="16"/>
      <c r="AR99" s="16"/>
      <c r="AT99" s="16"/>
      <c r="AU99" s="16"/>
      <c r="AV99" s="16"/>
      <c r="AW99" s="16"/>
      <c r="AX99" s="16"/>
      <c r="AY99" s="16"/>
      <c r="AZ99" s="16"/>
      <c r="BB99" s="16"/>
      <c r="BC99" s="16" t="e">
        <f aca="false">MatchData[cheval scored crossings]*5</f>
        <v>#VALUE!</v>
      </c>
      <c r="BD99" s="16" t="e">
        <f aca="false">MatchData[moat scored crosings]*5</f>
        <v>#VALUE!</v>
      </c>
      <c r="BE99" s="16" t="e">
        <f aca="false">MatchData[ramparts scored crossings]*5</f>
        <v>#VALUE!</v>
      </c>
      <c r="BF99" s="16" t="e">
        <f aca="false">MatchData[drawbridge scored crossings]*5</f>
        <v>#VALUE!</v>
      </c>
      <c r="BG99" s="16" t="e">
        <f aca="false">MatchData[sally port scored crossings]*5</f>
        <v>#VALUE!</v>
      </c>
      <c r="BH99" s="16" t="e">
        <f aca="false">MatchData[rock wall scored crossings]*5</f>
        <v>#VALUE!</v>
      </c>
      <c r="BI99" s="16" t="e">
        <f aca="false">MatchData[rough terrain scored crossings]*5</f>
        <v>#VALUE!</v>
      </c>
      <c r="BJ99" s="16" t="e">
        <f aca="false">MatchData[low bar scored crossings]*5</f>
        <v>#VALUE!</v>
      </c>
      <c r="BK99" s="16" t="e">
        <f aca="false">SUM(MatchData[[#this row],[low bar teleop crossings]:[rough terrain scored crossings]])</f>
        <v>#VALUE!</v>
      </c>
      <c r="BL99" s="16" t="e">
        <f aca="false">IFERROR(IF(OR(MatchData[[#this row],[challenge flag]],MatchData[[#this row],[climb flag]]),1,0),0)</f>
        <v>#VALUE!</v>
      </c>
      <c r="BM99" s="16" t="e">
        <f aca="false">MatchData[auto high goals]*10+MatchData[teleop high goals]*5</f>
        <v>#VALUE!</v>
      </c>
      <c r="BN99" s="16" t="e">
        <f aca="false">MatchData[auto low goals]*5+MatchData[teleop low goals]*2</f>
        <v>#VALUE!</v>
      </c>
      <c r="BO99" s="16" t="e">
        <f aca="false">MatchData[high goal score]+MatchData[low goal score]</f>
        <v>#VALUE!</v>
      </c>
      <c r="BP99" s="16" t="e">
        <f aca="false">MatchData[teleop high goals]+MatchData[teleop low goals]</f>
        <v>#VALUE!</v>
      </c>
      <c r="BQ99" s="16" t="e">
        <f aca="false">MatchData[[#this row],[auto reach flag]]*2+SUM(MatchData[[#this row],[portcullis auto crossings]:[low bar auto crossings]])*10+MatchData[[#this row],[auto low goals]]*5+MatchData[auto high goals]*10</f>
        <v>#VALUE!</v>
      </c>
      <c r="BR99" s="16" t="e">
        <f aca="false">SUM(MatchData[[#this row],[cheval teleop crossing score]:[low bar teleop crossing score]])</f>
        <v>#VALUE!</v>
      </c>
      <c r="BS99" s="16" t="e">
        <f aca="false">SUMIF(MatchData[team],MatchData[[#this row],[team]],MatchData[total auto score])/MatchData[match count]</f>
        <v>#VALUE!</v>
      </c>
      <c r="BT99" s="16" t="e">
        <f aca="false">MatchData[challenge flag]*5</f>
        <v>#VALUE!</v>
      </c>
      <c r="BU99" s="16" t="e">
        <f aca="false">MatchData[climb flag]*15</f>
        <v>#VALUE!</v>
      </c>
      <c r="BV99" s="16" t="e">
        <f aca="false">SUM(MatchData[[#this row],[total goal score]],MatchData[[#this row],[crossing score]],MatchData[[#this row],[challenge score]],MatchData[[#this row],[climb score]],MatchData[[#this row],[total auto score]])</f>
        <v>#VALUE!</v>
      </c>
      <c r="BW99" s="16" t="e">
        <f aca="false">ROUND(SUMIF(MatchData[team],MatchData[[#this row],[team]],MatchData[teleop low goals])/COUNTIF(MatchData[team],MatchData[[#this row],[team]]),2)</f>
        <v>#VALUE!</v>
      </c>
      <c r="BX99" s="16" t="e">
        <f aca="false">ROUND(SUMIF(MatchData[team],MatchData[[#this row],[team]],MatchData[teleop high goals])/COUNTIF(MatchData[team],MatchData[[#this row],[team]]),2)</f>
        <v>#VALUE!</v>
      </c>
      <c r="BY99" s="16" t="e">
        <f aca="false">COUNTIF(MatchData[team],MatchData[[#this row],[team]])</f>
        <v>#VALUE!</v>
      </c>
      <c r="BZ99" s="16" t="e">
        <f aca="false">SUMIF(MatchData[team],MatchData[[#this row],[team]],MatchData[portcullis available])</f>
        <v>#VALUE!</v>
      </c>
      <c r="CA99" s="16" t="e">
        <f aca="false">SUMIF(MatchData[team],MatchData[[#this row],[team]],MatchData[cheval available])</f>
        <v>#VALUE!</v>
      </c>
      <c r="CB99" s="16" t="e">
        <f aca="false">SUMIF(MatchData[team],MatchData[[#this row],[team]],MatchData[moat available])</f>
        <v>#VALUE!</v>
      </c>
      <c r="CC99" s="16" t="e">
        <f aca="false">SUMIF(MatchData[team],MatchData[[#this row],[team]],MatchData[ramparts available])</f>
        <v>#VALUE!</v>
      </c>
      <c r="CD99" s="16" t="e">
        <f aca="false">SUMIF(MatchData[team],MatchData[[#this row],[team]],MatchData[drawbridge available])</f>
        <v>#VALUE!</v>
      </c>
      <c r="CE99" s="16" t="e">
        <f aca="false">SUMIF(MatchData[team],MatchData[[#this row],[team]],MatchData[sally port available])</f>
        <v>#VALUE!</v>
      </c>
      <c r="CF99" s="16" t="e">
        <f aca="false">SUMIF(MatchData[team],MatchData[[#this row],[team]],MatchData[rock wall available])</f>
        <v>#VALUE!</v>
      </c>
      <c r="CG99" s="16" t="e">
        <f aca="false">SUMIF(MatchData[team],MatchData[[#this row],[team]],MatchData[rough terrain available])</f>
        <v>#VALUE!</v>
      </c>
      <c r="CH99" s="16" t="e">
        <f aca="false">SUMIF(MatchData[team],MatchData[[#this row],[team]],MatchData[low bar available])</f>
        <v>#VALUE!</v>
      </c>
      <c r="CI99" s="16" t="e">
        <f aca="false">SUMIF(MatchData[team],MatchData[[#this row],[team]],MatchData[portcullis teleop crossings]:MatchData[portcullis scored crossings])</f>
        <v>#VALUE!</v>
      </c>
      <c r="CJ99" s="16" t="e">
        <f aca="false">SUMIF(MatchData[team],MatchData[[#this row],[team]],MatchData[cheval teleop crossings])+SUMIF(MatchData[team],MatchData[[#this row],[team]],MatchData[cheval scored crossings])</f>
        <v>#VALUE!</v>
      </c>
      <c r="CK99" s="16" t="e">
        <f aca="false">SUMIF(MatchData[team],MatchData[[#this row],[team]],MatchData[moat teleop crossings])+SUMIF(MatchData[team],MatchData[[#this row],[team]],MatchData[moat scored crosings])</f>
        <v>#VALUE!</v>
      </c>
      <c r="CL99" s="16" t="e">
        <f aca="false">SUMIF(MatchData[team],MatchData[[#this row],[team]],MatchData[ramparts teleop crossings])+SUMIF(MatchData[team],MatchData[[#this row],[team]],MatchData[ramparts scored crossings])</f>
        <v>#VALUE!</v>
      </c>
      <c r="CM99" s="16" t="e">
        <f aca="false">SUMIF(MatchData[team],MatchData[[#this row],[team]],MatchData[drawbridge teleop crossings])+SUMIF(MatchData[team],MatchData[[#this row],[team]],MatchData[drawbridge scored crossings])</f>
        <v>#VALUE!</v>
      </c>
      <c r="CN99" s="16" t="e">
        <f aca="false">SUMIF(MatchData[team],MatchData[[#this row],[team]],MatchData[sally port teleop crossings])+SUMIF(MatchData[team],MatchData[[#this row],[team]],MatchData[sally port scored crossings])</f>
        <v>#VALUE!</v>
      </c>
      <c r="CO99" s="16" t="e">
        <f aca="false">SUMIF(MatchData[team],MatchData[[#this row],[team]],MatchData[rock wall teleop crossings])+SUMIF(MatchData[team],MatchData[[#this row],[team]],MatchData[rock wall scored crossings])</f>
        <v>#VALUE!</v>
      </c>
      <c r="CP99" s="16" t="e">
        <f aca="false">SUMIF(MatchData[team],MatchData[[#this row],[team]],MatchData[rough terrain teleop crossings])+SUMIF(MatchData[team],MatchData[[#this row],[team]],MatchData[rough terrain scored crossings])</f>
        <v>#VALUE!</v>
      </c>
      <c r="CQ99" s="16" t="e">
        <f aca="false">SUMIF(MatchData[team],MatchData[[#this row],[team]],MatchData[low bar teleop crossings])+SUMIF(MatchData[team],MatchData[[#this row],[team]],MatchData[low bar scored crossings])</f>
        <v>#VALUE!</v>
      </c>
      <c r="CR99" s="16" t="e">
        <f aca="false">IFERROR(ROUND(MatchData[[#this row],[portcullis sum]]/MatchData[[#this row],[portcullis avail count]],2),0)</f>
        <v>#VALUE!</v>
      </c>
      <c r="CS99" s="16" t="e">
        <f aca="false">IFERROR(ROUND(MatchData[[#this row],[cheval sum]]/MatchData[[#this row],[cheval avail count]],2),0)</f>
        <v>#VALUE!</v>
      </c>
      <c r="CT99" s="16" t="e">
        <f aca="false">IFERROR(ROUND(MatchData[[#this row],[moat sum]]/MatchData[[#this row],[moat avail count]],2),0)</f>
        <v>#VALUE!</v>
      </c>
      <c r="CU99" s="16" t="e">
        <f aca="false">IFERROR(ROUND(MatchData[[#this row],[ramparts sum]]/MatchData[[#this row],[ramparts avail count]],2),0)</f>
        <v>#VALUE!</v>
      </c>
      <c r="CV99" s="16" t="e">
        <f aca="false">IFERROR(ROUND(MatchData[[#this row],[drawbridge sum]]/MatchData[[#this row],[drawbridge avail countigh6]],2),0)</f>
        <v>#VALUE!</v>
      </c>
      <c r="CW99" s="16" t="e">
        <f aca="false">IFERROR(ROUND(MatchData[[#this row],[sally port sum]]/MatchData[[#this row],[sally port avail count]],2),0)</f>
        <v>#VALUE!</v>
      </c>
      <c r="CX99" s="5" t="e">
        <f aca="false">IFERROR(ROUND(MatchData[[#this row],[rock wall sum]]/MatchData[[#this row],[rock wall avail count]],2),0)</f>
        <v>#VALUE!</v>
      </c>
      <c r="CY99" s="5" t="e">
        <f aca="false">IFERROR(ROUND(MatchData[[#this row],[rough terrain sum]]/MatchData[[#this row],[rough terrain avail count]],2),0)</f>
        <v>#VALUE!</v>
      </c>
      <c r="CZ99" s="5" t="e">
        <f aca="false">IFERROR(ROUND(MatchData[[#this row],[low bar sum]]/MatchData[[#this row],[low bar avail count]],2),0)</f>
        <v>#VALUE!</v>
      </c>
      <c r="DA99" s="16" t="e">
        <f aca="false">SUM(MatchData[[#this row],[cheval sum]:[low bar sum]])/MatchData[match count]</f>
        <v>#VALUE!</v>
      </c>
      <c r="DB99" s="16" t="n">
        <f aca="false">MAX(IF(C$2:C$74=C99,BP$2:BP$74))</f>
        <v>-1.79769313486232E+308</v>
      </c>
      <c r="DC99" s="16" t="e">
        <f aca="false">AVERAGEIF(MatchData[team],MatchData[[#this row],[team]],MatchData[total score])</f>
        <v>#VALUE!</v>
      </c>
      <c r="DD99" s="16" t="e">
        <f aca="false">ROUND(AVERAGEIF(MatchData[team],MatchData[team],MatchData[climb or challenge flag]),2)</f>
        <v>#VALUE!</v>
      </c>
    </row>
    <row r="100" customFormat="false" ht="14.5" hidden="false" customHeight="false" outlineLevel="0" collapsed="false">
      <c r="A100" s="17" t="s">
        <v>108</v>
      </c>
      <c r="B100" s="18" t="n">
        <v>17</v>
      </c>
      <c r="C100" s="15" t="n">
        <v>5198</v>
      </c>
      <c r="D100" s="5" t="s">
        <v>109</v>
      </c>
      <c r="E100" s="5" t="s">
        <v>127</v>
      </c>
      <c r="G100" s="16"/>
      <c r="I100" s="16"/>
      <c r="J100" s="5" t="n">
        <v>1</v>
      </c>
      <c r="K100" s="16"/>
      <c r="L100" s="5" t="n">
        <v>1</v>
      </c>
      <c r="M100" s="5" t="n">
        <v>1</v>
      </c>
      <c r="N100" s="0"/>
      <c r="O100" s="5" t="n">
        <v>1</v>
      </c>
      <c r="P100" s="0"/>
      <c r="Q100" s="0"/>
      <c r="R100" s="5" t="n">
        <v>1</v>
      </c>
      <c r="S100" s="16"/>
      <c r="T100" s="0"/>
      <c r="U100" s="16"/>
      <c r="V100" s="16"/>
      <c r="W100" s="0"/>
      <c r="X100" s="0"/>
      <c r="AD100" s="16"/>
      <c r="AE100" s="5"/>
      <c r="AF100" s="16"/>
      <c r="AG100" s="16"/>
      <c r="AH100" s="16"/>
      <c r="AJ100" s="16"/>
      <c r="AL100" s="16"/>
      <c r="AN100" s="16"/>
      <c r="AP100" s="16"/>
      <c r="AR100" s="16"/>
      <c r="AT100" s="16"/>
      <c r="AU100" s="16"/>
      <c r="AV100" s="16"/>
      <c r="AW100" s="16"/>
      <c r="AX100" s="16"/>
      <c r="AY100" s="16"/>
      <c r="AZ100" s="16" t="n">
        <v>1</v>
      </c>
      <c r="BB100" s="16"/>
      <c r="BC100" s="16" t="e">
        <f aca="false">MatchData[cheval scored crossings]*5</f>
        <v>#VALUE!</v>
      </c>
      <c r="BD100" s="16" t="e">
        <f aca="false">MatchData[moat scored crosings]*5</f>
        <v>#VALUE!</v>
      </c>
      <c r="BE100" s="16" t="e">
        <f aca="false">MatchData[ramparts scored crossings]*5</f>
        <v>#VALUE!</v>
      </c>
      <c r="BF100" s="16" t="e">
        <f aca="false">MatchData[drawbridge scored crossings]*5</f>
        <v>#VALUE!</v>
      </c>
      <c r="BG100" s="16" t="e">
        <f aca="false">MatchData[sally port scored crossings]*5</f>
        <v>#VALUE!</v>
      </c>
      <c r="BH100" s="16" t="e">
        <f aca="false">MatchData[rock wall scored crossings]*5</f>
        <v>#VALUE!</v>
      </c>
      <c r="BI100" s="16" t="e">
        <f aca="false">MatchData[rough terrain scored crossings]*5</f>
        <v>#VALUE!</v>
      </c>
      <c r="BJ100" s="16" t="e">
        <f aca="false">MatchData[low bar scored crossings]*5</f>
        <v>#VALUE!</v>
      </c>
      <c r="BK100" s="16" t="e">
        <f aca="false">SUM(MatchData[[#this row],[low bar teleop crossings]:[rough terrain scored crossings]])</f>
        <v>#VALUE!</v>
      </c>
      <c r="BL100" s="16" t="e">
        <f aca="false">IFERROR(IF(OR(MatchData[[#this row],[challenge flag]],MatchData[[#this row],[climb flag]]),1,0),0)</f>
        <v>#VALUE!</v>
      </c>
      <c r="BM100" s="16" t="e">
        <f aca="false">MatchData[auto high goals]*10+MatchData[teleop high goals]*5</f>
        <v>#VALUE!</v>
      </c>
      <c r="BN100" s="16" t="e">
        <f aca="false">MatchData[auto low goals]*5+MatchData[teleop low goals]*2</f>
        <v>#VALUE!</v>
      </c>
      <c r="BO100" s="16" t="e">
        <f aca="false">MatchData[high goal score]+MatchData[low goal score]</f>
        <v>#VALUE!</v>
      </c>
      <c r="BP100" s="16" t="e">
        <f aca="false">MatchData[teleop high goals]+MatchData[teleop low goals]</f>
        <v>#VALUE!</v>
      </c>
      <c r="BQ100" s="16" t="e">
        <f aca="false">MatchData[[#this row],[auto reach flag]]*2+SUM(MatchData[[#this row],[portcullis auto crossings]:[low bar auto crossings]])*10+MatchData[[#this row],[auto low goals]]*5+MatchData[auto high goals]*10</f>
        <v>#VALUE!</v>
      </c>
      <c r="BR100" s="16" t="e">
        <f aca="false">SUM(MatchData[[#this row],[cheval teleop crossing score]:[low bar teleop crossing score]])</f>
        <v>#VALUE!</v>
      </c>
      <c r="BS100" s="16" t="e">
        <f aca="false">SUMIF(MatchData[team],MatchData[[#this row],[team]],MatchData[total auto score])/MatchData[match count]</f>
        <v>#VALUE!</v>
      </c>
      <c r="BT100" s="16" t="e">
        <f aca="false">MatchData[challenge flag]*5</f>
        <v>#VALUE!</v>
      </c>
      <c r="BU100" s="16" t="e">
        <f aca="false">MatchData[climb flag]*15</f>
        <v>#VALUE!</v>
      </c>
      <c r="BV100" s="16" t="e">
        <f aca="false">SUM(MatchData[[#this row],[total goal score]],MatchData[[#this row],[crossing score]],MatchData[[#this row],[challenge score]],MatchData[[#this row],[climb score]],MatchData[[#this row],[total auto score]])</f>
        <v>#VALUE!</v>
      </c>
      <c r="BW100" s="16" t="e">
        <f aca="false">ROUND(SUMIF(MatchData[team],MatchData[[#this row],[team]],MatchData[teleop low goals])/COUNTIF(MatchData[team],MatchData[[#this row],[team]]),2)</f>
        <v>#VALUE!</v>
      </c>
      <c r="BX100" s="16" t="e">
        <f aca="false">ROUND(SUMIF(MatchData[team],MatchData[[#this row],[team]],MatchData[teleop high goals])/COUNTIF(MatchData[team],MatchData[[#this row],[team]]),2)</f>
        <v>#VALUE!</v>
      </c>
      <c r="BY100" s="16" t="e">
        <f aca="false">COUNTIF(MatchData[team],MatchData[[#this row],[team]])</f>
        <v>#VALUE!</v>
      </c>
      <c r="BZ100" s="16" t="e">
        <f aca="false">SUMIF(MatchData[team],MatchData[[#this row],[team]],MatchData[portcullis available])</f>
        <v>#VALUE!</v>
      </c>
      <c r="CA100" s="16" t="e">
        <f aca="false">SUMIF(MatchData[team],MatchData[[#this row],[team]],MatchData[cheval available])</f>
        <v>#VALUE!</v>
      </c>
      <c r="CB100" s="16" t="e">
        <f aca="false">SUMIF(MatchData[team],MatchData[[#this row],[team]],MatchData[moat available])</f>
        <v>#VALUE!</v>
      </c>
      <c r="CC100" s="16" t="e">
        <f aca="false">SUMIF(MatchData[team],MatchData[[#this row],[team]],MatchData[ramparts available])</f>
        <v>#VALUE!</v>
      </c>
      <c r="CD100" s="16" t="e">
        <f aca="false">SUMIF(MatchData[team],MatchData[[#this row],[team]],MatchData[drawbridge available])</f>
        <v>#VALUE!</v>
      </c>
      <c r="CE100" s="16" t="e">
        <f aca="false">SUMIF(MatchData[team],MatchData[[#this row],[team]],MatchData[sally port available])</f>
        <v>#VALUE!</v>
      </c>
      <c r="CF100" s="16" t="e">
        <f aca="false">SUMIF(MatchData[team],MatchData[[#this row],[team]],MatchData[rock wall available])</f>
        <v>#VALUE!</v>
      </c>
      <c r="CG100" s="16" t="e">
        <f aca="false">SUMIF(MatchData[team],MatchData[[#this row],[team]],MatchData[rough terrain available])</f>
        <v>#VALUE!</v>
      </c>
      <c r="CH100" s="16" t="e">
        <f aca="false">SUMIF(MatchData[team],MatchData[[#this row],[team]],MatchData[low bar available])</f>
        <v>#VALUE!</v>
      </c>
      <c r="CI100" s="16" t="e">
        <f aca="false">SUMIF(MatchData[team],MatchData[[#this row],[team]],MatchData[portcullis teleop crossings]:MatchData[portcullis scored crossings])</f>
        <v>#VALUE!</v>
      </c>
      <c r="CJ100" s="16" t="e">
        <f aca="false">SUMIF(MatchData[team],MatchData[[#this row],[team]],MatchData[cheval teleop crossings])+SUMIF(MatchData[team],MatchData[[#this row],[team]],MatchData[cheval scored crossings])</f>
        <v>#VALUE!</v>
      </c>
      <c r="CK100" s="16" t="e">
        <f aca="false">SUMIF(MatchData[team],MatchData[[#this row],[team]],MatchData[moat teleop crossings])+SUMIF(MatchData[team],MatchData[[#this row],[team]],MatchData[moat scored crosings])</f>
        <v>#VALUE!</v>
      </c>
      <c r="CL100" s="16" t="e">
        <f aca="false">SUMIF(MatchData[team],MatchData[[#this row],[team]],MatchData[ramparts teleop crossings])+SUMIF(MatchData[team],MatchData[[#this row],[team]],MatchData[ramparts scored crossings])</f>
        <v>#VALUE!</v>
      </c>
      <c r="CM100" s="16" t="e">
        <f aca="false">SUMIF(MatchData[team],MatchData[[#this row],[team]],MatchData[drawbridge teleop crossings])+SUMIF(MatchData[team],MatchData[[#this row],[team]],MatchData[drawbridge scored crossings])</f>
        <v>#VALUE!</v>
      </c>
      <c r="CN100" s="16" t="e">
        <f aca="false">SUMIF(MatchData[team],MatchData[[#this row],[team]],MatchData[sally port teleop crossings])+SUMIF(MatchData[team],MatchData[[#this row],[team]],MatchData[sally port scored crossings])</f>
        <v>#VALUE!</v>
      </c>
      <c r="CO100" s="16" t="e">
        <f aca="false">SUMIF(MatchData[team],MatchData[[#this row],[team]],MatchData[rock wall teleop crossings])+SUMIF(MatchData[team],MatchData[[#this row],[team]],MatchData[rock wall scored crossings])</f>
        <v>#VALUE!</v>
      </c>
      <c r="CP100" s="16" t="e">
        <f aca="false">SUMIF(MatchData[team],MatchData[[#this row],[team]],MatchData[rough terrain teleop crossings])+SUMIF(MatchData[team],MatchData[[#this row],[team]],MatchData[rough terrain scored crossings])</f>
        <v>#VALUE!</v>
      </c>
      <c r="CQ100" s="16" t="e">
        <f aca="false">SUMIF(MatchData[team],MatchData[[#this row],[team]],MatchData[low bar teleop crossings])+SUMIF(MatchData[team],MatchData[[#this row],[team]],MatchData[low bar scored crossings])</f>
        <v>#VALUE!</v>
      </c>
      <c r="CR100" s="16" t="e">
        <f aca="false">IFERROR(ROUND(MatchData[[#this row],[portcullis sum]]/MatchData[[#this row],[portcullis avail count]],2),0)</f>
        <v>#VALUE!</v>
      </c>
      <c r="CS100" s="16" t="e">
        <f aca="false">IFERROR(ROUND(MatchData[[#this row],[cheval sum]]/MatchData[[#this row],[cheval avail count]],2),0)</f>
        <v>#VALUE!</v>
      </c>
      <c r="CT100" s="16" t="e">
        <f aca="false">IFERROR(ROUND(MatchData[[#this row],[moat sum]]/MatchData[[#this row],[moat avail count]],2),0)</f>
        <v>#VALUE!</v>
      </c>
      <c r="CU100" s="16" t="e">
        <f aca="false">IFERROR(ROUND(MatchData[[#this row],[ramparts sum]]/MatchData[[#this row],[ramparts avail count]],2),0)</f>
        <v>#VALUE!</v>
      </c>
      <c r="CV100" s="16" t="e">
        <f aca="false">IFERROR(ROUND(MatchData[[#this row],[drawbridge sum]]/MatchData[[#this row],[drawbridge avail countigh6]],2),0)</f>
        <v>#VALUE!</v>
      </c>
      <c r="CW100" s="16" t="e">
        <f aca="false">IFERROR(ROUND(MatchData[[#this row],[sally port sum]]/MatchData[[#this row],[sally port avail count]],2),0)</f>
        <v>#VALUE!</v>
      </c>
      <c r="CX100" s="5" t="e">
        <f aca="false">IFERROR(ROUND(MatchData[[#this row],[rock wall sum]]/MatchData[[#this row],[rock wall avail count]],2),0)</f>
        <v>#VALUE!</v>
      </c>
      <c r="CY100" s="5" t="e">
        <f aca="false">IFERROR(ROUND(MatchData[[#this row],[rough terrain sum]]/MatchData[[#this row],[rough terrain avail count]],2),0)</f>
        <v>#VALUE!</v>
      </c>
      <c r="CZ100" s="5" t="e">
        <f aca="false">IFERROR(ROUND(MatchData[[#this row],[low bar sum]]/MatchData[[#this row],[low bar avail count]],2),0)</f>
        <v>#VALUE!</v>
      </c>
      <c r="DA100" s="16" t="e">
        <f aca="false">SUM(MatchData[[#this row],[cheval sum]:[low bar sum]])/MatchData[match count]</f>
        <v>#VALUE!</v>
      </c>
      <c r="DB100" s="16" t="n">
        <f aca="false">MAX(IF(C$2:C$74=C100,BP$2:BP$74))</f>
        <v>-1.79769313486232E+308</v>
      </c>
      <c r="DC100" s="16" t="e">
        <f aca="false">AVERAGEIF(MatchData[team],MatchData[[#this row],[team]],MatchData[total score])</f>
        <v>#VALUE!</v>
      </c>
      <c r="DD100" s="16" t="e">
        <f aca="false">ROUND(AVERAGEIF(MatchData[team],MatchData[team],MatchData[climb or challenge flag]),2)</f>
        <v>#VALUE!</v>
      </c>
    </row>
    <row r="101" customFormat="false" ht="14.5" hidden="false" customHeight="false" outlineLevel="0" collapsed="false">
      <c r="A101" s="13" t="s">
        <v>108</v>
      </c>
      <c r="B101" s="14" t="n">
        <v>17</v>
      </c>
      <c r="C101" s="15" t="n">
        <v>753</v>
      </c>
      <c r="D101" s="5" t="s">
        <v>113</v>
      </c>
      <c r="E101" s="5" t="s">
        <v>135</v>
      </c>
      <c r="G101" s="16"/>
      <c r="I101" s="16" t="n">
        <v>1</v>
      </c>
      <c r="J101" s="5" t="n">
        <v>1</v>
      </c>
      <c r="K101" s="16"/>
      <c r="L101" s="5" t="n">
        <v>1</v>
      </c>
      <c r="M101" s="5" t="n">
        <v>1</v>
      </c>
      <c r="N101" s="0"/>
      <c r="O101" s="5" t="n">
        <v>1</v>
      </c>
      <c r="P101" s="0"/>
      <c r="Q101" s="5" t="n">
        <v>1</v>
      </c>
      <c r="R101" s="0"/>
      <c r="S101" s="16"/>
      <c r="T101" s="0"/>
      <c r="U101" s="16"/>
      <c r="V101" s="16"/>
      <c r="W101" s="0"/>
      <c r="X101" s="0"/>
      <c r="AD101" s="16"/>
      <c r="AE101" s="5"/>
      <c r="AF101" s="16"/>
      <c r="AG101" s="16"/>
      <c r="AH101" s="16"/>
      <c r="AJ101" s="16"/>
      <c r="AL101" s="16"/>
      <c r="AN101" s="16"/>
      <c r="AP101" s="16"/>
      <c r="AQ101" s="5" t="n">
        <v>2</v>
      </c>
      <c r="AR101" s="16" t="n">
        <v>1</v>
      </c>
      <c r="AT101" s="16"/>
      <c r="AU101" s="16"/>
      <c r="AV101" s="16"/>
      <c r="AW101" s="16"/>
      <c r="AX101" s="16"/>
      <c r="AY101" s="16"/>
      <c r="AZ101" s="16"/>
      <c r="BB101" s="16"/>
      <c r="BC101" s="16" t="e">
        <f aca="false">MatchData[cheval scored crossings]*5</f>
        <v>#VALUE!</v>
      </c>
      <c r="BD101" s="16" t="e">
        <f aca="false">MatchData[moat scored crosings]*5</f>
        <v>#VALUE!</v>
      </c>
      <c r="BE101" s="16" t="e">
        <f aca="false">MatchData[ramparts scored crossings]*5</f>
        <v>#VALUE!</v>
      </c>
      <c r="BF101" s="16" t="e">
        <f aca="false">MatchData[drawbridge scored crossings]*5</f>
        <v>#VALUE!</v>
      </c>
      <c r="BG101" s="16" t="e">
        <f aca="false">MatchData[sally port scored crossings]*5</f>
        <v>#VALUE!</v>
      </c>
      <c r="BH101" s="16" t="e">
        <f aca="false">MatchData[rock wall scored crossings]*5</f>
        <v>#VALUE!</v>
      </c>
      <c r="BI101" s="16" t="e">
        <f aca="false">MatchData[rough terrain scored crossings]*5</f>
        <v>#VALUE!</v>
      </c>
      <c r="BJ101" s="16" t="e">
        <f aca="false">MatchData[low bar scored crossings]*5</f>
        <v>#VALUE!</v>
      </c>
      <c r="BK101" s="16" t="e">
        <f aca="false">SUM(MatchData[[#this row],[low bar teleop crossings]:[rough terrain scored crossings]])</f>
        <v>#VALUE!</v>
      </c>
      <c r="BL101" s="16" t="e">
        <f aca="false">IFERROR(IF(OR(MatchData[[#this row],[challenge flag]],MatchData[[#this row],[climb flag]]),1,0),0)</f>
        <v>#VALUE!</v>
      </c>
      <c r="BM101" s="16" t="e">
        <f aca="false">MatchData[auto high goals]*10+MatchData[teleop high goals]*5</f>
        <v>#VALUE!</v>
      </c>
      <c r="BN101" s="16" t="e">
        <f aca="false">MatchData[auto low goals]*5+MatchData[teleop low goals]*2</f>
        <v>#VALUE!</v>
      </c>
      <c r="BO101" s="16" t="e">
        <f aca="false">MatchData[high goal score]+MatchData[low goal score]</f>
        <v>#VALUE!</v>
      </c>
      <c r="BP101" s="16" t="e">
        <f aca="false">MatchData[teleop high goals]+MatchData[teleop low goals]</f>
        <v>#VALUE!</v>
      </c>
      <c r="BQ101" s="16" t="e">
        <f aca="false">MatchData[[#this row],[auto reach flag]]*2+SUM(MatchData[[#this row],[portcullis auto crossings]:[low bar auto crossings]])*10+MatchData[[#this row],[auto low goals]]*5+MatchData[auto high goals]*10</f>
        <v>#VALUE!</v>
      </c>
      <c r="BR101" s="16" t="e">
        <f aca="false">SUM(MatchData[[#this row],[cheval teleop crossing score]:[low bar teleop crossing score]])</f>
        <v>#VALUE!</v>
      </c>
      <c r="BS101" s="16" t="e">
        <f aca="false">SUMIF(MatchData[team],MatchData[[#this row],[team]],MatchData[total auto score])/MatchData[match count]</f>
        <v>#VALUE!</v>
      </c>
      <c r="BT101" s="16" t="e">
        <f aca="false">MatchData[challenge flag]*5</f>
        <v>#VALUE!</v>
      </c>
      <c r="BU101" s="16" t="e">
        <f aca="false">MatchData[climb flag]*15</f>
        <v>#VALUE!</v>
      </c>
      <c r="BV101" s="16" t="e">
        <f aca="false">SUM(MatchData[[#this row],[total goal score]],MatchData[[#this row],[crossing score]],MatchData[[#this row],[challenge score]],MatchData[[#this row],[climb score]],MatchData[[#this row],[total auto score]])</f>
        <v>#VALUE!</v>
      </c>
      <c r="BW101" s="16" t="e">
        <f aca="false">ROUND(SUMIF(MatchData[team],MatchData[[#this row],[team]],MatchData[teleop low goals])/COUNTIF(MatchData[team],MatchData[[#this row],[team]]),2)</f>
        <v>#VALUE!</v>
      </c>
      <c r="BX101" s="16" t="e">
        <f aca="false">ROUND(SUMIF(MatchData[team],MatchData[[#this row],[team]],MatchData[teleop high goals])/COUNTIF(MatchData[team],MatchData[[#this row],[team]]),2)</f>
        <v>#VALUE!</v>
      </c>
      <c r="BY101" s="16" t="e">
        <f aca="false">COUNTIF(MatchData[team],MatchData[[#this row],[team]])</f>
        <v>#VALUE!</v>
      </c>
      <c r="BZ101" s="16" t="e">
        <f aca="false">SUMIF(MatchData[team],MatchData[[#this row],[team]],MatchData[portcullis available])</f>
        <v>#VALUE!</v>
      </c>
      <c r="CA101" s="16" t="e">
        <f aca="false">SUMIF(MatchData[team],MatchData[[#this row],[team]],MatchData[cheval available])</f>
        <v>#VALUE!</v>
      </c>
      <c r="CB101" s="16" t="e">
        <f aca="false">SUMIF(MatchData[team],MatchData[[#this row],[team]],MatchData[moat available])</f>
        <v>#VALUE!</v>
      </c>
      <c r="CC101" s="16" t="e">
        <f aca="false">SUMIF(MatchData[team],MatchData[[#this row],[team]],MatchData[ramparts available])</f>
        <v>#VALUE!</v>
      </c>
      <c r="CD101" s="16" t="e">
        <f aca="false">SUMIF(MatchData[team],MatchData[[#this row],[team]],MatchData[drawbridge available])</f>
        <v>#VALUE!</v>
      </c>
      <c r="CE101" s="16" t="e">
        <f aca="false">SUMIF(MatchData[team],MatchData[[#this row],[team]],MatchData[sally port available])</f>
        <v>#VALUE!</v>
      </c>
      <c r="CF101" s="16" t="e">
        <f aca="false">SUMIF(MatchData[team],MatchData[[#this row],[team]],MatchData[rock wall available])</f>
        <v>#VALUE!</v>
      </c>
      <c r="CG101" s="16" t="e">
        <f aca="false">SUMIF(MatchData[team],MatchData[[#this row],[team]],MatchData[rough terrain available])</f>
        <v>#VALUE!</v>
      </c>
      <c r="CH101" s="16" t="e">
        <f aca="false">SUMIF(MatchData[team],MatchData[[#this row],[team]],MatchData[low bar available])</f>
        <v>#VALUE!</v>
      </c>
      <c r="CI101" s="16" t="e">
        <f aca="false">SUMIF(MatchData[team],MatchData[[#this row],[team]],MatchData[portcullis teleop crossings]:MatchData[portcullis scored crossings])</f>
        <v>#VALUE!</v>
      </c>
      <c r="CJ101" s="16" t="e">
        <f aca="false">SUMIF(MatchData[team],MatchData[[#this row],[team]],MatchData[cheval teleop crossings])+SUMIF(MatchData[team],MatchData[[#this row],[team]],MatchData[cheval scored crossings])</f>
        <v>#VALUE!</v>
      </c>
      <c r="CK101" s="16" t="e">
        <f aca="false">SUMIF(MatchData[team],MatchData[[#this row],[team]],MatchData[moat teleop crossings])+SUMIF(MatchData[team],MatchData[[#this row],[team]],MatchData[moat scored crosings])</f>
        <v>#VALUE!</v>
      </c>
      <c r="CL101" s="16" t="e">
        <f aca="false">SUMIF(MatchData[team],MatchData[[#this row],[team]],MatchData[ramparts teleop crossings])+SUMIF(MatchData[team],MatchData[[#this row],[team]],MatchData[ramparts scored crossings])</f>
        <v>#VALUE!</v>
      </c>
      <c r="CM101" s="16" t="e">
        <f aca="false">SUMIF(MatchData[team],MatchData[[#this row],[team]],MatchData[drawbridge teleop crossings])+SUMIF(MatchData[team],MatchData[[#this row],[team]],MatchData[drawbridge scored crossings])</f>
        <v>#VALUE!</v>
      </c>
      <c r="CN101" s="16" t="e">
        <f aca="false">SUMIF(MatchData[team],MatchData[[#this row],[team]],MatchData[sally port teleop crossings])+SUMIF(MatchData[team],MatchData[[#this row],[team]],MatchData[sally port scored crossings])</f>
        <v>#VALUE!</v>
      </c>
      <c r="CO101" s="16" t="e">
        <f aca="false">SUMIF(MatchData[team],MatchData[[#this row],[team]],MatchData[rock wall teleop crossings])+SUMIF(MatchData[team],MatchData[[#this row],[team]],MatchData[rock wall scored crossings])</f>
        <v>#VALUE!</v>
      </c>
      <c r="CP101" s="16" t="e">
        <f aca="false">SUMIF(MatchData[team],MatchData[[#this row],[team]],MatchData[rough terrain teleop crossings])+SUMIF(MatchData[team],MatchData[[#this row],[team]],MatchData[rough terrain scored crossings])</f>
        <v>#VALUE!</v>
      </c>
      <c r="CQ101" s="16" t="e">
        <f aca="false">SUMIF(MatchData[team],MatchData[[#this row],[team]],MatchData[low bar teleop crossings])+SUMIF(MatchData[team],MatchData[[#this row],[team]],MatchData[low bar scored crossings])</f>
        <v>#VALUE!</v>
      </c>
      <c r="CR101" s="16" t="e">
        <f aca="false">IFERROR(ROUND(MatchData[[#this row],[portcullis sum]]/MatchData[[#this row],[portcullis avail count]],2),0)</f>
        <v>#VALUE!</v>
      </c>
      <c r="CS101" s="16" t="e">
        <f aca="false">IFERROR(ROUND(MatchData[[#this row],[cheval sum]]/MatchData[[#this row],[cheval avail count]],2),0)</f>
        <v>#VALUE!</v>
      </c>
      <c r="CT101" s="16" t="e">
        <f aca="false">IFERROR(ROUND(MatchData[[#this row],[moat sum]]/MatchData[[#this row],[moat avail count]],2),0)</f>
        <v>#VALUE!</v>
      </c>
      <c r="CU101" s="16" t="e">
        <f aca="false">IFERROR(ROUND(MatchData[[#this row],[ramparts sum]]/MatchData[[#this row],[ramparts avail count]],2),0)</f>
        <v>#VALUE!</v>
      </c>
      <c r="CV101" s="16" t="e">
        <f aca="false">IFERROR(ROUND(MatchData[[#this row],[drawbridge sum]]/MatchData[[#this row],[drawbridge avail countigh6]],2),0)</f>
        <v>#VALUE!</v>
      </c>
      <c r="CW101" s="16" t="e">
        <f aca="false">IFERROR(ROUND(MatchData[[#this row],[sally port sum]]/MatchData[[#this row],[sally port avail count]],2),0)</f>
        <v>#VALUE!</v>
      </c>
      <c r="CX101" s="5" t="e">
        <f aca="false">IFERROR(ROUND(MatchData[[#this row],[rock wall sum]]/MatchData[[#this row],[rock wall avail count]],2),0)</f>
        <v>#VALUE!</v>
      </c>
      <c r="CY101" s="5" t="e">
        <f aca="false">IFERROR(ROUND(MatchData[[#this row],[rough terrain sum]]/MatchData[[#this row],[rough terrain avail count]],2),0)</f>
        <v>#VALUE!</v>
      </c>
      <c r="CZ101" s="5" t="e">
        <f aca="false">IFERROR(ROUND(MatchData[[#this row],[low bar sum]]/MatchData[[#this row],[low bar avail count]],2),0)</f>
        <v>#VALUE!</v>
      </c>
      <c r="DA101" s="16" t="e">
        <f aca="false">SUM(MatchData[[#this row],[cheval sum]:[low bar sum]])/MatchData[match count]</f>
        <v>#VALUE!</v>
      </c>
      <c r="DB101" s="16" t="n">
        <f aca="false">MAX(IF(C$2:C$74=C101,BP$2:BP$74))</f>
        <v>-1.79769313486232E+308</v>
      </c>
      <c r="DC101" s="16" t="e">
        <f aca="false">AVERAGEIF(MatchData[team],MatchData[[#this row],[team]],MatchData[total score])</f>
        <v>#VALUE!</v>
      </c>
      <c r="DD101" s="16" t="e">
        <f aca="false">ROUND(AVERAGEIF(MatchData[team],MatchData[team],MatchData[climb or challenge flag]),2)</f>
        <v>#VALUE!</v>
      </c>
    </row>
    <row r="102" customFormat="false" ht="14.5" hidden="false" customHeight="false" outlineLevel="0" collapsed="false">
      <c r="A102" s="13" t="s">
        <v>108</v>
      </c>
      <c r="B102" s="14" t="n">
        <v>17</v>
      </c>
      <c r="C102" s="15" t="n">
        <v>1510</v>
      </c>
      <c r="D102" s="5" t="s">
        <v>113</v>
      </c>
      <c r="E102" s="5" t="s">
        <v>138</v>
      </c>
      <c r="G102" s="16"/>
      <c r="I102" s="16"/>
      <c r="J102" s="5" t="n">
        <v>1</v>
      </c>
      <c r="K102" s="16"/>
      <c r="L102" s="5" t="n">
        <v>1</v>
      </c>
      <c r="M102" s="5" t="n">
        <v>1</v>
      </c>
      <c r="N102" s="0"/>
      <c r="O102" s="5" t="n">
        <v>1</v>
      </c>
      <c r="P102" s="0"/>
      <c r="Q102" s="5" t="n">
        <v>1</v>
      </c>
      <c r="R102" s="0"/>
      <c r="S102" s="16"/>
      <c r="T102" s="0"/>
      <c r="U102" s="16"/>
      <c r="V102" s="16"/>
      <c r="W102" s="0"/>
      <c r="X102" s="0"/>
      <c r="AD102" s="16"/>
      <c r="AE102" s="5"/>
      <c r="AF102" s="16"/>
      <c r="AG102" s="16"/>
      <c r="AH102" s="16" t="n">
        <v>2</v>
      </c>
      <c r="AJ102" s="16"/>
      <c r="AL102" s="16"/>
      <c r="AN102" s="16"/>
      <c r="AP102" s="16"/>
      <c r="AR102" s="16"/>
      <c r="AT102" s="16"/>
      <c r="AU102" s="16"/>
      <c r="AV102" s="16"/>
      <c r="AW102" s="16"/>
      <c r="AX102" s="16"/>
      <c r="AY102" s="16"/>
      <c r="AZ102" s="16"/>
      <c r="BB102" s="16"/>
      <c r="BC102" s="16" t="e">
        <f aca="false">MatchData[cheval scored crossings]*5</f>
        <v>#VALUE!</v>
      </c>
      <c r="BD102" s="16" t="e">
        <f aca="false">MatchData[moat scored crosings]*5</f>
        <v>#VALUE!</v>
      </c>
      <c r="BE102" s="16" t="e">
        <f aca="false">MatchData[ramparts scored crossings]*5</f>
        <v>#VALUE!</v>
      </c>
      <c r="BF102" s="16" t="e">
        <f aca="false">MatchData[drawbridge scored crossings]*5</f>
        <v>#VALUE!</v>
      </c>
      <c r="BG102" s="16" t="e">
        <f aca="false">MatchData[sally port scored crossings]*5</f>
        <v>#VALUE!</v>
      </c>
      <c r="BH102" s="16" t="e">
        <f aca="false">MatchData[rock wall scored crossings]*5</f>
        <v>#VALUE!</v>
      </c>
      <c r="BI102" s="16" t="e">
        <f aca="false">MatchData[rough terrain scored crossings]*5</f>
        <v>#VALUE!</v>
      </c>
      <c r="BJ102" s="16" t="e">
        <f aca="false">MatchData[low bar scored crossings]*5</f>
        <v>#VALUE!</v>
      </c>
      <c r="BK102" s="16" t="e">
        <f aca="false">SUM(MatchData[[#this row],[low bar teleop crossings]:[rough terrain scored crossings]])</f>
        <v>#VALUE!</v>
      </c>
      <c r="BL102" s="16" t="e">
        <f aca="false">IFERROR(IF(OR(MatchData[[#this row],[challenge flag]],MatchData[[#this row],[climb flag]]),1,0),0)</f>
        <v>#VALUE!</v>
      </c>
      <c r="BM102" s="16" t="e">
        <f aca="false">MatchData[auto high goals]*10+MatchData[teleop high goals]*5</f>
        <v>#VALUE!</v>
      </c>
      <c r="BN102" s="16" t="e">
        <f aca="false">MatchData[auto low goals]*5+MatchData[teleop low goals]*2</f>
        <v>#VALUE!</v>
      </c>
      <c r="BO102" s="16" t="e">
        <f aca="false">MatchData[high goal score]+MatchData[low goal score]</f>
        <v>#VALUE!</v>
      </c>
      <c r="BP102" s="16" t="e">
        <f aca="false">MatchData[teleop high goals]+MatchData[teleop low goals]</f>
        <v>#VALUE!</v>
      </c>
      <c r="BQ102" s="16" t="e">
        <f aca="false">MatchData[[#this row],[auto reach flag]]*2+SUM(MatchData[[#this row],[portcullis auto crossings]:[low bar auto crossings]])*10+MatchData[[#this row],[auto low goals]]*5+MatchData[auto high goals]*10</f>
        <v>#VALUE!</v>
      </c>
      <c r="BR102" s="16" t="e">
        <f aca="false">SUM(MatchData[[#this row],[cheval teleop crossing score]:[low bar teleop crossing score]])</f>
        <v>#VALUE!</v>
      </c>
      <c r="BS102" s="16" t="e">
        <f aca="false">SUMIF(MatchData[team],MatchData[[#this row],[team]],MatchData[total auto score])/MatchData[match count]</f>
        <v>#VALUE!</v>
      </c>
      <c r="BT102" s="16" t="e">
        <f aca="false">MatchData[challenge flag]*5</f>
        <v>#VALUE!</v>
      </c>
      <c r="BU102" s="16" t="e">
        <f aca="false">MatchData[climb flag]*15</f>
        <v>#VALUE!</v>
      </c>
      <c r="BV102" s="16" t="e">
        <f aca="false">SUM(MatchData[[#this row],[total goal score]],MatchData[[#this row],[crossing score]],MatchData[[#this row],[challenge score]],MatchData[[#this row],[climb score]],MatchData[[#this row],[total auto score]])</f>
        <v>#VALUE!</v>
      </c>
      <c r="BW102" s="16" t="e">
        <f aca="false">ROUND(SUMIF(MatchData[team],MatchData[[#this row],[team]],MatchData[teleop low goals])/COUNTIF(MatchData[team],MatchData[[#this row],[team]]),2)</f>
        <v>#VALUE!</v>
      </c>
      <c r="BX102" s="16" t="e">
        <f aca="false">ROUND(SUMIF(MatchData[team],MatchData[[#this row],[team]],MatchData[teleop high goals])/COUNTIF(MatchData[team],MatchData[[#this row],[team]]),2)</f>
        <v>#VALUE!</v>
      </c>
      <c r="BY102" s="16" t="e">
        <f aca="false">COUNTIF(MatchData[team],MatchData[[#this row],[team]])</f>
        <v>#VALUE!</v>
      </c>
      <c r="BZ102" s="16" t="e">
        <f aca="false">SUMIF(MatchData[team],MatchData[[#this row],[team]],MatchData[portcullis available])</f>
        <v>#VALUE!</v>
      </c>
      <c r="CA102" s="16" t="e">
        <f aca="false">SUMIF(MatchData[team],MatchData[[#this row],[team]],MatchData[cheval available])</f>
        <v>#VALUE!</v>
      </c>
      <c r="CB102" s="16" t="e">
        <f aca="false">SUMIF(MatchData[team],MatchData[[#this row],[team]],MatchData[moat available])</f>
        <v>#VALUE!</v>
      </c>
      <c r="CC102" s="16" t="e">
        <f aca="false">SUMIF(MatchData[team],MatchData[[#this row],[team]],MatchData[ramparts available])</f>
        <v>#VALUE!</v>
      </c>
      <c r="CD102" s="16" t="e">
        <f aca="false">SUMIF(MatchData[team],MatchData[[#this row],[team]],MatchData[drawbridge available])</f>
        <v>#VALUE!</v>
      </c>
      <c r="CE102" s="16" t="e">
        <f aca="false">SUMIF(MatchData[team],MatchData[[#this row],[team]],MatchData[sally port available])</f>
        <v>#VALUE!</v>
      </c>
      <c r="CF102" s="16" t="e">
        <f aca="false">SUMIF(MatchData[team],MatchData[[#this row],[team]],MatchData[rock wall available])</f>
        <v>#VALUE!</v>
      </c>
      <c r="CG102" s="16" t="e">
        <f aca="false">SUMIF(MatchData[team],MatchData[[#this row],[team]],MatchData[rough terrain available])</f>
        <v>#VALUE!</v>
      </c>
      <c r="CH102" s="16" t="e">
        <f aca="false">SUMIF(MatchData[team],MatchData[[#this row],[team]],MatchData[low bar available])</f>
        <v>#VALUE!</v>
      </c>
      <c r="CI102" s="16" t="e">
        <f aca="false">SUMIF(MatchData[team],MatchData[[#this row],[team]],MatchData[portcullis teleop crossings]:MatchData[portcullis scored crossings])</f>
        <v>#VALUE!</v>
      </c>
      <c r="CJ102" s="16" t="e">
        <f aca="false">SUMIF(MatchData[team],MatchData[[#this row],[team]],MatchData[cheval teleop crossings])+SUMIF(MatchData[team],MatchData[[#this row],[team]],MatchData[cheval scored crossings])</f>
        <v>#VALUE!</v>
      </c>
      <c r="CK102" s="16" t="e">
        <f aca="false">SUMIF(MatchData[team],MatchData[[#this row],[team]],MatchData[moat teleop crossings])+SUMIF(MatchData[team],MatchData[[#this row],[team]],MatchData[moat scored crosings])</f>
        <v>#VALUE!</v>
      </c>
      <c r="CL102" s="16" t="e">
        <f aca="false">SUMIF(MatchData[team],MatchData[[#this row],[team]],MatchData[ramparts teleop crossings])+SUMIF(MatchData[team],MatchData[[#this row],[team]],MatchData[ramparts scored crossings])</f>
        <v>#VALUE!</v>
      </c>
      <c r="CM102" s="16" t="e">
        <f aca="false">SUMIF(MatchData[team],MatchData[[#this row],[team]],MatchData[drawbridge teleop crossings])+SUMIF(MatchData[team],MatchData[[#this row],[team]],MatchData[drawbridge scored crossings])</f>
        <v>#VALUE!</v>
      </c>
      <c r="CN102" s="16" t="e">
        <f aca="false">SUMIF(MatchData[team],MatchData[[#this row],[team]],MatchData[sally port teleop crossings])+SUMIF(MatchData[team],MatchData[[#this row],[team]],MatchData[sally port scored crossings])</f>
        <v>#VALUE!</v>
      </c>
      <c r="CO102" s="16" t="e">
        <f aca="false">SUMIF(MatchData[team],MatchData[[#this row],[team]],MatchData[rock wall teleop crossings])+SUMIF(MatchData[team],MatchData[[#this row],[team]],MatchData[rock wall scored crossings])</f>
        <v>#VALUE!</v>
      </c>
      <c r="CP102" s="16" t="e">
        <f aca="false">SUMIF(MatchData[team],MatchData[[#this row],[team]],MatchData[rough terrain teleop crossings])+SUMIF(MatchData[team],MatchData[[#this row],[team]],MatchData[rough terrain scored crossings])</f>
        <v>#VALUE!</v>
      </c>
      <c r="CQ102" s="16" t="e">
        <f aca="false">SUMIF(MatchData[team],MatchData[[#this row],[team]],MatchData[low bar teleop crossings])+SUMIF(MatchData[team],MatchData[[#this row],[team]],MatchData[low bar scored crossings])</f>
        <v>#VALUE!</v>
      </c>
      <c r="CR102" s="16" t="e">
        <f aca="false">IFERROR(ROUND(MatchData[[#this row],[portcullis sum]]/MatchData[[#this row],[portcullis avail count]],2),0)</f>
        <v>#VALUE!</v>
      </c>
      <c r="CS102" s="16" t="e">
        <f aca="false">IFERROR(ROUND(MatchData[[#this row],[cheval sum]]/MatchData[[#this row],[cheval avail count]],2),0)</f>
        <v>#VALUE!</v>
      </c>
      <c r="CT102" s="16" t="e">
        <f aca="false">IFERROR(ROUND(MatchData[[#this row],[moat sum]]/MatchData[[#this row],[moat avail count]],2),0)</f>
        <v>#VALUE!</v>
      </c>
      <c r="CU102" s="16" t="e">
        <f aca="false">IFERROR(ROUND(MatchData[[#this row],[ramparts sum]]/MatchData[[#this row],[ramparts avail count]],2),0)</f>
        <v>#VALUE!</v>
      </c>
      <c r="CV102" s="16" t="e">
        <f aca="false">IFERROR(ROUND(MatchData[[#this row],[drawbridge sum]]/MatchData[[#this row],[drawbridge avail countigh6]],2),0)</f>
        <v>#VALUE!</v>
      </c>
      <c r="CW102" s="16" t="e">
        <f aca="false">IFERROR(ROUND(MatchData[[#this row],[sally port sum]]/MatchData[[#this row],[sally port avail count]],2),0)</f>
        <v>#VALUE!</v>
      </c>
      <c r="CX102" s="5" t="e">
        <f aca="false">IFERROR(ROUND(MatchData[[#this row],[rock wall sum]]/MatchData[[#this row],[rock wall avail count]],2),0)</f>
        <v>#VALUE!</v>
      </c>
      <c r="CY102" s="5" t="e">
        <f aca="false">IFERROR(ROUND(MatchData[[#this row],[rough terrain sum]]/MatchData[[#this row],[rough terrain avail count]],2),0)</f>
        <v>#VALUE!</v>
      </c>
      <c r="CZ102" s="5" t="e">
        <f aca="false">IFERROR(ROUND(MatchData[[#this row],[low bar sum]]/MatchData[[#this row],[low bar avail count]],2),0)</f>
        <v>#VALUE!</v>
      </c>
      <c r="DA102" s="16" t="e">
        <f aca="false">SUM(MatchData[[#this row],[cheval sum]:[low bar sum]])/MatchData[match count]</f>
        <v>#VALUE!</v>
      </c>
      <c r="DB102" s="16" t="n">
        <f aca="false">MAX(IF(C$2:C$74=C102,BP$2:BP$74))</f>
        <v>-1.79769313486232E+308</v>
      </c>
      <c r="DC102" s="16" t="e">
        <f aca="false">AVERAGEIF(MatchData[team],MatchData[[#this row],[team]],MatchData[total score])</f>
        <v>#VALUE!</v>
      </c>
      <c r="DD102" s="16" t="e">
        <f aca="false">ROUND(AVERAGEIF(MatchData[team],MatchData[team],MatchData[climb or challenge flag]),2)</f>
        <v>#VALUE!</v>
      </c>
    </row>
    <row r="103" customFormat="false" ht="14.5" hidden="false" customHeight="false" outlineLevel="0" collapsed="false">
      <c r="A103" s="17" t="s">
        <v>108</v>
      </c>
      <c r="B103" s="14" t="n">
        <v>17</v>
      </c>
      <c r="C103" s="15" t="n">
        <v>5975</v>
      </c>
      <c r="D103" s="5" t="s">
        <v>113</v>
      </c>
      <c r="E103" s="5" t="s">
        <v>125</v>
      </c>
      <c r="G103" s="16"/>
      <c r="I103" s="16"/>
      <c r="J103" s="5" t="n">
        <v>1</v>
      </c>
      <c r="K103" s="16"/>
      <c r="L103" s="5" t="n">
        <v>1</v>
      </c>
      <c r="M103" s="5" t="n">
        <v>1</v>
      </c>
      <c r="N103" s="0"/>
      <c r="O103" s="5" t="n">
        <v>1</v>
      </c>
      <c r="P103" s="0"/>
      <c r="Q103" s="5" t="n">
        <v>1</v>
      </c>
      <c r="R103" s="0"/>
      <c r="S103" s="16" t="n">
        <v>1</v>
      </c>
      <c r="T103" s="0"/>
      <c r="U103" s="16"/>
      <c r="V103" s="16"/>
      <c r="W103" s="0"/>
      <c r="X103" s="0"/>
      <c r="AD103" s="16" t="n">
        <v>2</v>
      </c>
      <c r="AE103" s="5"/>
      <c r="AF103" s="16"/>
      <c r="AG103" s="16"/>
      <c r="AH103" s="16"/>
      <c r="AJ103" s="16" t="n">
        <v>2</v>
      </c>
      <c r="AL103" s="16"/>
      <c r="AN103" s="16"/>
      <c r="AP103" s="16"/>
      <c r="AR103" s="16"/>
      <c r="AT103" s="16"/>
      <c r="AU103" s="16"/>
      <c r="AV103" s="16"/>
      <c r="AW103" s="16"/>
      <c r="AX103" s="16"/>
      <c r="AY103" s="16"/>
      <c r="AZ103" s="16"/>
      <c r="BB103" s="16" t="n">
        <v>1</v>
      </c>
      <c r="BC103" s="16" t="e">
        <f aca="false">MatchData[cheval scored crossings]*5</f>
        <v>#VALUE!</v>
      </c>
      <c r="BD103" s="16" t="e">
        <f aca="false">MatchData[moat scored crosings]*5</f>
        <v>#VALUE!</v>
      </c>
      <c r="BE103" s="16" t="e">
        <f aca="false">MatchData[ramparts scored crossings]*5</f>
        <v>#VALUE!</v>
      </c>
      <c r="BF103" s="16" t="e">
        <f aca="false">MatchData[drawbridge scored crossings]*5</f>
        <v>#VALUE!</v>
      </c>
      <c r="BG103" s="16" t="e">
        <f aca="false">MatchData[sally port scored crossings]*5</f>
        <v>#VALUE!</v>
      </c>
      <c r="BH103" s="16" t="e">
        <f aca="false">MatchData[rock wall scored crossings]*5</f>
        <v>#VALUE!</v>
      </c>
      <c r="BI103" s="16" t="e">
        <f aca="false">MatchData[rough terrain scored crossings]*5</f>
        <v>#VALUE!</v>
      </c>
      <c r="BJ103" s="16" t="e">
        <f aca="false">MatchData[low bar scored crossings]*5</f>
        <v>#VALUE!</v>
      </c>
      <c r="BK103" s="16" t="e">
        <f aca="false">SUM(MatchData[[#this row],[low bar teleop crossings]:[rough terrain scored crossings]])</f>
        <v>#VALUE!</v>
      </c>
      <c r="BL103" s="16" t="e">
        <f aca="false">IFERROR(IF(OR(MatchData[[#this row],[challenge flag]],MatchData[[#this row],[climb flag]]),1,0),0)</f>
        <v>#VALUE!</v>
      </c>
      <c r="BM103" s="16" t="e">
        <f aca="false">MatchData[auto high goals]*10+MatchData[teleop high goals]*5</f>
        <v>#VALUE!</v>
      </c>
      <c r="BN103" s="16" t="e">
        <f aca="false">MatchData[auto low goals]*5+MatchData[teleop low goals]*2</f>
        <v>#VALUE!</v>
      </c>
      <c r="BO103" s="16" t="e">
        <f aca="false">MatchData[high goal score]+MatchData[low goal score]</f>
        <v>#VALUE!</v>
      </c>
      <c r="BP103" s="16" t="e">
        <f aca="false">MatchData[teleop high goals]+MatchData[teleop low goals]</f>
        <v>#VALUE!</v>
      </c>
      <c r="BQ103" s="16" t="e">
        <f aca="false">MatchData[[#this row],[auto reach flag]]*2+SUM(MatchData[[#this row],[portcullis auto crossings]:[low bar auto crossings]])*10+MatchData[[#this row],[auto low goals]]*5+MatchData[auto high goals]*10</f>
        <v>#VALUE!</v>
      </c>
      <c r="BR103" s="16" t="e">
        <f aca="false">SUM(MatchData[[#this row],[cheval teleop crossing score]:[low bar teleop crossing score]])</f>
        <v>#VALUE!</v>
      </c>
      <c r="BS103" s="16" t="e">
        <f aca="false">SUMIF(MatchData[team],MatchData[[#this row],[team]],MatchData[total auto score])/MatchData[match count]</f>
        <v>#VALUE!</v>
      </c>
      <c r="BT103" s="16" t="e">
        <f aca="false">MatchData[challenge flag]*5</f>
        <v>#VALUE!</v>
      </c>
      <c r="BU103" s="16" t="e">
        <f aca="false">MatchData[climb flag]*15</f>
        <v>#VALUE!</v>
      </c>
      <c r="BV103" s="16" t="e">
        <f aca="false">SUM(MatchData[[#this row],[total goal score]],MatchData[[#this row],[crossing score]],MatchData[[#this row],[challenge score]],MatchData[[#this row],[climb score]],MatchData[[#this row],[total auto score]])</f>
        <v>#VALUE!</v>
      </c>
      <c r="BW103" s="16" t="e">
        <f aca="false">ROUND(SUMIF(MatchData[team],MatchData[[#this row],[team]],MatchData[teleop low goals])/COUNTIF(MatchData[team],MatchData[[#this row],[team]]),2)</f>
        <v>#VALUE!</v>
      </c>
      <c r="BX103" s="16" t="e">
        <f aca="false">ROUND(SUMIF(MatchData[team],MatchData[[#this row],[team]],MatchData[teleop high goals])/COUNTIF(MatchData[team],MatchData[[#this row],[team]]),2)</f>
        <v>#VALUE!</v>
      </c>
      <c r="BY103" s="16" t="e">
        <f aca="false">COUNTIF(MatchData[team],MatchData[[#this row],[team]])</f>
        <v>#VALUE!</v>
      </c>
      <c r="BZ103" s="16" t="e">
        <f aca="false">SUMIF(MatchData[team],MatchData[[#this row],[team]],MatchData[portcullis available])</f>
        <v>#VALUE!</v>
      </c>
      <c r="CA103" s="16" t="e">
        <f aca="false">SUMIF(MatchData[team],MatchData[[#this row],[team]],MatchData[cheval available])</f>
        <v>#VALUE!</v>
      </c>
      <c r="CB103" s="16" t="e">
        <f aca="false">SUMIF(MatchData[team],MatchData[[#this row],[team]],MatchData[moat available])</f>
        <v>#VALUE!</v>
      </c>
      <c r="CC103" s="16" t="e">
        <f aca="false">SUMIF(MatchData[team],MatchData[[#this row],[team]],MatchData[ramparts available])</f>
        <v>#VALUE!</v>
      </c>
      <c r="CD103" s="16" t="e">
        <f aca="false">SUMIF(MatchData[team],MatchData[[#this row],[team]],MatchData[drawbridge available])</f>
        <v>#VALUE!</v>
      </c>
      <c r="CE103" s="16" t="e">
        <f aca="false">SUMIF(MatchData[team],MatchData[[#this row],[team]],MatchData[sally port available])</f>
        <v>#VALUE!</v>
      </c>
      <c r="CF103" s="16" t="e">
        <f aca="false">SUMIF(MatchData[team],MatchData[[#this row],[team]],MatchData[rock wall available])</f>
        <v>#VALUE!</v>
      </c>
      <c r="CG103" s="16" t="e">
        <f aca="false">SUMIF(MatchData[team],MatchData[[#this row],[team]],MatchData[rough terrain available])</f>
        <v>#VALUE!</v>
      </c>
      <c r="CH103" s="16" t="e">
        <f aca="false">SUMIF(MatchData[team],MatchData[[#this row],[team]],MatchData[low bar available])</f>
        <v>#VALUE!</v>
      </c>
      <c r="CI103" s="16" t="e">
        <f aca="false">SUMIF(MatchData[team],MatchData[[#this row],[team]],MatchData[portcullis teleop crossings]:MatchData[portcullis scored crossings])</f>
        <v>#VALUE!</v>
      </c>
      <c r="CJ103" s="16" t="e">
        <f aca="false">SUMIF(MatchData[team],MatchData[[#this row],[team]],MatchData[cheval teleop crossings])+SUMIF(MatchData[team],MatchData[[#this row],[team]],MatchData[cheval scored crossings])</f>
        <v>#VALUE!</v>
      </c>
      <c r="CK103" s="16" t="e">
        <f aca="false">SUMIF(MatchData[team],MatchData[[#this row],[team]],MatchData[moat teleop crossings])+SUMIF(MatchData[team],MatchData[[#this row],[team]],MatchData[moat scored crosings])</f>
        <v>#VALUE!</v>
      </c>
      <c r="CL103" s="16" t="e">
        <f aca="false">SUMIF(MatchData[team],MatchData[[#this row],[team]],MatchData[ramparts teleop crossings])+SUMIF(MatchData[team],MatchData[[#this row],[team]],MatchData[ramparts scored crossings])</f>
        <v>#VALUE!</v>
      </c>
      <c r="CM103" s="16" t="e">
        <f aca="false">SUMIF(MatchData[team],MatchData[[#this row],[team]],MatchData[drawbridge teleop crossings])+SUMIF(MatchData[team],MatchData[[#this row],[team]],MatchData[drawbridge scored crossings])</f>
        <v>#VALUE!</v>
      </c>
      <c r="CN103" s="16" t="e">
        <f aca="false">SUMIF(MatchData[team],MatchData[[#this row],[team]],MatchData[sally port teleop crossings])+SUMIF(MatchData[team],MatchData[[#this row],[team]],MatchData[sally port scored crossings])</f>
        <v>#VALUE!</v>
      </c>
      <c r="CO103" s="16" t="e">
        <f aca="false">SUMIF(MatchData[team],MatchData[[#this row],[team]],MatchData[rock wall teleop crossings])+SUMIF(MatchData[team],MatchData[[#this row],[team]],MatchData[rock wall scored crossings])</f>
        <v>#VALUE!</v>
      </c>
      <c r="CP103" s="16" t="e">
        <f aca="false">SUMIF(MatchData[team],MatchData[[#this row],[team]],MatchData[rough terrain teleop crossings])+SUMIF(MatchData[team],MatchData[[#this row],[team]],MatchData[rough terrain scored crossings])</f>
        <v>#VALUE!</v>
      </c>
      <c r="CQ103" s="16" t="e">
        <f aca="false">SUMIF(MatchData[team],MatchData[[#this row],[team]],MatchData[low bar teleop crossings])+SUMIF(MatchData[team],MatchData[[#this row],[team]],MatchData[low bar scored crossings])</f>
        <v>#VALUE!</v>
      </c>
      <c r="CR103" s="16" t="e">
        <f aca="false">IFERROR(ROUND(MatchData[[#this row],[portcullis sum]]/MatchData[[#this row],[portcullis avail count]],2),0)</f>
        <v>#VALUE!</v>
      </c>
      <c r="CS103" s="16" t="e">
        <f aca="false">IFERROR(ROUND(MatchData[[#this row],[cheval sum]]/MatchData[[#this row],[cheval avail count]],2),0)</f>
        <v>#VALUE!</v>
      </c>
      <c r="CT103" s="16" t="e">
        <f aca="false">IFERROR(ROUND(MatchData[[#this row],[moat sum]]/MatchData[[#this row],[moat avail count]],2),0)</f>
        <v>#VALUE!</v>
      </c>
      <c r="CU103" s="16" t="e">
        <f aca="false">IFERROR(ROUND(MatchData[[#this row],[ramparts sum]]/MatchData[[#this row],[ramparts avail count]],2),0)</f>
        <v>#VALUE!</v>
      </c>
      <c r="CV103" s="16" t="e">
        <f aca="false">IFERROR(ROUND(MatchData[[#this row],[drawbridge sum]]/MatchData[[#this row],[drawbridge avail countigh6]],2),0)</f>
        <v>#VALUE!</v>
      </c>
      <c r="CW103" s="16" t="e">
        <f aca="false">IFERROR(ROUND(MatchData[[#this row],[sally port sum]]/MatchData[[#this row],[sally port avail count]],2),0)</f>
        <v>#VALUE!</v>
      </c>
      <c r="CX103" s="5" t="e">
        <f aca="false">IFERROR(ROUND(MatchData[[#this row],[rock wall sum]]/MatchData[[#this row],[rock wall avail count]],2),0)</f>
        <v>#VALUE!</v>
      </c>
      <c r="CY103" s="5" t="e">
        <f aca="false">IFERROR(ROUND(MatchData[[#this row],[rough terrain sum]]/MatchData[[#this row],[rough terrain avail count]],2),0)</f>
        <v>#VALUE!</v>
      </c>
      <c r="CZ103" s="5" t="e">
        <f aca="false">IFERROR(ROUND(MatchData[[#this row],[low bar sum]]/MatchData[[#this row],[low bar avail count]],2),0)</f>
        <v>#VALUE!</v>
      </c>
      <c r="DA103" s="16" t="e">
        <f aca="false">SUM(MatchData[[#this row],[cheval sum]:[low bar sum]])/MatchData[match count]</f>
        <v>#VALUE!</v>
      </c>
      <c r="DB103" s="16" t="n">
        <f aca="false">MAX(IF(C$2:C$74=C103,BP$2:BP$74))</f>
        <v>-1.79769313486232E+308</v>
      </c>
      <c r="DC103" s="16" t="e">
        <f aca="false">AVERAGEIF(MatchData[team],MatchData[[#this row],[team]],MatchData[total score])</f>
        <v>#VALUE!</v>
      </c>
      <c r="DD103" s="16" t="e">
        <f aca="false">ROUND(AVERAGEIF(MatchData[team],MatchData[team],MatchData[climb or challenge flag]),2)</f>
        <v>#VALUE!</v>
      </c>
    </row>
    <row r="104" customFormat="false" ht="14.5" hidden="false" customHeight="false" outlineLevel="0" collapsed="false">
      <c r="A104" s="13" t="s">
        <v>108</v>
      </c>
      <c r="B104" s="14" t="n">
        <v>18</v>
      </c>
      <c r="C104" s="15" t="n">
        <v>997</v>
      </c>
      <c r="D104" s="5" t="s">
        <v>109</v>
      </c>
      <c r="E104" s="5" t="s">
        <v>147</v>
      </c>
      <c r="G104" s="16"/>
      <c r="I104" s="16" t="n">
        <v>1</v>
      </c>
      <c r="J104" s="5" t="n">
        <v>1</v>
      </c>
      <c r="K104" s="16"/>
      <c r="L104" s="5" t="n">
        <v>1</v>
      </c>
      <c r="M104" s="5" t="n">
        <v>1</v>
      </c>
      <c r="N104" s="0"/>
      <c r="O104" s="5" t="n">
        <v>1</v>
      </c>
      <c r="P104" s="0"/>
      <c r="Q104" s="5" t="n">
        <v>1</v>
      </c>
      <c r="R104" s="0"/>
      <c r="S104" s="16"/>
      <c r="T104" s="0"/>
      <c r="U104" s="16"/>
      <c r="V104" s="16"/>
      <c r="W104" s="0"/>
      <c r="X104" s="0"/>
      <c r="AD104" s="16" t="n">
        <v>2</v>
      </c>
      <c r="AE104" s="5"/>
      <c r="AF104" s="16"/>
      <c r="AG104" s="16"/>
      <c r="AH104" s="16" t="n">
        <v>2</v>
      </c>
      <c r="AJ104" s="16"/>
      <c r="AL104" s="16"/>
      <c r="AN104" s="16"/>
      <c r="AP104" s="16"/>
      <c r="AR104" s="16"/>
      <c r="AT104" s="16"/>
      <c r="AU104" s="16"/>
      <c r="AV104" s="16"/>
      <c r="AW104" s="16" t="n">
        <v>1</v>
      </c>
      <c r="AX104" s="16"/>
      <c r="AY104" s="16"/>
      <c r="AZ104" s="16"/>
      <c r="BB104" s="16" t="n">
        <v>1</v>
      </c>
      <c r="BC104" s="16" t="e">
        <f aca="false">MatchData[cheval scored crossings]*5</f>
        <v>#VALUE!</v>
      </c>
      <c r="BD104" s="16" t="e">
        <f aca="false">MatchData[moat scored crosings]*5</f>
        <v>#VALUE!</v>
      </c>
      <c r="BE104" s="16" t="e">
        <f aca="false">MatchData[ramparts scored crossings]*5</f>
        <v>#VALUE!</v>
      </c>
      <c r="BF104" s="16" t="e">
        <f aca="false">MatchData[drawbridge scored crossings]*5</f>
        <v>#VALUE!</v>
      </c>
      <c r="BG104" s="16" t="e">
        <f aca="false">MatchData[sally port scored crossings]*5</f>
        <v>#VALUE!</v>
      </c>
      <c r="BH104" s="16" t="e">
        <f aca="false">MatchData[rock wall scored crossings]*5</f>
        <v>#VALUE!</v>
      </c>
      <c r="BI104" s="16" t="e">
        <f aca="false">MatchData[rough terrain scored crossings]*5</f>
        <v>#VALUE!</v>
      </c>
      <c r="BJ104" s="16" t="e">
        <f aca="false">MatchData[low bar scored crossings]*5</f>
        <v>#VALUE!</v>
      </c>
      <c r="BK104" s="16" t="e">
        <f aca="false">SUM(MatchData[[#this row],[low bar teleop crossings]:[rough terrain scored crossings]])</f>
        <v>#VALUE!</v>
      </c>
      <c r="BL104" s="16" t="e">
        <f aca="false">IFERROR(IF(OR(MatchData[[#this row],[challenge flag]],MatchData[[#this row],[climb flag]]),1,0),0)</f>
        <v>#VALUE!</v>
      </c>
      <c r="BM104" s="16" t="e">
        <f aca="false">MatchData[auto high goals]*10+MatchData[teleop high goals]*5</f>
        <v>#VALUE!</v>
      </c>
      <c r="BN104" s="16" t="e">
        <f aca="false">MatchData[auto low goals]*5+MatchData[teleop low goals]*2</f>
        <v>#VALUE!</v>
      </c>
      <c r="BO104" s="16" t="e">
        <f aca="false">MatchData[high goal score]+MatchData[low goal score]</f>
        <v>#VALUE!</v>
      </c>
      <c r="BP104" s="16" t="e">
        <f aca="false">MatchData[teleop high goals]+MatchData[teleop low goals]</f>
        <v>#VALUE!</v>
      </c>
      <c r="BQ104" s="16" t="e">
        <f aca="false">MatchData[[#this row],[auto reach flag]]*2+SUM(MatchData[[#this row],[portcullis auto crossings]:[low bar auto crossings]])*10+MatchData[[#this row],[auto low goals]]*5+MatchData[auto high goals]*10</f>
        <v>#VALUE!</v>
      </c>
      <c r="BR104" s="16" t="e">
        <f aca="false">SUM(MatchData[[#this row],[cheval teleop crossing score]:[low bar teleop crossing score]])</f>
        <v>#VALUE!</v>
      </c>
      <c r="BS104" s="16" t="e">
        <f aca="false">SUMIF(MatchData[team],MatchData[[#this row],[team]],MatchData[total auto score])/MatchData[match count]</f>
        <v>#VALUE!</v>
      </c>
      <c r="BT104" s="16" t="e">
        <f aca="false">MatchData[challenge flag]*5</f>
        <v>#VALUE!</v>
      </c>
      <c r="BU104" s="16" t="e">
        <f aca="false">MatchData[climb flag]*15</f>
        <v>#VALUE!</v>
      </c>
      <c r="BV104" s="16" t="e">
        <f aca="false">SUM(MatchData[[#this row],[total goal score]],MatchData[[#this row],[crossing score]],MatchData[[#this row],[challenge score]],MatchData[[#this row],[climb score]],MatchData[[#this row],[total auto score]])</f>
        <v>#VALUE!</v>
      </c>
      <c r="BW104" s="16" t="e">
        <f aca="false">ROUND(SUMIF(MatchData[team],MatchData[[#this row],[team]],MatchData[teleop low goals])/COUNTIF(MatchData[team],MatchData[[#this row],[team]]),2)</f>
        <v>#VALUE!</v>
      </c>
      <c r="BX104" s="16" t="e">
        <f aca="false">ROUND(SUMIF(MatchData[team],MatchData[[#this row],[team]],MatchData[teleop high goals])/COUNTIF(MatchData[team],MatchData[[#this row],[team]]),2)</f>
        <v>#VALUE!</v>
      </c>
      <c r="BY104" s="16" t="e">
        <f aca="false">COUNTIF(MatchData[team],MatchData[[#this row],[team]])</f>
        <v>#VALUE!</v>
      </c>
      <c r="BZ104" s="16" t="e">
        <f aca="false">SUMIF(MatchData[team],MatchData[[#this row],[team]],MatchData[portcullis available])</f>
        <v>#VALUE!</v>
      </c>
      <c r="CA104" s="16" t="e">
        <f aca="false">SUMIF(MatchData[team],MatchData[[#this row],[team]],MatchData[cheval available])</f>
        <v>#VALUE!</v>
      </c>
      <c r="CB104" s="16" t="e">
        <f aca="false">SUMIF(MatchData[team],MatchData[[#this row],[team]],MatchData[moat available])</f>
        <v>#VALUE!</v>
      </c>
      <c r="CC104" s="16" t="e">
        <f aca="false">SUMIF(MatchData[team],MatchData[[#this row],[team]],MatchData[ramparts available])</f>
        <v>#VALUE!</v>
      </c>
      <c r="CD104" s="16" t="e">
        <f aca="false">SUMIF(MatchData[team],MatchData[[#this row],[team]],MatchData[drawbridge available])</f>
        <v>#VALUE!</v>
      </c>
      <c r="CE104" s="16" t="e">
        <f aca="false">SUMIF(MatchData[team],MatchData[[#this row],[team]],MatchData[sally port available])</f>
        <v>#VALUE!</v>
      </c>
      <c r="CF104" s="16" t="e">
        <f aca="false">SUMIF(MatchData[team],MatchData[[#this row],[team]],MatchData[rock wall available])</f>
        <v>#VALUE!</v>
      </c>
      <c r="CG104" s="16" t="e">
        <f aca="false">SUMIF(MatchData[team],MatchData[[#this row],[team]],MatchData[rough terrain available])</f>
        <v>#VALUE!</v>
      </c>
      <c r="CH104" s="16" t="e">
        <f aca="false">SUMIF(MatchData[team],MatchData[[#this row],[team]],MatchData[low bar available])</f>
        <v>#VALUE!</v>
      </c>
      <c r="CI104" s="16" t="e">
        <f aca="false">SUMIF(MatchData[team],MatchData[[#this row],[team]],MatchData[portcullis teleop crossings]:MatchData[portcullis scored crossings])</f>
        <v>#VALUE!</v>
      </c>
      <c r="CJ104" s="16" t="e">
        <f aca="false">SUMIF(MatchData[team],MatchData[[#this row],[team]],MatchData[cheval teleop crossings])+SUMIF(MatchData[team],MatchData[[#this row],[team]],MatchData[cheval scored crossings])</f>
        <v>#VALUE!</v>
      </c>
      <c r="CK104" s="16" t="e">
        <f aca="false">SUMIF(MatchData[team],MatchData[[#this row],[team]],MatchData[moat teleop crossings])+SUMIF(MatchData[team],MatchData[[#this row],[team]],MatchData[moat scored crosings])</f>
        <v>#VALUE!</v>
      </c>
      <c r="CL104" s="16" t="e">
        <f aca="false">SUMIF(MatchData[team],MatchData[[#this row],[team]],MatchData[ramparts teleop crossings])+SUMIF(MatchData[team],MatchData[[#this row],[team]],MatchData[ramparts scored crossings])</f>
        <v>#VALUE!</v>
      </c>
      <c r="CM104" s="16" t="e">
        <f aca="false">SUMIF(MatchData[team],MatchData[[#this row],[team]],MatchData[drawbridge teleop crossings])+SUMIF(MatchData[team],MatchData[[#this row],[team]],MatchData[drawbridge scored crossings])</f>
        <v>#VALUE!</v>
      </c>
      <c r="CN104" s="16" t="e">
        <f aca="false">SUMIF(MatchData[team],MatchData[[#this row],[team]],MatchData[sally port teleop crossings])+SUMIF(MatchData[team],MatchData[[#this row],[team]],MatchData[sally port scored crossings])</f>
        <v>#VALUE!</v>
      </c>
      <c r="CO104" s="16" t="e">
        <f aca="false">SUMIF(MatchData[team],MatchData[[#this row],[team]],MatchData[rock wall teleop crossings])+SUMIF(MatchData[team],MatchData[[#this row],[team]],MatchData[rock wall scored crossings])</f>
        <v>#VALUE!</v>
      </c>
      <c r="CP104" s="16" t="e">
        <f aca="false">SUMIF(MatchData[team],MatchData[[#this row],[team]],MatchData[rough terrain teleop crossings])+SUMIF(MatchData[team],MatchData[[#this row],[team]],MatchData[rough terrain scored crossings])</f>
        <v>#VALUE!</v>
      </c>
      <c r="CQ104" s="16" t="e">
        <f aca="false">SUMIF(MatchData[team],MatchData[[#this row],[team]],MatchData[low bar teleop crossings])+SUMIF(MatchData[team],MatchData[[#this row],[team]],MatchData[low bar scored crossings])</f>
        <v>#VALUE!</v>
      </c>
      <c r="CR104" s="16" t="e">
        <f aca="false">IFERROR(ROUND(MatchData[[#this row],[portcullis sum]]/MatchData[[#this row],[portcullis avail count]],2),0)</f>
        <v>#VALUE!</v>
      </c>
      <c r="CS104" s="16" t="e">
        <f aca="false">IFERROR(ROUND(MatchData[[#this row],[cheval sum]]/MatchData[[#this row],[cheval avail count]],2),0)</f>
        <v>#VALUE!</v>
      </c>
      <c r="CT104" s="16" t="e">
        <f aca="false">IFERROR(ROUND(MatchData[[#this row],[moat sum]]/MatchData[[#this row],[moat avail count]],2),0)</f>
        <v>#VALUE!</v>
      </c>
      <c r="CU104" s="16" t="e">
        <f aca="false">IFERROR(ROUND(MatchData[[#this row],[ramparts sum]]/MatchData[[#this row],[ramparts avail count]],2),0)</f>
        <v>#VALUE!</v>
      </c>
      <c r="CV104" s="16" t="e">
        <f aca="false">IFERROR(ROUND(MatchData[[#this row],[drawbridge sum]]/MatchData[[#this row],[drawbridge avail countigh6]],2),0)</f>
        <v>#VALUE!</v>
      </c>
      <c r="CW104" s="16" t="e">
        <f aca="false">IFERROR(ROUND(MatchData[[#this row],[sally port sum]]/MatchData[[#this row],[sally port avail count]],2),0)</f>
        <v>#VALUE!</v>
      </c>
      <c r="CX104" s="5" t="e">
        <f aca="false">IFERROR(ROUND(MatchData[[#this row],[rock wall sum]]/MatchData[[#this row],[rock wall avail count]],2),0)</f>
        <v>#VALUE!</v>
      </c>
      <c r="CY104" s="5" t="e">
        <f aca="false">IFERROR(ROUND(MatchData[[#this row],[rough terrain sum]]/MatchData[[#this row],[rough terrain avail count]],2),0)</f>
        <v>#VALUE!</v>
      </c>
      <c r="CZ104" s="5" t="e">
        <f aca="false">IFERROR(ROUND(MatchData[[#this row],[low bar sum]]/MatchData[[#this row],[low bar avail count]],2),0)</f>
        <v>#VALUE!</v>
      </c>
      <c r="DA104" s="16" t="e">
        <f aca="false">SUM(MatchData[[#this row],[cheval sum]:[low bar sum]])/MatchData[match count]</f>
        <v>#VALUE!</v>
      </c>
      <c r="DB104" s="16" t="n">
        <f aca="false">MAX(IF(C$2:C$74=C104,BP$2:BP$74))</f>
        <v>-1.79769313486232E+308</v>
      </c>
      <c r="DC104" s="16" t="e">
        <f aca="false">AVERAGEIF(MatchData[team],MatchData[[#this row],[team]],MatchData[total score])</f>
        <v>#VALUE!</v>
      </c>
      <c r="DD104" s="16" t="e">
        <f aca="false">ROUND(AVERAGEIF(MatchData[team],MatchData[team],MatchData[climb or challenge flag]),2)</f>
        <v>#VALUE!</v>
      </c>
    </row>
    <row r="105" customFormat="false" ht="14.5" hidden="false" customHeight="false" outlineLevel="0" collapsed="false">
      <c r="A105" s="13" t="s">
        <v>108</v>
      </c>
      <c r="B105" s="14" t="n">
        <v>18</v>
      </c>
      <c r="C105" s="15" t="n">
        <v>1540</v>
      </c>
      <c r="D105" s="5" t="s">
        <v>109</v>
      </c>
      <c r="E105" s="5" t="s">
        <v>127</v>
      </c>
      <c r="G105" s="16" t="n">
        <v>1</v>
      </c>
      <c r="I105" s="16"/>
      <c r="J105" s="5" t="n">
        <v>1</v>
      </c>
      <c r="K105" s="16"/>
      <c r="L105" s="5" t="n">
        <v>1</v>
      </c>
      <c r="M105" s="5" t="n">
        <v>1</v>
      </c>
      <c r="N105" s="0"/>
      <c r="O105" s="5" t="n">
        <v>1</v>
      </c>
      <c r="P105" s="0"/>
      <c r="Q105" s="5" t="n">
        <v>1</v>
      </c>
      <c r="R105" s="0"/>
      <c r="S105" s="16"/>
      <c r="T105" s="0"/>
      <c r="U105" s="16"/>
      <c r="V105" s="16"/>
      <c r="W105" s="0"/>
      <c r="X105" s="0"/>
      <c r="Z105" s="5" t="n">
        <v>1</v>
      </c>
      <c r="AD105" s="16"/>
      <c r="AE105" s="5"/>
      <c r="AF105" s="16"/>
      <c r="AG105" s="16"/>
      <c r="AH105" s="16"/>
      <c r="AJ105" s="16" t="n">
        <v>2</v>
      </c>
      <c r="AL105" s="16"/>
      <c r="AN105" s="16"/>
      <c r="AP105" s="16"/>
      <c r="AR105" s="16" t="n">
        <v>1</v>
      </c>
      <c r="AT105" s="16"/>
      <c r="AU105" s="16"/>
      <c r="AV105" s="16"/>
      <c r="AW105" s="16" t="n">
        <v>1</v>
      </c>
      <c r="AX105" s="16"/>
      <c r="AY105" s="16"/>
      <c r="AZ105" s="16"/>
      <c r="BB105" s="16" t="n">
        <v>1</v>
      </c>
      <c r="BC105" s="16" t="e">
        <f aca="false">MatchData[cheval scored crossings]*5</f>
        <v>#VALUE!</v>
      </c>
      <c r="BD105" s="16" t="e">
        <f aca="false">MatchData[moat scored crosings]*5</f>
        <v>#VALUE!</v>
      </c>
      <c r="BE105" s="16" t="e">
        <f aca="false">MatchData[ramparts scored crossings]*5</f>
        <v>#VALUE!</v>
      </c>
      <c r="BF105" s="16" t="e">
        <f aca="false">MatchData[drawbridge scored crossings]*5</f>
        <v>#VALUE!</v>
      </c>
      <c r="BG105" s="16" t="e">
        <f aca="false">MatchData[sally port scored crossings]*5</f>
        <v>#VALUE!</v>
      </c>
      <c r="BH105" s="16" t="e">
        <f aca="false">MatchData[rock wall scored crossings]*5</f>
        <v>#VALUE!</v>
      </c>
      <c r="BI105" s="16" t="e">
        <f aca="false">MatchData[rough terrain scored crossings]*5</f>
        <v>#VALUE!</v>
      </c>
      <c r="BJ105" s="16" t="e">
        <f aca="false">MatchData[low bar scored crossings]*5</f>
        <v>#VALUE!</v>
      </c>
      <c r="BK105" s="16" t="e">
        <f aca="false">SUM(MatchData[[#this row],[low bar teleop crossings]:[rough terrain scored crossings]])</f>
        <v>#VALUE!</v>
      </c>
      <c r="BL105" s="16" t="e">
        <f aca="false">IFERROR(IF(OR(MatchData[[#this row],[challenge flag]],MatchData[[#this row],[climb flag]]),1,0),0)</f>
        <v>#VALUE!</v>
      </c>
      <c r="BM105" s="16" t="e">
        <f aca="false">MatchData[auto high goals]*10+MatchData[teleop high goals]*5</f>
        <v>#VALUE!</v>
      </c>
      <c r="BN105" s="16" t="e">
        <f aca="false">MatchData[auto low goals]*5+MatchData[teleop low goals]*2</f>
        <v>#VALUE!</v>
      </c>
      <c r="BO105" s="16" t="e">
        <f aca="false">MatchData[high goal score]+MatchData[low goal score]</f>
        <v>#VALUE!</v>
      </c>
      <c r="BP105" s="16" t="e">
        <f aca="false">MatchData[teleop high goals]+MatchData[teleop low goals]</f>
        <v>#VALUE!</v>
      </c>
      <c r="BQ105" s="16" t="e">
        <f aca="false">MatchData[[#this row],[auto reach flag]]*2+SUM(MatchData[[#this row],[portcullis auto crossings]:[low bar auto crossings]])*10+MatchData[[#this row],[auto low goals]]*5+MatchData[auto high goals]*10</f>
        <v>#VALUE!</v>
      </c>
      <c r="BR105" s="16" t="e">
        <f aca="false">SUM(MatchData[[#this row],[cheval teleop crossing score]:[low bar teleop crossing score]])</f>
        <v>#VALUE!</v>
      </c>
      <c r="BS105" s="16" t="e">
        <f aca="false">SUMIF(MatchData[team],MatchData[[#this row],[team]],MatchData[total auto score])/MatchData[match count]</f>
        <v>#VALUE!</v>
      </c>
      <c r="BT105" s="16" t="e">
        <f aca="false">MatchData[challenge flag]*5</f>
        <v>#VALUE!</v>
      </c>
      <c r="BU105" s="16" t="e">
        <f aca="false">MatchData[climb flag]*15</f>
        <v>#VALUE!</v>
      </c>
      <c r="BV105" s="16" t="e">
        <f aca="false">SUM(MatchData[[#this row],[total goal score]],MatchData[[#this row],[crossing score]],MatchData[[#this row],[challenge score]],MatchData[[#this row],[climb score]],MatchData[[#this row],[total auto score]])</f>
        <v>#VALUE!</v>
      </c>
      <c r="BW105" s="16" t="e">
        <f aca="false">ROUND(SUMIF(MatchData[team],MatchData[[#this row],[team]],MatchData[teleop low goals])/COUNTIF(MatchData[team],MatchData[[#this row],[team]]),2)</f>
        <v>#VALUE!</v>
      </c>
      <c r="BX105" s="16" t="e">
        <f aca="false">ROUND(SUMIF(MatchData[team],MatchData[[#this row],[team]],MatchData[teleop high goals])/COUNTIF(MatchData[team],MatchData[[#this row],[team]]),2)</f>
        <v>#VALUE!</v>
      </c>
      <c r="BY105" s="16" t="e">
        <f aca="false">COUNTIF(MatchData[team],MatchData[[#this row],[team]])</f>
        <v>#VALUE!</v>
      </c>
      <c r="BZ105" s="16" t="e">
        <f aca="false">SUMIF(MatchData[team],MatchData[[#this row],[team]],MatchData[portcullis available])</f>
        <v>#VALUE!</v>
      </c>
      <c r="CA105" s="16" t="e">
        <f aca="false">SUMIF(MatchData[team],MatchData[[#this row],[team]],MatchData[cheval available])</f>
        <v>#VALUE!</v>
      </c>
      <c r="CB105" s="16" t="e">
        <f aca="false">SUMIF(MatchData[team],MatchData[[#this row],[team]],MatchData[moat available])</f>
        <v>#VALUE!</v>
      </c>
      <c r="CC105" s="16" t="e">
        <f aca="false">SUMIF(MatchData[team],MatchData[[#this row],[team]],MatchData[ramparts available])</f>
        <v>#VALUE!</v>
      </c>
      <c r="CD105" s="16" t="e">
        <f aca="false">SUMIF(MatchData[team],MatchData[[#this row],[team]],MatchData[drawbridge available])</f>
        <v>#VALUE!</v>
      </c>
      <c r="CE105" s="16" t="e">
        <f aca="false">SUMIF(MatchData[team],MatchData[[#this row],[team]],MatchData[sally port available])</f>
        <v>#VALUE!</v>
      </c>
      <c r="CF105" s="16" t="e">
        <f aca="false">SUMIF(MatchData[team],MatchData[[#this row],[team]],MatchData[rock wall available])</f>
        <v>#VALUE!</v>
      </c>
      <c r="CG105" s="16" t="e">
        <f aca="false">SUMIF(MatchData[team],MatchData[[#this row],[team]],MatchData[rough terrain available])</f>
        <v>#VALUE!</v>
      </c>
      <c r="CH105" s="16" t="e">
        <f aca="false">SUMIF(MatchData[team],MatchData[[#this row],[team]],MatchData[low bar available])</f>
        <v>#VALUE!</v>
      </c>
      <c r="CI105" s="16" t="e">
        <f aca="false">SUMIF(MatchData[team],MatchData[[#this row],[team]],MatchData[portcullis teleop crossings]:MatchData[portcullis scored crossings])</f>
        <v>#VALUE!</v>
      </c>
      <c r="CJ105" s="16" t="e">
        <f aca="false">SUMIF(MatchData[team],MatchData[[#this row],[team]],MatchData[cheval teleop crossings])+SUMIF(MatchData[team],MatchData[[#this row],[team]],MatchData[cheval scored crossings])</f>
        <v>#VALUE!</v>
      </c>
      <c r="CK105" s="16" t="e">
        <f aca="false">SUMIF(MatchData[team],MatchData[[#this row],[team]],MatchData[moat teleop crossings])+SUMIF(MatchData[team],MatchData[[#this row],[team]],MatchData[moat scored crosings])</f>
        <v>#VALUE!</v>
      </c>
      <c r="CL105" s="16" t="e">
        <f aca="false">SUMIF(MatchData[team],MatchData[[#this row],[team]],MatchData[ramparts teleop crossings])+SUMIF(MatchData[team],MatchData[[#this row],[team]],MatchData[ramparts scored crossings])</f>
        <v>#VALUE!</v>
      </c>
      <c r="CM105" s="16" t="e">
        <f aca="false">SUMIF(MatchData[team],MatchData[[#this row],[team]],MatchData[drawbridge teleop crossings])+SUMIF(MatchData[team],MatchData[[#this row],[team]],MatchData[drawbridge scored crossings])</f>
        <v>#VALUE!</v>
      </c>
      <c r="CN105" s="16" t="e">
        <f aca="false">SUMIF(MatchData[team],MatchData[[#this row],[team]],MatchData[sally port teleop crossings])+SUMIF(MatchData[team],MatchData[[#this row],[team]],MatchData[sally port scored crossings])</f>
        <v>#VALUE!</v>
      </c>
      <c r="CO105" s="16" t="e">
        <f aca="false">SUMIF(MatchData[team],MatchData[[#this row],[team]],MatchData[rock wall teleop crossings])+SUMIF(MatchData[team],MatchData[[#this row],[team]],MatchData[rock wall scored crossings])</f>
        <v>#VALUE!</v>
      </c>
      <c r="CP105" s="16" t="e">
        <f aca="false">SUMIF(MatchData[team],MatchData[[#this row],[team]],MatchData[rough terrain teleop crossings])+SUMIF(MatchData[team],MatchData[[#this row],[team]],MatchData[rough terrain scored crossings])</f>
        <v>#VALUE!</v>
      </c>
      <c r="CQ105" s="16" t="e">
        <f aca="false">SUMIF(MatchData[team],MatchData[[#this row],[team]],MatchData[low bar teleop crossings])+SUMIF(MatchData[team],MatchData[[#this row],[team]],MatchData[low bar scored crossings])</f>
        <v>#VALUE!</v>
      </c>
      <c r="CR105" s="16" t="e">
        <f aca="false">IFERROR(ROUND(MatchData[[#this row],[portcullis sum]]/MatchData[[#this row],[portcullis avail count]],2),0)</f>
        <v>#VALUE!</v>
      </c>
      <c r="CS105" s="16" t="e">
        <f aca="false">IFERROR(ROUND(MatchData[[#this row],[cheval sum]]/MatchData[[#this row],[cheval avail count]],2),0)</f>
        <v>#VALUE!</v>
      </c>
      <c r="CT105" s="16" t="e">
        <f aca="false">IFERROR(ROUND(MatchData[[#this row],[moat sum]]/MatchData[[#this row],[moat avail count]],2),0)</f>
        <v>#VALUE!</v>
      </c>
      <c r="CU105" s="16" t="e">
        <f aca="false">IFERROR(ROUND(MatchData[[#this row],[ramparts sum]]/MatchData[[#this row],[ramparts avail count]],2),0)</f>
        <v>#VALUE!</v>
      </c>
      <c r="CV105" s="16" t="e">
        <f aca="false">IFERROR(ROUND(MatchData[[#this row],[drawbridge sum]]/MatchData[[#this row],[drawbridge avail countigh6]],2),0)</f>
        <v>#VALUE!</v>
      </c>
      <c r="CW105" s="16" t="e">
        <f aca="false">IFERROR(ROUND(MatchData[[#this row],[sally port sum]]/MatchData[[#this row],[sally port avail count]],2),0)</f>
        <v>#VALUE!</v>
      </c>
      <c r="CX105" s="5" t="e">
        <f aca="false">IFERROR(ROUND(MatchData[[#this row],[rock wall sum]]/MatchData[[#this row],[rock wall avail count]],2),0)</f>
        <v>#VALUE!</v>
      </c>
      <c r="CY105" s="5" t="e">
        <f aca="false">IFERROR(ROUND(MatchData[[#this row],[rough terrain sum]]/MatchData[[#this row],[rough terrain avail count]],2),0)</f>
        <v>#VALUE!</v>
      </c>
      <c r="CZ105" s="5" t="e">
        <f aca="false">IFERROR(ROUND(MatchData[[#this row],[low bar sum]]/MatchData[[#this row],[low bar avail count]],2),0)</f>
        <v>#VALUE!</v>
      </c>
      <c r="DA105" s="16" t="e">
        <f aca="false">SUM(MatchData[[#this row],[cheval sum]:[low bar sum]])/MatchData[match count]</f>
        <v>#VALUE!</v>
      </c>
      <c r="DB105" s="16" t="n">
        <f aca="false">MAX(IF(C$2:C$74=C105,BP$2:BP$74))</f>
        <v>-1.79769313486232E+308</v>
      </c>
      <c r="DC105" s="16" t="e">
        <f aca="false">AVERAGEIF(MatchData[team],MatchData[[#this row],[team]],MatchData[total score])</f>
        <v>#VALUE!</v>
      </c>
      <c r="DD105" s="16" t="e">
        <f aca="false">ROUND(AVERAGEIF(MatchData[team],MatchData[team],MatchData[climb or challenge flag]),2)</f>
        <v>#VALUE!</v>
      </c>
    </row>
    <row r="106" customFormat="false" ht="14.5" hidden="false" customHeight="false" outlineLevel="0" collapsed="false">
      <c r="A106" s="13" t="s">
        <v>108</v>
      </c>
      <c r="B106" s="14" t="n">
        <v>18</v>
      </c>
      <c r="C106" s="15" t="n">
        <v>2990</v>
      </c>
      <c r="D106" s="5" t="s">
        <v>109</v>
      </c>
      <c r="E106" s="5" t="s">
        <v>146</v>
      </c>
      <c r="G106" s="16"/>
      <c r="I106" s="16"/>
      <c r="J106" s="5" t="n">
        <v>1</v>
      </c>
      <c r="K106" s="16"/>
      <c r="L106" s="5" t="n">
        <v>1</v>
      </c>
      <c r="M106" s="5" t="n">
        <v>1</v>
      </c>
      <c r="N106" s="0"/>
      <c r="O106" s="5" t="n">
        <v>1</v>
      </c>
      <c r="P106" s="0"/>
      <c r="Q106" s="5" t="n">
        <v>1</v>
      </c>
      <c r="R106" s="0"/>
      <c r="S106" s="16"/>
      <c r="T106" s="0"/>
      <c r="U106" s="16"/>
      <c r="V106" s="16"/>
      <c r="W106" s="0"/>
      <c r="X106" s="0"/>
      <c r="AD106" s="16"/>
      <c r="AE106" s="5"/>
      <c r="AF106" s="16"/>
      <c r="AG106" s="16"/>
      <c r="AH106" s="16"/>
      <c r="AJ106" s="16"/>
      <c r="AL106" s="16"/>
      <c r="AN106" s="16"/>
      <c r="AP106" s="16"/>
      <c r="AR106" s="16"/>
      <c r="AT106" s="16"/>
      <c r="AU106" s="16"/>
      <c r="AV106" s="16"/>
      <c r="AW106" s="16"/>
      <c r="AX106" s="16"/>
      <c r="AY106" s="16"/>
      <c r="AZ106" s="16" t="n">
        <v>1</v>
      </c>
      <c r="BB106" s="16" t="n">
        <v>1</v>
      </c>
      <c r="BC106" s="16" t="e">
        <f aca="false">MatchData[cheval scored crossings]*5</f>
        <v>#VALUE!</v>
      </c>
      <c r="BD106" s="16" t="e">
        <f aca="false">MatchData[moat scored crosings]*5</f>
        <v>#VALUE!</v>
      </c>
      <c r="BE106" s="16" t="e">
        <f aca="false">MatchData[ramparts scored crossings]*5</f>
        <v>#VALUE!</v>
      </c>
      <c r="BF106" s="16" t="e">
        <f aca="false">MatchData[drawbridge scored crossings]*5</f>
        <v>#VALUE!</v>
      </c>
      <c r="BG106" s="16" t="e">
        <f aca="false">MatchData[sally port scored crossings]*5</f>
        <v>#VALUE!</v>
      </c>
      <c r="BH106" s="16" t="e">
        <f aca="false">MatchData[rock wall scored crossings]*5</f>
        <v>#VALUE!</v>
      </c>
      <c r="BI106" s="16" t="e">
        <f aca="false">MatchData[rough terrain scored crossings]*5</f>
        <v>#VALUE!</v>
      </c>
      <c r="BJ106" s="16" t="e">
        <f aca="false">MatchData[low bar scored crossings]*5</f>
        <v>#VALUE!</v>
      </c>
      <c r="BK106" s="16" t="e">
        <f aca="false">SUM(MatchData[[#this row],[low bar teleop crossings]:[rough terrain scored crossings]])</f>
        <v>#VALUE!</v>
      </c>
      <c r="BL106" s="16" t="e">
        <f aca="false">IFERROR(IF(OR(MatchData[[#this row],[challenge flag]],MatchData[[#this row],[climb flag]]),1,0),0)</f>
        <v>#VALUE!</v>
      </c>
      <c r="BM106" s="16" t="e">
        <f aca="false">MatchData[auto high goals]*10+MatchData[teleop high goals]*5</f>
        <v>#VALUE!</v>
      </c>
      <c r="BN106" s="16" t="e">
        <f aca="false">MatchData[auto low goals]*5+MatchData[teleop low goals]*2</f>
        <v>#VALUE!</v>
      </c>
      <c r="BO106" s="16" t="e">
        <f aca="false">MatchData[high goal score]+MatchData[low goal score]</f>
        <v>#VALUE!</v>
      </c>
      <c r="BP106" s="16" t="e">
        <f aca="false">MatchData[teleop high goals]+MatchData[teleop low goals]</f>
        <v>#VALUE!</v>
      </c>
      <c r="BQ106" s="16" t="e">
        <f aca="false">MatchData[[#this row],[auto reach flag]]*2+SUM(MatchData[[#this row],[portcullis auto crossings]:[low bar auto crossings]])*10+MatchData[[#this row],[auto low goals]]*5+MatchData[auto high goals]*10</f>
        <v>#VALUE!</v>
      </c>
      <c r="BR106" s="16" t="e">
        <f aca="false">SUM(MatchData[[#this row],[cheval teleop crossing score]:[low bar teleop crossing score]])</f>
        <v>#VALUE!</v>
      </c>
      <c r="BS106" s="16" t="e">
        <f aca="false">SUMIF(MatchData[team],MatchData[[#this row],[team]],MatchData[total auto score])/MatchData[match count]</f>
        <v>#VALUE!</v>
      </c>
      <c r="BT106" s="16" t="e">
        <f aca="false">MatchData[challenge flag]*5</f>
        <v>#VALUE!</v>
      </c>
      <c r="BU106" s="16" t="e">
        <f aca="false">MatchData[climb flag]*15</f>
        <v>#VALUE!</v>
      </c>
      <c r="BV106" s="16" t="e">
        <f aca="false">SUM(MatchData[[#this row],[total goal score]],MatchData[[#this row],[crossing score]],MatchData[[#this row],[challenge score]],MatchData[[#this row],[climb score]],MatchData[[#this row],[total auto score]])</f>
        <v>#VALUE!</v>
      </c>
      <c r="BW106" s="16" t="e">
        <f aca="false">ROUND(SUMIF(MatchData[team],MatchData[[#this row],[team]],MatchData[teleop low goals])/COUNTIF(MatchData[team],MatchData[[#this row],[team]]),2)</f>
        <v>#VALUE!</v>
      </c>
      <c r="BX106" s="16" t="e">
        <f aca="false">ROUND(SUMIF(MatchData[team],MatchData[[#this row],[team]],MatchData[teleop high goals])/COUNTIF(MatchData[team],MatchData[[#this row],[team]]),2)</f>
        <v>#VALUE!</v>
      </c>
      <c r="BY106" s="16" t="e">
        <f aca="false">COUNTIF(MatchData[team],MatchData[[#this row],[team]])</f>
        <v>#VALUE!</v>
      </c>
      <c r="BZ106" s="16" t="e">
        <f aca="false">SUMIF(MatchData[team],MatchData[[#this row],[team]],MatchData[portcullis available])</f>
        <v>#VALUE!</v>
      </c>
      <c r="CA106" s="16" t="e">
        <f aca="false">SUMIF(MatchData[team],MatchData[[#this row],[team]],MatchData[cheval available])</f>
        <v>#VALUE!</v>
      </c>
      <c r="CB106" s="16" t="e">
        <f aca="false">SUMIF(MatchData[team],MatchData[[#this row],[team]],MatchData[moat available])</f>
        <v>#VALUE!</v>
      </c>
      <c r="CC106" s="16" t="e">
        <f aca="false">SUMIF(MatchData[team],MatchData[[#this row],[team]],MatchData[ramparts available])</f>
        <v>#VALUE!</v>
      </c>
      <c r="CD106" s="16" t="e">
        <f aca="false">SUMIF(MatchData[team],MatchData[[#this row],[team]],MatchData[drawbridge available])</f>
        <v>#VALUE!</v>
      </c>
      <c r="CE106" s="16" t="e">
        <f aca="false">SUMIF(MatchData[team],MatchData[[#this row],[team]],MatchData[sally port available])</f>
        <v>#VALUE!</v>
      </c>
      <c r="CF106" s="16" t="e">
        <f aca="false">SUMIF(MatchData[team],MatchData[[#this row],[team]],MatchData[rock wall available])</f>
        <v>#VALUE!</v>
      </c>
      <c r="CG106" s="16" t="e">
        <f aca="false">SUMIF(MatchData[team],MatchData[[#this row],[team]],MatchData[rough terrain available])</f>
        <v>#VALUE!</v>
      </c>
      <c r="CH106" s="16" t="e">
        <f aca="false">SUMIF(MatchData[team],MatchData[[#this row],[team]],MatchData[low bar available])</f>
        <v>#VALUE!</v>
      </c>
      <c r="CI106" s="16" t="e">
        <f aca="false">SUMIF(MatchData[team],MatchData[[#this row],[team]],MatchData[portcullis teleop crossings]:MatchData[portcullis scored crossings])</f>
        <v>#VALUE!</v>
      </c>
      <c r="CJ106" s="16" t="e">
        <f aca="false">SUMIF(MatchData[team],MatchData[[#this row],[team]],MatchData[cheval teleop crossings])+SUMIF(MatchData[team],MatchData[[#this row],[team]],MatchData[cheval scored crossings])</f>
        <v>#VALUE!</v>
      </c>
      <c r="CK106" s="16" t="e">
        <f aca="false">SUMIF(MatchData[team],MatchData[[#this row],[team]],MatchData[moat teleop crossings])+SUMIF(MatchData[team],MatchData[[#this row],[team]],MatchData[moat scored crosings])</f>
        <v>#VALUE!</v>
      </c>
      <c r="CL106" s="16" t="e">
        <f aca="false">SUMIF(MatchData[team],MatchData[[#this row],[team]],MatchData[ramparts teleop crossings])+SUMIF(MatchData[team],MatchData[[#this row],[team]],MatchData[ramparts scored crossings])</f>
        <v>#VALUE!</v>
      </c>
      <c r="CM106" s="16" t="e">
        <f aca="false">SUMIF(MatchData[team],MatchData[[#this row],[team]],MatchData[drawbridge teleop crossings])+SUMIF(MatchData[team],MatchData[[#this row],[team]],MatchData[drawbridge scored crossings])</f>
        <v>#VALUE!</v>
      </c>
      <c r="CN106" s="16" t="e">
        <f aca="false">SUMIF(MatchData[team],MatchData[[#this row],[team]],MatchData[sally port teleop crossings])+SUMIF(MatchData[team],MatchData[[#this row],[team]],MatchData[sally port scored crossings])</f>
        <v>#VALUE!</v>
      </c>
      <c r="CO106" s="16" t="e">
        <f aca="false">SUMIF(MatchData[team],MatchData[[#this row],[team]],MatchData[rock wall teleop crossings])+SUMIF(MatchData[team],MatchData[[#this row],[team]],MatchData[rock wall scored crossings])</f>
        <v>#VALUE!</v>
      </c>
      <c r="CP106" s="16" t="e">
        <f aca="false">SUMIF(MatchData[team],MatchData[[#this row],[team]],MatchData[rough terrain teleop crossings])+SUMIF(MatchData[team],MatchData[[#this row],[team]],MatchData[rough terrain scored crossings])</f>
        <v>#VALUE!</v>
      </c>
      <c r="CQ106" s="16" t="e">
        <f aca="false">SUMIF(MatchData[team],MatchData[[#this row],[team]],MatchData[low bar teleop crossings])+SUMIF(MatchData[team],MatchData[[#this row],[team]],MatchData[low bar scored crossings])</f>
        <v>#VALUE!</v>
      </c>
      <c r="CR106" s="16" t="e">
        <f aca="false">IFERROR(ROUND(MatchData[[#this row],[portcullis sum]]/MatchData[[#this row],[portcullis avail count]],2),0)</f>
        <v>#VALUE!</v>
      </c>
      <c r="CS106" s="16" t="e">
        <f aca="false">IFERROR(ROUND(MatchData[[#this row],[cheval sum]]/MatchData[[#this row],[cheval avail count]],2),0)</f>
        <v>#VALUE!</v>
      </c>
      <c r="CT106" s="16" t="e">
        <f aca="false">IFERROR(ROUND(MatchData[[#this row],[moat sum]]/MatchData[[#this row],[moat avail count]],2),0)</f>
        <v>#VALUE!</v>
      </c>
      <c r="CU106" s="16" t="e">
        <f aca="false">IFERROR(ROUND(MatchData[[#this row],[ramparts sum]]/MatchData[[#this row],[ramparts avail count]],2),0)</f>
        <v>#VALUE!</v>
      </c>
      <c r="CV106" s="16" t="e">
        <f aca="false">IFERROR(ROUND(MatchData[[#this row],[drawbridge sum]]/MatchData[[#this row],[drawbridge avail countigh6]],2),0)</f>
        <v>#VALUE!</v>
      </c>
      <c r="CW106" s="16" t="e">
        <f aca="false">IFERROR(ROUND(MatchData[[#this row],[sally port sum]]/MatchData[[#this row],[sally port avail count]],2),0)</f>
        <v>#VALUE!</v>
      </c>
      <c r="CX106" s="5" t="e">
        <f aca="false">IFERROR(ROUND(MatchData[[#this row],[rock wall sum]]/MatchData[[#this row],[rock wall avail count]],2),0)</f>
        <v>#VALUE!</v>
      </c>
      <c r="CY106" s="5" t="e">
        <f aca="false">IFERROR(ROUND(MatchData[[#this row],[rough terrain sum]]/MatchData[[#this row],[rough terrain avail count]],2),0)</f>
        <v>#VALUE!</v>
      </c>
      <c r="CZ106" s="5" t="e">
        <f aca="false">IFERROR(ROUND(MatchData[[#this row],[low bar sum]]/MatchData[[#this row],[low bar avail count]],2),0)</f>
        <v>#VALUE!</v>
      </c>
      <c r="DA106" s="16" t="e">
        <f aca="false">SUM(MatchData[[#this row],[cheval sum]:[low bar sum]])/MatchData[match count]</f>
        <v>#VALUE!</v>
      </c>
      <c r="DB106" s="16" t="n">
        <f aca="false">MAX(IF(C$2:C$74=C106,BP$2:BP$74))</f>
        <v>-1.79769313486232E+308</v>
      </c>
      <c r="DC106" s="16" t="e">
        <f aca="false">AVERAGEIF(MatchData[team],MatchData[[#this row],[team]],MatchData[total score])</f>
        <v>#VALUE!</v>
      </c>
      <c r="DD106" s="16" t="e">
        <f aca="false">ROUND(AVERAGEIF(MatchData[team],MatchData[team],MatchData[climb or challenge flag]),2)</f>
        <v>#VALUE!</v>
      </c>
    </row>
    <row r="107" customFormat="false" ht="14.5" hidden="false" customHeight="false" outlineLevel="0" collapsed="false">
      <c r="A107" s="13" t="s">
        <v>108</v>
      </c>
      <c r="B107" s="14" t="n">
        <v>18</v>
      </c>
      <c r="C107" s="15" t="n">
        <v>2915</v>
      </c>
      <c r="D107" s="5" t="s">
        <v>113</v>
      </c>
      <c r="E107" s="5" t="s">
        <v>125</v>
      </c>
      <c r="G107" s="16"/>
      <c r="I107" s="16"/>
      <c r="J107" s="5" t="n">
        <v>1</v>
      </c>
      <c r="K107" s="16" t="n">
        <v>1</v>
      </c>
      <c r="M107" s="5" t="n">
        <v>1</v>
      </c>
      <c r="N107" s="0"/>
      <c r="O107" s="5" t="n">
        <v>1</v>
      </c>
      <c r="P107" s="0"/>
      <c r="Q107" s="5" t="n">
        <v>1</v>
      </c>
      <c r="R107" s="0"/>
      <c r="S107" s="16"/>
      <c r="T107" s="0"/>
      <c r="U107" s="16"/>
      <c r="V107" s="16"/>
      <c r="W107" s="0"/>
      <c r="X107" s="0"/>
      <c r="AD107" s="16"/>
      <c r="AE107" s="5"/>
      <c r="AF107" s="16"/>
      <c r="AG107" s="16"/>
      <c r="AH107" s="16"/>
      <c r="AJ107" s="16"/>
      <c r="AL107" s="16"/>
      <c r="AN107" s="16"/>
      <c r="AP107" s="16"/>
      <c r="AR107" s="16"/>
      <c r="AT107" s="16"/>
      <c r="AU107" s="16"/>
      <c r="AV107" s="16"/>
      <c r="AW107" s="16"/>
      <c r="AX107" s="16"/>
      <c r="AY107" s="16"/>
      <c r="AZ107" s="16" t="n">
        <v>1</v>
      </c>
      <c r="BB107" s="16"/>
      <c r="BC107" s="16" t="e">
        <f aca="false">MatchData[cheval scored crossings]*5</f>
        <v>#VALUE!</v>
      </c>
      <c r="BD107" s="16" t="e">
        <f aca="false">MatchData[moat scored crosings]*5</f>
        <v>#VALUE!</v>
      </c>
      <c r="BE107" s="16" t="e">
        <f aca="false">MatchData[ramparts scored crossings]*5</f>
        <v>#VALUE!</v>
      </c>
      <c r="BF107" s="16" t="e">
        <f aca="false">MatchData[drawbridge scored crossings]*5</f>
        <v>#VALUE!</v>
      </c>
      <c r="BG107" s="16" t="e">
        <f aca="false">MatchData[sally port scored crossings]*5</f>
        <v>#VALUE!</v>
      </c>
      <c r="BH107" s="16" t="e">
        <f aca="false">MatchData[rock wall scored crossings]*5</f>
        <v>#VALUE!</v>
      </c>
      <c r="BI107" s="16" t="e">
        <f aca="false">MatchData[rough terrain scored crossings]*5</f>
        <v>#VALUE!</v>
      </c>
      <c r="BJ107" s="16" t="e">
        <f aca="false">MatchData[low bar scored crossings]*5</f>
        <v>#VALUE!</v>
      </c>
      <c r="BK107" s="16" t="e">
        <f aca="false">SUM(MatchData[[#this row],[low bar teleop crossings]:[rough terrain scored crossings]])</f>
        <v>#VALUE!</v>
      </c>
      <c r="BL107" s="16" t="e">
        <f aca="false">IFERROR(IF(OR(MatchData[[#this row],[challenge flag]],MatchData[[#this row],[climb flag]]),1,0),0)</f>
        <v>#VALUE!</v>
      </c>
      <c r="BM107" s="16" t="e">
        <f aca="false">MatchData[auto high goals]*10+MatchData[teleop high goals]*5</f>
        <v>#VALUE!</v>
      </c>
      <c r="BN107" s="16" t="e">
        <f aca="false">MatchData[auto low goals]*5+MatchData[teleop low goals]*2</f>
        <v>#VALUE!</v>
      </c>
      <c r="BO107" s="16" t="e">
        <f aca="false">MatchData[high goal score]+MatchData[low goal score]</f>
        <v>#VALUE!</v>
      </c>
      <c r="BP107" s="16" t="e">
        <f aca="false">MatchData[teleop high goals]+MatchData[teleop low goals]</f>
        <v>#VALUE!</v>
      </c>
      <c r="BQ107" s="16" t="e">
        <f aca="false">MatchData[[#this row],[auto reach flag]]*2+SUM(MatchData[[#this row],[portcullis auto crossings]:[low bar auto crossings]])*10+MatchData[[#this row],[auto low goals]]*5+MatchData[auto high goals]*10</f>
        <v>#VALUE!</v>
      </c>
      <c r="BR107" s="16" t="e">
        <f aca="false">SUM(MatchData[[#this row],[cheval teleop crossing score]:[low bar teleop crossing score]])</f>
        <v>#VALUE!</v>
      </c>
      <c r="BS107" s="16" t="e">
        <f aca="false">SUMIF(MatchData[team],MatchData[[#this row],[team]],MatchData[total auto score])/MatchData[match count]</f>
        <v>#VALUE!</v>
      </c>
      <c r="BT107" s="16" t="e">
        <f aca="false">MatchData[challenge flag]*5</f>
        <v>#VALUE!</v>
      </c>
      <c r="BU107" s="16" t="e">
        <f aca="false">MatchData[climb flag]*15</f>
        <v>#VALUE!</v>
      </c>
      <c r="BV107" s="16" t="e">
        <f aca="false">SUM(MatchData[[#this row],[total goal score]],MatchData[[#this row],[crossing score]],MatchData[[#this row],[challenge score]],MatchData[[#this row],[climb score]],MatchData[[#this row],[total auto score]])</f>
        <v>#VALUE!</v>
      </c>
      <c r="BW107" s="16" t="e">
        <f aca="false">ROUND(SUMIF(MatchData[team],MatchData[[#this row],[team]],MatchData[teleop low goals])/COUNTIF(MatchData[team],MatchData[[#this row],[team]]),2)</f>
        <v>#VALUE!</v>
      </c>
      <c r="BX107" s="16" t="e">
        <f aca="false">ROUND(SUMIF(MatchData[team],MatchData[[#this row],[team]],MatchData[teleop high goals])/COUNTIF(MatchData[team],MatchData[[#this row],[team]]),2)</f>
        <v>#VALUE!</v>
      </c>
      <c r="BY107" s="16" t="e">
        <f aca="false">COUNTIF(MatchData[team],MatchData[[#this row],[team]])</f>
        <v>#VALUE!</v>
      </c>
      <c r="BZ107" s="16" t="e">
        <f aca="false">SUMIF(MatchData[team],MatchData[[#this row],[team]],MatchData[portcullis available])</f>
        <v>#VALUE!</v>
      </c>
      <c r="CA107" s="16" t="e">
        <f aca="false">SUMIF(MatchData[team],MatchData[[#this row],[team]],MatchData[cheval available])</f>
        <v>#VALUE!</v>
      </c>
      <c r="CB107" s="16" t="e">
        <f aca="false">SUMIF(MatchData[team],MatchData[[#this row],[team]],MatchData[moat available])</f>
        <v>#VALUE!</v>
      </c>
      <c r="CC107" s="16" t="e">
        <f aca="false">SUMIF(MatchData[team],MatchData[[#this row],[team]],MatchData[ramparts available])</f>
        <v>#VALUE!</v>
      </c>
      <c r="CD107" s="16" t="e">
        <f aca="false">SUMIF(MatchData[team],MatchData[[#this row],[team]],MatchData[drawbridge available])</f>
        <v>#VALUE!</v>
      </c>
      <c r="CE107" s="16" t="e">
        <f aca="false">SUMIF(MatchData[team],MatchData[[#this row],[team]],MatchData[sally port available])</f>
        <v>#VALUE!</v>
      </c>
      <c r="CF107" s="16" t="e">
        <f aca="false">SUMIF(MatchData[team],MatchData[[#this row],[team]],MatchData[rock wall available])</f>
        <v>#VALUE!</v>
      </c>
      <c r="CG107" s="16" t="e">
        <f aca="false">SUMIF(MatchData[team],MatchData[[#this row],[team]],MatchData[rough terrain available])</f>
        <v>#VALUE!</v>
      </c>
      <c r="CH107" s="16" t="e">
        <f aca="false">SUMIF(MatchData[team],MatchData[[#this row],[team]],MatchData[low bar available])</f>
        <v>#VALUE!</v>
      </c>
      <c r="CI107" s="16" t="e">
        <f aca="false">SUMIF(MatchData[team],MatchData[[#this row],[team]],MatchData[portcullis teleop crossings]:MatchData[portcullis scored crossings])</f>
        <v>#VALUE!</v>
      </c>
      <c r="CJ107" s="16" t="e">
        <f aca="false">SUMIF(MatchData[team],MatchData[[#this row],[team]],MatchData[cheval teleop crossings])+SUMIF(MatchData[team],MatchData[[#this row],[team]],MatchData[cheval scored crossings])</f>
        <v>#VALUE!</v>
      </c>
      <c r="CK107" s="16" t="e">
        <f aca="false">SUMIF(MatchData[team],MatchData[[#this row],[team]],MatchData[moat teleop crossings])+SUMIF(MatchData[team],MatchData[[#this row],[team]],MatchData[moat scored crosings])</f>
        <v>#VALUE!</v>
      </c>
      <c r="CL107" s="16" t="e">
        <f aca="false">SUMIF(MatchData[team],MatchData[[#this row],[team]],MatchData[ramparts teleop crossings])+SUMIF(MatchData[team],MatchData[[#this row],[team]],MatchData[ramparts scored crossings])</f>
        <v>#VALUE!</v>
      </c>
      <c r="CM107" s="16" t="e">
        <f aca="false">SUMIF(MatchData[team],MatchData[[#this row],[team]],MatchData[drawbridge teleop crossings])+SUMIF(MatchData[team],MatchData[[#this row],[team]],MatchData[drawbridge scored crossings])</f>
        <v>#VALUE!</v>
      </c>
      <c r="CN107" s="16" t="e">
        <f aca="false">SUMIF(MatchData[team],MatchData[[#this row],[team]],MatchData[sally port teleop crossings])+SUMIF(MatchData[team],MatchData[[#this row],[team]],MatchData[sally port scored crossings])</f>
        <v>#VALUE!</v>
      </c>
      <c r="CO107" s="16" t="e">
        <f aca="false">SUMIF(MatchData[team],MatchData[[#this row],[team]],MatchData[rock wall teleop crossings])+SUMIF(MatchData[team],MatchData[[#this row],[team]],MatchData[rock wall scored crossings])</f>
        <v>#VALUE!</v>
      </c>
      <c r="CP107" s="16" t="e">
        <f aca="false">SUMIF(MatchData[team],MatchData[[#this row],[team]],MatchData[rough terrain teleop crossings])+SUMIF(MatchData[team],MatchData[[#this row],[team]],MatchData[rough terrain scored crossings])</f>
        <v>#VALUE!</v>
      </c>
      <c r="CQ107" s="16" t="e">
        <f aca="false">SUMIF(MatchData[team],MatchData[[#this row],[team]],MatchData[low bar teleop crossings])+SUMIF(MatchData[team],MatchData[[#this row],[team]],MatchData[low bar scored crossings])</f>
        <v>#VALUE!</v>
      </c>
      <c r="CR107" s="16" t="e">
        <f aca="false">IFERROR(ROUND(MatchData[[#this row],[portcullis sum]]/MatchData[[#this row],[portcullis avail count]],2),0)</f>
        <v>#VALUE!</v>
      </c>
      <c r="CS107" s="16" t="e">
        <f aca="false">IFERROR(ROUND(MatchData[[#this row],[cheval sum]]/MatchData[[#this row],[cheval avail count]],2),0)</f>
        <v>#VALUE!</v>
      </c>
      <c r="CT107" s="16" t="e">
        <f aca="false">IFERROR(ROUND(MatchData[[#this row],[moat sum]]/MatchData[[#this row],[moat avail count]],2),0)</f>
        <v>#VALUE!</v>
      </c>
      <c r="CU107" s="16" t="e">
        <f aca="false">IFERROR(ROUND(MatchData[[#this row],[ramparts sum]]/MatchData[[#this row],[ramparts avail count]],2),0)</f>
        <v>#VALUE!</v>
      </c>
      <c r="CV107" s="16" t="e">
        <f aca="false">IFERROR(ROUND(MatchData[[#this row],[drawbridge sum]]/MatchData[[#this row],[drawbridge avail countigh6]],2),0)</f>
        <v>#VALUE!</v>
      </c>
      <c r="CW107" s="16" t="e">
        <f aca="false">IFERROR(ROUND(MatchData[[#this row],[sally port sum]]/MatchData[[#this row],[sally port avail count]],2),0)</f>
        <v>#VALUE!</v>
      </c>
      <c r="CX107" s="5" t="e">
        <f aca="false">IFERROR(ROUND(MatchData[[#this row],[rock wall sum]]/MatchData[[#this row],[rock wall avail count]],2),0)</f>
        <v>#VALUE!</v>
      </c>
      <c r="CY107" s="5" t="e">
        <f aca="false">IFERROR(ROUND(MatchData[[#this row],[rough terrain sum]]/MatchData[[#this row],[rough terrain avail count]],2),0)</f>
        <v>#VALUE!</v>
      </c>
      <c r="CZ107" s="5" t="e">
        <f aca="false">IFERROR(ROUND(MatchData[[#this row],[low bar sum]]/MatchData[[#this row],[low bar avail count]],2),0)</f>
        <v>#VALUE!</v>
      </c>
      <c r="DA107" s="16" t="e">
        <f aca="false">SUM(MatchData[[#this row],[cheval sum]:[low bar sum]])/MatchData[match count]</f>
        <v>#VALUE!</v>
      </c>
      <c r="DB107" s="16" t="n">
        <f aca="false">MAX(IF(C$2:C$74=C107,BP$2:BP$74))</f>
        <v>-1.79769313486232E+308</v>
      </c>
      <c r="DC107" s="16" t="e">
        <f aca="false">AVERAGEIF(MatchData[team],MatchData[[#this row],[team]],MatchData[total score])</f>
        <v>#VALUE!</v>
      </c>
      <c r="DD107" s="16" t="e">
        <f aca="false">ROUND(AVERAGEIF(MatchData[team],MatchData[team],MatchData[climb or challenge flag]),2)</f>
        <v>#VALUE!</v>
      </c>
    </row>
    <row r="108" customFormat="false" ht="14.5" hidden="false" customHeight="false" outlineLevel="0" collapsed="false">
      <c r="A108" s="17" t="s">
        <v>108</v>
      </c>
      <c r="B108" s="18" t="n">
        <v>18</v>
      </c>
      <c r="C108" s="15" t="n">
        <v>4127</v>
      </c>
      <c r="D108" s="5" t="s">
        <v>113</v>
      </c>
      <c r="E108" s="5" t="s">
        <v>135</v>
      </c>
      <c r="G108" s="16"/>
      <c r="I108" s="16"/>
      <c r="J108" s="5" t="n">
        <v>1</v>
      </c>
      <c r="K108" s="16" t="n">
        <v>1</v>
      </c>
      <c r="M108" s="5" t="n">
        <v>1</v>
      </c>
      <c r="N108" s="0"/>
      <c r="O108" s="5" t="n">
        <v>1</v>
      </c>
      <c r="P108" s="0"/>
      <c r="Q108" s="5" t="n">
        <v>1</v>
      </c>
      <c r="R108" s="0"/>
      <c r="S108" s="16"/>
      <c r="T108" s="0"/>
      <c r="U108" s="16"/>
      <c r="V108" s="16"/>
      <c r="W108" s="0"/>
      <c r="X108" s="0"/>
      <c r="AD108" s="16"/>
      <c r="AE108" s="5"/>
      <c r="AF108" s="16"/>
      <c r="AG108" s="16"/>
      <c r="AH108" s="16"/>
      <c r="AJ108" s="16"/>
      <c r="AL108" s="16"/>
      <c r="AN108" s="16"/>
      <c r="AP108" s="16"/>
      <c r="AR108" s="16"/>
      <c r="AT108" s="16"/>
      <c r="AU108" s="16"/>
      <c r="AV108" s="16"/>
      <c r="AW108" s="16"/>
      <c r="AX108" s="16"/>
      <c r="AY108" s="16"/>
      <c r="AZ108" s="16" t="n">
        <v>1</v>
      </c>
      <c r="BB108" s="16"/>
      <c r="BC108" s="16" t="e">
        <f aca="false">MatchData[cheval scored crossings]*5</f>
        <v>#VALUE!</v>
      </c>
      <c r="BD108" s="16" t="e">
        <f aca="false">MatchData[moat scored crosings]*5</f>
        <v>#VALUE!</v>
      </c>
      <c r="BE108" s="16" t="e">
        <f aca="false">MatchData[ramparts scored crossings]*5</f>
        <v>#VALUE!</v>
      </c>
      <c r="BF108" s="16" t="e">
        <f aca="false">MatchData[drawbridge scored crossings]*5</f>
        <v>#VALUE!</v>
      </c>
      <c r="BG108" s="16" t="e">
        <f aca="false">MatchData[sally port scored crossings]*5</f>
        <v>#VALUE!</v>
      </c>
      <c r="BH108" s="16" t="e">
        <f aca="false">MatchData[rock wall scored crossings]*5</f>
        <v>#VALUE!</v>
      </c>
      <c r="BI108" s="16" t="e">
        <f aca="false">MatchData[rough terrain scored crossings]*5</f>
        <v>#VALUE!</v>
      </c>
      <c r="BJ108" s="16" t="e">
        <f aca="false">MatchData[low bar scored crossings]*5</f>
        <v>#VALUE!</v>
      </c>
      <c r="BK108" s="16" t="e">
        <f aca="false">SUM(MatchData[[#this row],[low bar teleop crossings]:[rough terrain scored crossings]])</f>
        <v>#VALUE!</v>
      </c>
      <c r="BL108" s="16" t="e">
        <f aca="false">IFERROR(IF(OR(MatchData[[#this row],[challenge flag]],MatchData[[#this row],[climb flag]]),1,0),0)</f>
        <v>#VALUE!</v>
      </c>
      <c r="BM108" s="16" t="e">
        <f aca="false">MatchData[auto high goals]*10+MatchData[teleop high goals]*5</f>
        <v>#VALUE!</v>
      </c>
      <c r="BN108" s="16" t="e">
        <f aca="false">MatchData[auto low goals]*5+MatchData[teleop low goals]*2</f>
        <v>#VALUE!</v>
      </c>
      <c r="BO108" s="16" t="e">
        <f aca="false">MatchData[high goal score]+MatchData[low goal score]</f>
        <v>#VALUE!</v>
      </c>
      <c r="BP108" s="16" t="e">
        <f aca="false">MatchData[teleop high goals]+MatchData[teleop low goals]</f>
        <v>#VALUE!</v>
      </c>
      <c r="BQ108" s="16" t="e">
        <f aca="false">MatchData[[#this row],[auto reach flag]]*2+SUM(MatchData[[#this row],[portcullis auto crossings]:[low bar auto crossings]])*10+MatchData[[#this row],[auto low goals]]*5+MatchData[auto high goals]*10</f>
        <v>#VALUE!</v>
      </c>
      <c r="BR108" s="16" t="e">
        <f aca="false">SUM(MatchData[[#this row],[cheval teleop crossing score]:[low bar teleop crossing score]])</f>
        <v>#VALUE!</v>
      </c>
      <c r="BS108" s="16" t="e">
        <f aca="false">SUMIF(MatchData[team],MatchData[[#this row],[team]],MatchData[total auto score])/MatchData[match count]</f>
        <v>#VALUE!</v>
      </c>
      <c r="BT108" s="16" t="e">
        <f aca="false">MatchData[challenge flag]*5</f>
        <v>#VALUE!</v>
      </c>
      <c r="BU108" s="16" t="e">
        <f aca="false">MatchData[climb flag]*15</f>
        <v>#VALUE!</v>
      </c>
      <c r="BV108" s="16" t="e">
        <f aca="false">SUM(MatchData[[#this row],[total goal score]],MatchData[[#this row],[crossing score]],MatchData[[#this row],[challenge score]],MatchData[[#this row],[climb score]],MatchData[[#this row],[total auto score]])</f>
        <v>#VALUE!</v>
      </c>
      <c r="BW108" s="16" t="e">
        <f aca="false">ROUND(SUMIF(MatchData[team],MatchData[[#this row],[team]],MatchData[teleop low goals])/COUNTIF(MatchData[team],MatchData[[#this row],[team]]),2)</f>
        <v>#VALUE!</v>
      </c>
      <c r="BX108" s="16" t="e">
        <f aca="false">ROUND(SUMIF(MatchData[team],MatchData[[#this row],[team]],MatchData[teleop high goals])/COUNTIF(MatchData[team],MatchData[[#this row],[team]]),2)</f>
        <v>#VALUE!</v>
      </c>
      <c r="BY108" s="16" t="e">
        <f aca="false">COUNTIF(MatchData[team],MatchData[[#this row],[team]])</f>
        <v>#VALUE!</v>
      </c>
      <c r="BZ108" s="16" t="e">
        <f aca="false">SUMIF(MatchData[team],MatchData[[#this row],[team]],MatchData[portcullis available])</f>
        <v>#VALUE!</v>
      </c>
      <c r="CA108" s="16" t="e">
        <f aca="false">SUMIF(MatchData[team],MatchData[[#this row],[team]],MatchData[cheval available])</f>
        <v>#VALUE!</v>
      </c>
      <c r="CB108" s="16" t="e">
        <f aca="false">SUMIF(MatchData[team],MatchData[[#this row],[team]],MatchData[moat available])</f>
        <v>#VALUE!</v>
      </c>
      <c r="CC108" s="16" t="e">
        <f aca="false">SUMIF(MatchData[team],MatchData[[#this row],[team]],MatchData[ramparts available])</f>
        <v>#VALUE!</v>
      </c>
      <c r="CD108" s="16" t="e">
        <f aca="false">SUMIF(MatchData[team],MatchData[[#this row],[team]],MatchData[drawbridge available])</f>
        <v>#VALUE!</v>
      </c>
      <c r="CE108" s="16" t="e">
        <f aca="false">SUMIF(MatchData[team],MatchData[[#this row],[team]],MatchData[sally port available])</f>
        <v>#VALUE!</v>
      </c>
      <c r="CF108" s="16" t="e">
        <f aca="false">SUMIF(MatchData[team],MatchData[[#this row],[team]],MatchData[rock wall available])</f>
        <v>#VALUE!</v>
      </c>
      <c r="CG108" s="16" t="e">
        <f aca="false">SUMIF(MatchData[team],MatchData[[#this row],[team]],MatchData[rough terrain available])</f>
        <v>#VALUE!</v>
      </c>
      <c r="CH108" s="16" t="e">
        <f aca="false">SUMIF(MatchData[team],MatchData[[#this row],[team]],MatchData[low bar available])</f>
        <v>#VALUE!</v>
      </c>
      <c r="CI108" s="16" t="e">
        <f aca="false">SUMIF(MatchData[team],MatchData[[#this row],[team]],MatchData[portcullis teleop crossings]:MatchData[portcullis scored crossings])</f>
        <v>#VALUE!</v>
      </c>
      <c r="CJ108" s="16" t="e">
        <f aca="false">SUMIF(MatchData[team],MatchData[[#this row],[team]],MatchData[cheval teleop crossings])+SUMIF(MatchData[team],MatchData[[#this row],[team]],MatchData[cheval scored crossings])</f>
        <v>#VALUE!</v>
      </c>
      <c r="CK108" s="16" t="e">
        <f aca="false">SUMIF(MatchData[team],MatchData[[#this row],[team]],MatchData[moat teleop crossings])+SUMIF(MatchData[team],MatchData[[#this row],[team]],MatchData[moat scored crosings])</f>
        <v>#VALUE!</v>
      </c>
      <c r="CL108" s="16" t="e">
        <f aca="false">SUMIF(MatchData[team],MatchData[[#this row],[team]],MatchData[ramparts teleop crossings])+SUMIF(MatchData[team],MatchData[[#this row],[team]],MatchData[ramparts scored crossings])</f>
        <v>#VALUE!</v>
      </c>
      <c r="CM108" s="16" t="e">
        <f aca="false">SUMIF(MatchData[team],MatchData[[#this row],[team]],MatchData[drawbridge teleop crossings])+SUMIF(MatchData[team],MatchData[[#this row],[team]],MatchData[drawbridge scored crossings])</f>
        <v>#VALUE!</v>
      </c>
      <c r="CN108" s="16" t="e">
        <f aca="false">SUMIF(MatchData[team],MatchData[[#this row],[team]],MatchData[sally port teleop crossings])+SUMIF(MatchData[team],MatchData[[#this row],[team]],MatchData[sally port scored crossings])</f>
        <v>#VALUE!</v>
      </c>
      <c r="CO108" s="16" t="e">
        <f aca="false">SUMIF(MatchData[team],MatchData[[#this row],[team]],MatchData[rock wall teleop crossings])+SUMIF(MatchData[team],MatchData[[#this row],[team]],MatchData[rock wall scored crossings])</f>
        <v>#VALUE!</v>
      </c>
      <c r="CP108" s="16" t="e">
        <f aca="false">SUMIF(MatchData[team],MatchData[[#this row],[team]],MatchData[rough terrain teleop crossings])+SUMIF(MatchData[team],MatchData[[#this row],[team]],MatchData[rough terrain scored crossings])</f>
        <v>#VALUE!</v>
      </c>
      <c r="CQ108" s="16" t="e">
        <f aca="false">SUMIF(MatchData[team],MatchData[[#this row],[team]],MatchData[low bar teleop crossings])+SUMIF(MatchData[team],MatchData[[#this row],[team]],MatchData[low bar scored crossings])</f>
        <v>#VALUE!</v>
      </c>
      <c r="CR108" s="16" t="e">
        <f aca="false">IFERROR(ROUND(MatchData[[#this row],[portcullis sum]]/MatchData[[#this row],[portcullis avail count]],2),0)</f>
        <v>#VALUE!</v>
      </c>
      <c r="CS108" s="16" t="e">
        <f aca="false">IFERROR(ROUND(MatchData[[#this row],[cheval sum]]/MatchData[[#this row],[cheval avail count]],2),0)</f>
        <v>#VALUE!</v>
      </c>
      <c r="CT108" s="16" t="e">
        <f aca="false">IFERROR(ROUND(MatchData[[#this row],[moat sum]]/MatchData[[#this row],[moat avail count]],2),0)</f>
        <v>#VALUE!</v>
      </c>
      <c r="CU108" s="16" t="e">
        <f aca="false">IFERROR(ROUND(MatchData[[#this row],[ramparts sum]]/MatchData[[#this row],[ramparts avail count]],2),0)</f>
        <v>#VALUE!</v>
      </c>
      <c r="CV108" s="16" t="e">
        <f aca="false">IFERROR(ROUND(MatchData[[#this row],[drawbridge sum]]/MatchData[[#this row],[drawbridge avail countigh6]],2),0)</f>
        <v>#VALUE!</v>
      </c>
      <c r="CW108" s="16" t="e">
        <f aca="false">IFERROR(ROUND(MatchData[[#this row],[sally port sum]]/MatchData[[#this row],[sally port avail count]],2),0)</f>
        <v>#VALUE!</v>
      </c>
      <c r="CX108" s="5" t="e">
        <f aca="false">IFERROR(ROUND(MatchData[[#this row],[rock wall sum]]/MatchData[[#this row],[rock wall avail count]],2),0)</f>
        <v>#VALUE!</v>
      </c>
      <c r="CY108" s="5" t="e">
        <f aca="false">IFERROR(ROUND(MatchData[[#this row],[rough terrain sum]]/MatchData[[#this row],[rough terrain avail count]],2),0)</f>
        <v>#VALUE!</v>
      </c>
      <c r="CZ108" s="5" t="e">
        <f aca="false">IFERROR(ROUND(MatchData[[#this row],[low bar sum]]/MatchData[[#this row],[low bar avail count]],2),0)</f>
        <v>#VALUE!</v>
      </c>
      <c r="DA108" s="16" t="e">
        <f aca="false">SUM(MatchData[[#this row],[cheval sum]:[low bar sum]])/MatchData[match count]</f>
        <v>#VALUE!</v>
      </c>
      <c r="DB108" s="16" t="n">
        <f aca="false">MAX(IF(C$2:C$74=C108,BP$2:BP$74))</f>
        <v>-1.79769313486232E+308</v>
      </c>
      <c r="DC108" s="16" t="e">
        <f aca="false">AVERAGEIF(MatchData[team],MatchData[[#this row],[team]],MatchData[total score])</f>
        <v>#VALUE!</v>
      </c>
      <c r="DD108" s="16" t="e">
        <f aca="false">ROUND(AVERAGEIF(MatchData[team],MatchData[team],MatchData[climb or challenge flag]),2)</f>
        <v>#VALUE!</v>
      </c>
    </row>
    <row r="109" customFormat="false" ht="14.5" hidden="false" customHeight="false" outlineLevel="0" collapsed="false">
      <c r="A109" s="17" t="s">
        <v>108</v>
      </c>
      <c r="B109" s="18" t="n">
        <v>18</v>
      </c>
      <c r="C109" s="15" t="n">
        <v>4488</v>
      </c>
      <c r="D109" s="5" t="s">
        <v>113</v>
      </c>
      <c r="E109" s="5" t="s">
        <v>138</v>
      </c>
      <c r="G109" s="16" t="n">
        <v>4</v>
      </c>
      <c r="I109" s="16"/>
      <c r="J109" s="5" t="n">
        <v>1</v>
      </c>
      <c r="K109" s="16" t="n">
        <v>1</v>
      </c>
      <c r="M109" s="5" t="n">
        <v>1</v>
      </c>
      <c r="N109" s="0"/>
      <c r="O109" s="5" t="n">
        <v>1</v>
      </c>
      <c r="P109" s="0"/>
      <c r="Q109" s="5" t="n">
        <v>1</v>
      </c>
      <c r="R109" s="0"/>
      <c r="S109" s="16"/>
      <c r="T109" s="5" t="n">
        <v>1</v>
      </c>
      <c r="U109" s="16"/>
      <c r="V109" s="16"/>
      <c r="W109" s="0"/>
      <c r="X109" s="0"/>
      <c r="AC109" s="5" t="n">
        <v>1</v>
      </c>
      <c r="AD109" s="16" t="n">
        <v>2</v>
      </c>
      <c r="AE109" s="5"/>
      <c r="AF109" s="16" t="n">
        <v>1</v>
      </c>
      <c r="AG109" s="16"/>
      <c r="AH109" s="16"/>
      <c r="AJ109" s="16"/>
      <c r="AL109" s="16"/>
      <c r="AN109" s="16"/>
      <c r="AP109" s="16"/>
      <c r="AR109" s="16"/>
      <c r="AT109" s="16"/>
      <c r="AU109" s="16"/>
      <c r="AV109" s="16"/>
      <c r="AW109" s="16"/>
      <c r="AX109" s="16"/>
      <c r="AY109" s="16"/>
      <c r="AZ109" s="16"/>
      <c r="BB109" s="16"/>
      <c r="BC109" s="16" t="e">
        <f aca="false">MatchData[cheval scored crossings]*5</f>
        <v>#VALUE!</v>
      </c>
      <c r="BD109" s="16" t="e">
        <f aca="false">MatchData[moat scored crosings]*5</f>
        <v>#VALUE!</v>
      </c>
      <c r="BE109" s="16" t="e">
        <f aca="false">MatchData[ramparts scored crossings]*5</f>
        <v>#VALUE!</v>
      </c>
      <c r="BF109" s="16" t="e">
        <f aca="false">MatchData[drawbridge scored crossings]*5</f>
        <v>#VALUE!</v>
      </c>
      <c r="BG109" s="16" t="e">
        <f aca="false">MatchData[sally port scored crossings]*5</f>
        <v>#VALUE!</v>
      </c>
      <c r="BH109" s="16" t="e">
        <f aca="false">MatchData[rock wall scored crossings]*5</f>
        <v>#VALUE!</v>
      </c>
      <c r="BI109" s="16" t="e">
        <f aca="false">MatchData[rough terrain scored crossings]*5</f>
        <v>#VALUE!</v>
      </c>
      <c r="BJ109" s="16" t="e">
        <f aca="false">MatchData[low bar scored crossings]*5</f>
        <v>#VALUE!</v>
      </c>
      <c r="BK109" s="16" t="e">
        <f aca="false">SUM(MatchData[[#this row],[low bar teleop crossings]:[rough terrain scored crossings]])</f>
        <v>#VALUE!</v>
      </c>
      <c r="BL109" s="16" t="e">
        <f aca="false">IFERROR(IF(OR(MatchData[[#this row],[challenge flag]],MatchData[[#this row],[climb flag]]),1,0),0)</f>
        <v>#VALUE!</v>
      </c>
      <c r="BM109" s="16" t="e">
        <f aca="false">MatchData[auto high goals]*10+MatchData[teleop high goals]*5</f>
        <v>#VALUE!</v>
      </c>
      <c r="BN109" s="16" t="e">
        <f aca="false">MatchData[auto low goals]*5+MatchData[teleop low goals]*2</f>
        <v>#VALUE!</v>
      </c>
      <c r="BO109" s="16" t="e">
        <f aca="false">MatchData[high goal score]+MatchData[low goal score]</f>
        <v>#VALUE!</v>
      </c>
      <c r="BP109" s="16" t="e">
        <f aca="false">MatchData[teleop high goals]+MatchData[teleop low goals]</f>
        <v>#VALUE!</v>
      </c>
      <c r="BQ109" s="16" t="e">
        <f aca="false">MatchData[[#this row],[auto reach flag]]*2+SUM(MatchData[[#this row],[portcullis auto crossings]:[low bar auto crossings]])*10+MatchData[[#this row],[auto low goals]]*5+MatchData[auto high goals]*10</f>
        <v>#VALUE!</v>
      </c>
      <c r="BR109" s="16" t="e">
        <f aca="false">SUM(MatchData[[#this row],[cheval teleop crossing score]:[low bar teleop crossing score]])</f>
        <v>#VALUE!</v>
      </c>
      <c r="BS109" s="16" t="e">
        <f aca="false">SUMIF(MatchData[team],MatchData[[#this row],[team]],MatchData[total auto score])/MatchData[match count]</f>
        <v>#VALUE!</v>
      </c>
      <c r="BT109" s="16" t="e">
        <f aca="false">MatchData[challenge flag]*5</f>
        <v>#VALUE!</v>
      </c>
      <c r="BU109" s="16" t="e">
        <f aca="false">MatchData[climb flag]*15</f>
        <v>#VALUE!</v>
      </c>
      <c r="BV109" s="16" t="e">
        <f aca="false">SUM(MatchData[[#this row],[total goal score]],MatchData[[#this row],[crossing score]],MatchData[[#this row],[challenge score]],MatchData[[#this row],[climb score]],MatchData[[#this row],[total auto score]])</f>
        <v>#VALUE!</v>
      </c>
      <c r="BW109" s="16" t="e">
        <f aca="false">ROUND(SUMIF(MatchData[team],MatchData[[#this row],[team]],MatchData[teleop low goals])/COUNTIF(MatchData[team],MatchData[[#this row],[team]]),2)</f>
        <v>#VALUE!</v>
      </c>
      <c r="BX109" s="16" t="e">
        <f aca="false">ROUND(SUMIF(MatchData[team],MatchData[[#this row],[team]],MatchData[teleop high goals])/COUNTIF(MatchData[team],MatchData[[#this row],[team]]),2)</f>
        <v>#VALUE!</v>
      </c>
      <c r="BY109" s="16" t="e">
        <f aca="false">COUNTIF(MatchData[team],MatchData[[#this row],[team]])</f>
        <v>#VALUE!</v>
      </c>
      <c r="BZ109" s="16" t="e">
        <f aca="false">SUMIF(MatchData[team],MatchData[[#this row],[team]],MatchData[portcullis available])</f>
        <v>#VALUE!</v>
      </c>
      <c r="CA109" s="16" t="e">
        <f aca="false">SUMIF(MatchData[team],MatchData[[#this row],[team]],MatchData[cheval available])</f>
        <v>#VALUE!</v>
      </c>
      <c r="CB109" s="16" t="e">
        <f aca="false">SUMIF(MatchData[team],MatchData[[#this row],[team]],MatchData[moat available])</f>
        <v>#VALUE!</v>
      </c>
      <c r="CC109" s="16" t="e">
        <f aca="false">SUMIF(MatchData[team],MatchData[[#this row],[team]],MatchData[ramparts available])</f>
        <v>#VALUE!</v>
      </c>
      <c r="CD109" s="16" t="e">
        <f aca="false">SUMIF(MatchData[team],MatchData[[#this row],[team]],MatchData[drawbridge available])</f>
        <v>#VALUE!</v>
      </c>
      <c r="CE109" s="16" t="e">
        <f aca="false">SUMIF(MatchData[team],MatchData[[#this row],[team]],MatchData[sally port available])</f>
        <v>#VALUE!</v>
      </c>
      <c r="CF109" s="16" t="e">
        <f aca="false">SUMIF(MatchData[team],MatchData[[#this row],[team]],MatchData[rock wall available])</f>
        <v>#VALUE!</v>
      </c>
      <c r="CG109" s="16" t="e">
        <f aca="false">SUMIF(MatchData[team],MatchData[[#this row],[team]],MatchData[rough terrain available])</f>
        <v>#VALUE!</v>
      </c>
      <c r="CH109" s="16" t="e">
        <f aca="false">SUMIF(MatchData[team],MatchData[[#this row],[team]],MatchData[low bar available])</f>
        <v>#VALUE!</v>
      </c>
      <c r="CI109" s="16" t="e">
        <f aca="false">SUMIF(MatchData[team],MatchData[[#this row],[team]],MatchData[portcullis teleop crossings]:MatchData[portcullis scored crossings])</f>
        <v>#VALUE!</v>
      </c>
      <c r="CJ109" s="16" t="e">
        <f aca="false">SUMIF(MatchData[team],MatchData[[#this row],[team]],MatchData[cheval teleop crossings])+SUMIF(MatchData[team],MatchData[[#this row],[team]],MatchData[cheval scored crossings])</f>
        <v>#VALUE!</v>
      </c>
      <c r="CK109" s="16" t="e">
        <f aca="false">SUMIF(MatchData[team],MatchData[[#this row],[team]],MatchData[moat teleop crossings])+SUMIF(MatchData[team],MatchData[[#this row],[team]],MatchData[moat scored crosings])</f>
        <v>#VALUE!</v>
      </c>
      <c r="CL109" s="16" t="e">
        <f aca="false">SUMIF(MatchData[team],MatchData[[#this row],[team]],MatchData[ramparts teleop crossings])+SUMIF(MatchData[team],MatchData[[#this row],[team]],MatchData[ramparts scored crossings])</f>
        <v>#VALUE!</v>
      </c>
      <c r="CM109" s="16" t="e">
        <f aca="false">SUMIF(MatchData[team],MatchData[[#this row],[team]],MatchData[drawbridge teleop crossings])+SUMIF(MatchData[team],MatchData[[#this row],[team]],MatchData[drawbridge scored crossings])</f>
        <v>#VALUE!</v>
      </c>
      <c r="CN109" s="16" t="e">
        <f aca="false">SUMIF(MatchData[team],MatchData[[#this row],[team]],MatchData[sally port teleop crossings])+SUMIF(MatchData[team],MatchData[[#this row],[team]],MatchData[sally port scored crossings])</f>
        <v>#VALUE!</v>
      </c>
      <c r="CO109" s="16" t="e">
        <f aca="false">SUMIF(MatchData[team],MatchData[[#this row],[team]],MatchData[rock wall teleop crossings])+SUMIF(MatchData[team],MatchData[[#this row],[team]],MatchData[rock wall scored crossings])</f>
        <v>#VALUE!</v>
      </c>
      <c r="CP109" s="16" t="e">
        <f aca="false">SUMIF(MatchData[team],MatchData[[#this row],[team]],MatchData[rough terrain teleop crossings])+SUMIF(MatchData[team],MatchData[[#this row],[team]],MatchData[rough terrain scored crossings])</f>
        <v>#VALUE!</v>
      </c>
      <c r="CQ109" s="16" t="e">
        <f aca="false">SUMIF(MatchData[team],MatchData[[#this row],[team]],MatchData[low bar teleop crossings])+SUMIF(MatchData[team],MatchData[[#this row],[team]],MatchData[low bar scored crossings])</f>
        <v>#VALUE!</v>
      </c>
      <c r="CR109" s="16" t="e">
        <f aca="false">IFERROR(ROUND(MatchData[[#this row],[portcullis sum]]/MatchData[[#this row],[portcullis avail count]],2),0)</f>
        <v>#VALUE!</v>
      </c>
      <c r="CS109" s="16" t="e">
        <f aca="false">IFERROR(ROUND(MatchData[[#this row],[cheval sum]]/MatchData[[#this row],[cheval avail count]],2),0)</f>
        <v>#VALUE!</v>
      </c>
      <c r="CT109" s="16" t="e">
        <f aca="false">IFERROR(ROUND(MatchData[[#this row],[moat sum]]/MatchData[[#this row],[moat avail count]],2),0)</f>
        <v>#VALUE!</v>
      </c>
      <c r="CU109" s="16" t="e">
        <f aca="false">IFERROR(ROUND(MatchData[[#this row],[ramparts sum]]/MatchData[[#this row],[ramparts avail count]],2),0)</f>
        <v>#VALUE!</v>
      </c>
      <c r="CV109" s="16" t="e">
        <f aca="false">IFERROR(ROUND(MatchData[[#this row],[drawbridge sum]]/MatchData[[#this row],[drawbridge avail countigh6]],2),0)</f>
        <v>#VALUE!</v>
      </c>
      <c r="CW109" s="16" t="e">
        <f aca="false">IFERROR(ROUND(MatchData[[#this row],[sally port sum]]/MatchData[[#this row],[sally port avail count]],2),0)</f>
        <v>#VALUE!</v>
      </c>
      <c r="CX109" s="5" t="e">
        <f aca="false">IFERROR(ROUND(MatchData[[#this row],[rock wall sum]]/MatchData[[#this row],[rock wall avail count]],2),0)</f>
        <v>#VALUE!</v>
      </c>
      <c r="CY109" s="5" t="e">
        <f aca="false">IFERROR(ROUND(MatchData[[#this row],[rough terrain sum]]/MatchData[[#this row],[rough terrain avail count]],2),0)</f>
        <v>#VALUE!</v>
      </c>
      <c r="CZ109" s="5" t="e">
        <f aca="false">IFERROR(ROUND(MatchData[[#this row],[low bar sum]]/MatchData[[#this row],[low bar avail count]],2),0)</f>
        <v>#VALUE!</v>
      </c>
      <c r="DA109" s="16" t="e">
        <f aca="false">SUM(MatchData[[#this row],[cheval sum]:[low bar sum]])/MatchData[match count]</f>
        <v>#VALUE!</v>
      </c>
      <c r="DB109" s="16" t="n">
        <f aca="false">MAX(IF(C$2:C$74=C109,BP$2:BP$74))</f>
        <v>-1.79769313486232E+308</v>
      </c>
      <c r="DC109" s="16" t="e">
        <f aca="false">AVERAGEIF(MatchData[team],MatchData[[#this row],[team]],MatchData[total score])</f>
        <v>#VALUE!</v>
      </c>
      <c r="DD109" s="16" t="e">
        <f aca="false">ROUND(AVERAGEIF(MatchData[team],MatchData[team],MatchData[climb or challenge flag]),2)</f>
        <v>#VALUE!</v>
      </c>
    </row>
    <row r="110" customFormat="false" ht="14.5" hidden="false" customHeight="false" outlineLevel="0" collapsed="false">
      <c r="A110" s="13" t="s">
        <v>108</v>
      </c>
      <c r="B110" s="14" t="n">
        <v>19</v>
      </c>
      <c r="C110" s="15" t="n">
        <v>2635</v>
      </c>
      <c r="D110" s="5" t="s">
        <v>109</v>
      </c>
      <c r="E110" s="5" t="s">
        <v>147</v>
      </c>
      <c r="G110" s="16"/>
      <c r="I110" s="16"/>
      <c r="J110" s="5" t="n">
        <v>1</v>
      </c>
      <c r="K110" s="16" t="n">
        <v>1</v>
      </c>
      <c r="N110" s="5" t="n">
        <v>1</v>
      </c>
      <c r="O110" s="5" t="n">
        <v>1</v>
      </c>
      <c r="P110" s="0"/>
      <c r="Q110" s="0"/>
      <c r="R110" s="5" t="n">
        <v>1</v>
      </c>
      <c r="S110" s="16"/>
      <c r="T110" s="0"/>
      <c r="U110" s="16"/>
      <c r="V110" s="16"/>
      <c r="W110" s="0"/>
      <c r="X110" s="0"/>
      <c r="AD110" s="16"/>
      <c r="AE110" s="5"/>
      <c r="AF110" s="16"/>
      <c r="AG110" s="16"/>
      <c r="AH110" s="16"/>
      <c r="AJ110" s="16"/>
      <c r="AL110" s="16" t="n">
        <v>2</v>
      </c>
      <c r="AN110" s="16"/>
      <c r="AP110" s="16"/>
      <c r="AR110" s="16"/>
      <c r="AT110" s="16"/>
      <c r="AU110" s="16"/>
      <c r="AV110" s="16"/>
      <c r="AW110" s="16"/>
      <c r="AX110" s="16"/>
      <c r="AY110" s="16"/>
      <c r="AZ110" s="16"/>
      <c r="BB110" s="16" t="n">
        <v>1</v>
      </c>
      <c r="BC110" s="16" t="e">
        <f aca="false">MatchData[cheval scored crossings]*5</f>
        <v>#VALUE!</v>
      </c>
      <c r="BD110" s="16" t="e">
        <f aca="false">MatchData[moat scored crosings]*5</f>
        <v>#VALUE!</v>
      </c>
      <c r="BE110" s="16" t="e">
        <f aca="false">MatchData[ramparts scored crossings]*5</f>
        <v>#VALUE!</v>
      </c>
      <c r="BF110" s="16" t="e">
        <f aca="false">MatchData[drawbridge scored crossings]*5</f>
        <v>#VALUE!</v>
      </c>
      <c r="BG110" s="16" t="e">
        <f aca="false">MatchData[sally port scored crossings]*5</f>
        <v>#VALUE!</v>
      </c>
      <c r="BH110" s="16" t="e">
        <f aca="false">MatchData[rock wall scored crossings]*5</f>
        <v>#VALUE!</v>
      </c>
      <c r="BI110" s="16" t="e">
        <f aca="false">MatchData[rough terrain scored crossings]*5</f>
        <v>#VALUE!</v>
      </c>
      <c r="BJ110" s="16" t="e">
        <f aca="false">MatchData[low bar scored crossings]*5</f>
        <v>#VALUE!</v>
      </c>
      <c r="BK110" s="16" t="e">
        <f aca="false">SUM(MatchData[[#this row],[low bar teleop crossings]:[rough terrain scored crossings]])</f>
        <v>#VALUE!</v>
      </c>
      <c r="BL110" s="16" t="e">
        <f aca="false">IFERROR(IF(OR(MatchData[[#this row],[challenge flag]],MatchData[[#this row],[climb flag]]),1,0),0)</f>
        <v>#VALUE!</v>
      </c>
      <c r="BM110" s="16" t="e">
        <f aca="false">MatchData[auto high goals]*10+MatchData[teleop high goals]*5</f>
        <v>#VALUE!</v>
      </c>
      <c r="BN110" s="16" t="e">
        <f aca="false">MatchData[auto low goals]*5+MatchData[teleop low goals]*2</f>
        <v>#VALUE!</v>
      </c>
      <c r="BO110" s="16" t="e">
        <f aca="false">MatchData[high goal score]+MatchData[low goal score]</f>
        <v>#VALUE!</v>
      </c>
      <c r="BP110" s="16" t="e">
        <f aca="false">MatchData[teleop high goals]+MatchData[teleop low goals]</f>
        <v>#VALUE!</v>
      </c>
      <c r="BQ110" s="16" t="e">
        <f aca="false">MatchData[[#this row],[auto reach flag]]*2+SUM(MatchData[[#this row],[portcullis auto crossings]:[low bar auto crossings]])*10+MatchData[[#this row],[auto low goals]]*5+MatchData[auto high goals]*10</f>
        <v>#VALUE!</v>
      </c>
      <c r="BR110" s="16" t="e">
        <f aca="false">SUM(MatchData[[#this row],[cheval teleop crossing score]:[low bar teleop crossing score]])</f>
        <v>#VALUE!</v>
      </c>
      <c r="BS110" s="16" t="e">
        <f aca="false">SUMIF(MatchData[team],MatchData[[#this row],[team]],MatchData[total auto score])/MatchData[match count]</f>
        <v>#VALUE!</v>
      </c>
      <c r="BT110" s="16" t="e">
        <f aca="false">MatchData[challenge flag]*5</f>
        <v>#VALUE!</v>
      </c>
      <c r="BU110" s="16" t="e">
        <f aca="false">MatchData[climb flag]*15</f>
        <v>#VALUE!</v>
      </c>
      <c r="BV110" s="16" t="e">
        <f aca="false">SUM(MatchData[[#this row],[total goal score]],MatchData[[#this row],[crossing score]],MatchData[[#this row],[challenge score]],MatchData[[#this row],[climb score]],MatchData[[#this row],[total auto score]])</f>
        <v>#VALUE!</v>
      </c>
      <c r="BW110" s="16" t="e">
        <f aca="false">ROUND(SUMIF(MatchData[team],MatchData[[#this row],[team]],MatchData[teleop low goals])/COUNTIF(MatchData[team],MatchData[[#this row],[team]]),2)</f>
        <v>#VALUE!</v>
      </c>
      <c r="BX110" s="16" t="e">
        <f aca="false">ROUND(SUMIF(MatchData[team],MatchData[[#this row],[team]],MatchData[teleop high goals])/COUNTIF(MatchData[team],MatchData[[#this row],[team]]),2)</f>
        <v>#VALUE!</v>
      </c>
      <c r="BY110" s="16" t="e">
        <f aca="false">COUNTIF(MatchData[team],MatchData[[#this row],[team]])</f>
        <v>#VALUE!</v>
      </c>
      <c r="BZ110" s="16" t="e">
        <f aca="false">SUMIF(MatchData[team],MatchData[[#this row],[team]],MatchData[portcullis available])</f>
        <v>#VALUE!</v>
      </c>
      <c r="CA110" s="16" t="e">
        <f aca="false">SUMIF(MatchData[team],MatchData[[#this row],[team]],MatchData[cheval available])</f>
        <v>#VALUE!</v>
      </c>
      <c r="CB110" s="16" t="e">
        <f aca="false">SUMIF(MatchData[team],MatchData[[#this row],[team]],MatchData[moat available])</f>
        <v>#VALUE!</v>
      </c>
      <c r="CC110" s="16" t="e">
        <f aca="false">SUMIF(MatchData[team],MatchData[[#this row],[team]],MatchData[ramparts available])</f>
        <v>#VALUE!</v>
      </c>
      <c r="CD110" s="16" t="e">
        <f aca="false">SUMIF(MatchData[team],MatchData[[#this row],[team]],MatchData[drawbridge available])</f>
        <v>#VALUE!</v>
      </c>
      <c r="CE110" s="16" t="e">
        <f aca="false">SUMIF(MatchData[team],MatchData[[#this row],[team]],MatchData[sally port available])</f>
        <v>#VALUE!</v>
      </c>
      <c r="CF110" s="16" t="e">
        <f aca="false">SUMIF(MatchData[team],MatchData[[#this row],[team]],MatchData[rock wall available])</f>
        <v>#VALUE!</v>
      </c>
      <c r="CG110" s="16" t="e">
        <f aca="false">SUMIF(MatchData[team],MatchData[[#this row],[team]],MatchData[rough terrain available])</f>
        <v>#VALUE!</v>
      </c>
      <c r="CH110" s="16" t="e">
        <f aca="false">SUMIF(MatchData[team],MatchData[[#this row],[team]],MatchData[low bar available])</f>
        <v>#VALUE!</v>
      </c>
      <c r="CI110" s="16" t="e">
        <f aca="false">SUMIF(MatchData[team],MatchData[[#this row],[team]],MatchData[portcullis teleop crossings]:MatchData[portcullis scored crossings])</f>
        <v>#VALUE!</v>
      </c>
      <c r="CJ110" s="16" t="e">
        <f aca="false">SUMIF(MatchData[team],MatchData[[#this row],[team]],MatchData[cheval teleop crossings])+SUMIF(MatchData[team],MatchData[[#this row],[team]],MatchData[cheval scored crossings])</f>
        <v>#VALUE!</v>
      </c>
      <c r="CK110" s="16" t="e">
        <f aca="false">SUMIF(MatchData[team],MatchData[[#this row],[team]],MatchData[moat teleop crossings])+SUMIF(MatchData[team],MatchData[[#this row],[team]],MatchData[moat scored crosings])</f>
        <v>#VALUE!</v>
      </c>
      <c r="CL110" s="16" t="e">
        <f aca="false">SUMIF(MatchData[team],MatchData[[#this row],[team]],MatchData[ramparts teleop crossings])+SUMIF(MatchData[team],MatchData[[#this row],[team]],MatchData[ramparts scored crossings])</f>
        <v>#VALUE!</v>
      </c>
      <c r="CM110" s="16" t="e">
        <f aca="false">SUMIF(MatchData[team],MatchData[[#this row],[team]],MatchData[drawbridge teleop crossings])+SUMIF(MatchData[team],MatchData[[#this row],[team]],MatchData[drawbridge scored crossings])</f>
        <v>#VALUE!</v>
      </c>
      <c r="CN110" s="16" t="e">
        <f aca="false">SUMIF(MatchData[team],MatchData[[#this row],[team]],MatchData[sally port teleop crossings])+SUMIF(MatchData[team],MatchData[[#this row],[team]],MatchData[sally port scored crossings])</f>
        <v>#VALUE!</v>
      </c>
      <c r="CO110" s="16" t="e">
        <f aca="false">SUMIF(MatchData[team],MatchData[[#this row],[team]],MatchData[rock wall teleop crossings])+SUMIF(MatchData[team],MatchData[[#this row],[team]],MatchData[rock wall scored crossings])</f>
        <v>#VALUE!</v>
      </c>
      <c r="CP110" s="16" t="e">
        <f aca="false">SUMIF(MatchData[team],MatchData[[#this row],[team]],MatchData[rough terrain teleop crossings])+SUMIF(MatchData[team],MatchData[[#this row],[team]],MatchData[rough terrain scored crossings])</f>
        <v>#VALUE!</v>
      </c>
      <c r="CQ110" s="16" t="e">
        <f aca="false">SUMIF(MatchData[team],MatchData[[#this row],[team]],MatchData[low bar teleop crossings])+SUMIF(MatchData[team],MatchData[[#this row],[team]],MatchData[low bar scored crossings])</f>
        <v>#VALUE!</v>
      </c>
      <c r="CR110" s="16" t="e">
        <f aca="false">IFERROR(ROUND(MatchData[[#this row],[portcullis sum]]/MatchData[[#this row],[portcullis avail count]],2),0)</f>
        <v>#VALUE!</v>
      </c>
      <c r="CS110" s="16" t="e">
        <f aca="false">IFERROR(ROUND(MatchData[[#this row],[cheval sum]]/MatchData[[#this row],[cheval avail count]],2),0)</f>
        <v>#VALUE!</v>
      </c>
      <c r="CT110" s="16" t="e">
        <f aca="false">IFERROR(ROUND(MatchData[[#this row],[moat sum]]/MatchData[[#this row],[moat avail count]],2),0)</f>
        <v>#VALUE!</v>
      </c>
      <c r="CU110" s="16" t="e">
        <f aca="false">IFERROR(ROUND(MatchData[[#this row],[ramparts sum]]/MatchData[[#this row],[ramparts avail count]],2),0)</f>
        <v>#VALUE!</v>
      </c>
      <c r="CV110" s="16" t="e">
        <f aca="false">IFERROR(ROUND(MatchData[[#this row],[drawbridge sum]]/MatchData[[#this row],[drawbridge avail countigh6]],2),0)</f>
        <v>#VALUE!</v>
      </c>
      <c r="CW110" s="16" t="e">
        <f aca="false">IFERROR(ROUND(MatchData[[#this row],[sally port sum]]/MatchData[[#this row],[sally port avail count]],2),0)</f>
        <v>#VALUE!</v>
      </c>
      <c r="CX110" s="5" t="e">
        <f aca="false">IFERROR(ROUND(MatchData[[#this row],[rock wall sum]]/MatchData[[#this row],[rock wall avail count]],2),0)</f>
        <v>#VALUE!</v>
      </c>
      <c r="CY110" s="5" t="e">
        <f aca="false">IFERROR(ROUND(MatchData[[#this row],[rough terrain sum]]/MatchData[[#this row],[rough terrain avail count]],2),0)</f>
        <v>#VALUE!</v>
      </c>
      <c r="CZ110" s="5" t="e">
        <f aca="false">IFERROR(ROUND(MatchData[[#this row],[low bar sum]]/MatchData[[#this row],[low bar avail count]],2),0)</f>
        <v>#VALUE!</v>
      </c>
      <c r="DA110" s="16" t="e">
        <f aca="false">SUM(MatchData[[#this row],[cheval sum]:[low bar sum]])/MatchData[match count]</f>
        <v>#VALUE!</v>
      </c>
      <c r="DB110" s="16" t="n">
        <f aca="false">MAX(IF(C$2:C$74=C110,BP$2:BP$74))</f>
        <v>-1.79769313486232E+308</v>
      </c>
      <c r="DC110" s="16" t="e">
        <f aca="false">AVERAGEIF(MatchData[team],MatchData[[#this row],[team]],MatchData[total score])</f>
        <v>#VALUE!</v>
      </c>
      <c r="DD110" s="16" t="e">
        <f aca="false">ROUND(AVERAGEIF(MatchData[team],MatchData[team],MatchData[climb or challenge flag]),2)</f>
        <v>#VALUE!</v>
      </c>
    </row>
    <row r="111" customFormat="false" ht="14.5" hidden="false" customHeight="false" outlineLevel="0" collapsed="false">
      <c r="A111" s="13" t="s">
        <v>108</v>
      </c>
      <c r="B111" s="14" t="n">
        <v>19</v>
      </c>
      <c r="C111" s="15" t="n">
        <v>2811</v>
      </c>
      <c r="D111" s="5" t="s">
        <v>109</v>
      </c>
      <c r="E111" s="5" t="s">
        <v>134</v>
      </c>
      <c r="G111" s="16"/>
      <c r="I111" s="16"/>
      <c r="J111" s="5" t="n">
        <v>1</v>
      </c>
      <c r="K111" s="16" t="n">
        <v>1</v>
      </c>
      <c r="N111" s="5" t="n">
        <v>1</v>
      </c>
      <c r="O111" s="5" t="n">
        <v>1</v>
      </c>
      <c r="P111" s="0"/>
      <c r="Q111" s="0"/>
      <c r="R111" s="5" t="n">
        <v>1</v>
      </c>
      <c r="S111" s="16"/>
      <c r="T111" s="0"/>
      <c r="U111" s="16"/>
      <c r="V111" s="16"/>
      <c r="W111" s="0"/>
      <c r="X111" s="0"/>
      <c r="AA111" s="5" t="n">
        <v>1</v>
      </c>
      <c r="AD111" s="16"/>
      <c r="AE111" s="5"/>
      <c r="AF111" s="16"/>
      <c r="AG111" s="16"/>
      <c r="AH111" s="16"/>
      <c r="AJ111" s="16"/>
      <c r="AL111" s="16"/>
      <c r="AN111" s="16" t="n">
        <v>2</v>
      </c>
      <c r="AP111" s="16"/>
      <c r="AR111" s="16"/>
      <c r="AS111" s="5" t="n">
        <v>1</v>
      </c>
      <c r="AT111" s="16" t="n">
        <v>1</v>
      </c>
      <c r="AU111" s="16"/>
      <c r="AV111" s="16" t="n">
        <v>1</v>
      </c>
      <c r="AW111" s="16" t="n">
        <v>1</v>
      </c>
      <c r="AX111" s="16"/>
      <c r="AY111" s="16"/>
      <c r="AZ111" s="16"/>
      <c r="BB111" s="16" t="n">
        <v>1</v>
      </c>
      <c r="BC111" s="16" t="e">
        <f aca="false">MatchData[cheval scored crossings]*5</f>
        <v>#VALUE!</v>
      </c>
      <c r="BD111" s="16" t="e">
        <f aca="false">MatchData[moat scored crosings]*5</f>
        <v>#VALUE!</v>
      </c>
      <c r="BE111" s="16" t="e">
        <f aca="false">MatchData[ramparts scored crossings]*5</f>
        <v>#VALUE!</v>
      </c>
      <c r="BF111" s="16" t="e">
        <f aca="false">MatchData[drawbridge scored crossings]*5</f>
        <v>#VALUE!</v>
      </c>
      <c r="BG111" s="16" t="e">
        <f aca="false">MatchData[sally port scored crossings]*5</f>
        <v>#VALUE!</v>
      </c>
      <c r="BH111" s="16" t="e">
        <f aca="false">MatchData[rock wall scored crossings]*5</f>
        <v>#VALUE!</v>
      </c>
      <c r="BI111" s="16" t="e">
        <f aca="false">MatchData[rough terrain scored crossings]*5</f>
        <v>#VALUE!</v>
      </c>
      <c r="BJ111" s="16" t="e">
        <f aca="false">MatchData[low bar scored crossings]*5</f>
        <v>#VALUE!</v>
      </c>
      <c r="BK111" s="16" t="e">
        <f aca="false">SUM(MatchData[[#this row],[low bar teleop crossings]:[rough terrain scored crossings]])</f>
        <v>#VALUE!</v>
      </c>
      <c r="BL111" s="16" t="e">
        <f aca="false">IFERROR(IF(OR(MatchData[[#this row],[challenge flag]],MatchData[[#this row],[climb flag]]),1,0),0)</f>
        <v>#VALUE!</v>
      </c>
      <c r="BM111" s="16" t="e">
        <f aca="false">MatchData[auto high goals]*10+MatchData[teleop high goals]*5</f>
        <v>#VALUE!</v>
      </c>
      <c r="BN111" s="16" t="e">
        <f aca="false">MatchData[auto low goals]*5+MatchData[teleop low goals]*2</f>
        <v>#VALUE!</v>
      </c>
      <c r="BO111" s="16" t="e">
        <f aca="false">MatchData[high goal score]+MatchData[low goal score]</f>
        <v>#VALUE!</v>
      </c>
      <c r="BP111" s="16" t="e">
        <f aca="false">MatchData[teleop high goals]+MatchData[teleop low goals]</f>
        <v>#VALUE!</v>
      </c>
      <c r="BQ111" s="16" t="e">
        <f aca="false">MatchData[[#this row],[auto reach flag]]*2+SUM(MatchData[[#this row],[portcullis auto crossings]:[low bar auto crossings]])*10+MatchData[[#this row],[auto low goals]]*5+MatchData[auto high goals]*10</f>
        <v>#VALUE!</v>
      </c>
      <c r="BR111" s="16" t="e">
        <f aca="false">SUM(MatchData[[#this row],[cheval teleop crossing score]:[low bar teleop crossing score]])</f>
        <v>#VALUE!</v>
      </c>
      <c r="BS111" s="16" t="e">
        <f aca="false">SUMIF(MatchData[team],MatchData[[#this row],[team]],MatchData[total auto score])/MatchData[match count]</f>
        <v>#VALUE!</v>
      </c>
      <c r="BT111" s="16" t="e">
        <f aca="false">MatchData[challenge flag]*5</f>
        <v>#VALUE!</v>
      </c>
      <c r="BU111" s="16" t="e">
        <f aca="false">MatchData[climb flag]*15</f>
        <v>#VALUE!</v>
      </c>
      <c r="BV111" s="16" t="e">
        <f aca="false">SUM(MatchData[[#this row],[total goal score]],MatchData[[#this row],[crossing score]],MatchData[[#this row],[challenge score]],MatchData[[#this row],[climb score]],MatchData[[#this row],[total auto score]])</f>
        <v>#VALUE!</v>
      </c>
      <c r="BW111" s="16" t="e">
        <f aca="false">ROUND(SUMIF(MatchData[team],MatchData[[#this row],[team]],MatchData[teleop low goals])/COUNTIF(MatchData[team],MatchData[[#this row],[team]]),2)</f>
        <v>#VALUE!</v>
      </c>
      <c r="BX111" s="16" t="e">
        <f aca="false">ROUND(SUMIF(MatchData[team],MatchData[[#this row],[team]],MatchData[teleop high goals])/COUNTIF(MatchData[team],MatchData[[#this row],[team]]),2)</f>
        <v>#VALUE!</v>
      </c>
      <c r="BY111" s="16" t="e">
        <f aca="false">COUNTIF(MatchData[team],MatchData[[#this row],[team]])</f>
        <v>#VALUE!</v>
      </c>
      <c r="BZ111" s="16" t="e">
        <f aca="false">SUMIF(MatchData[team],MatchData[[#this row],[team]],MatchData[portcullis available])</f>
        <v>#VALUE!</v>
      </c>
      <c r="CA111" s="16" t="e">
        <f aca="false">SUMIF(MatchData[team],MatchData[[#this row],[team]],MatchData[cheval available])</f>
        <v>#VALUE!</v>
      </c>
      <c r="CB111" s="16" t="e">
        <f aca="false">SUMIF(MatchData[team],MatchData[[#this row],[team]],MatchData[moat available])</f>
        <v>#VALUE!</v>
      </c>
      <c r="CC111" s="16" t="e">
        <f aca="false">SUMIF(MatchData[team],MatchData[[#this row],[team]],MatchData[ramparts available])</f>
        <v>#VALUE!</v>
      </c>
      <c r="CD111" s="16" t="e">
        <f aca="false">SUMIF(MatchData[team],MatchData[[#this row],[team]],MatchData[drawbridge available])</f>
        <v>#VALUE!</v>
      </c>
      <c r="CE111" s="16" t="e">
        <f aca="false">SUMIF(MatchData[team],MatchData[[#this row],[team]],MatchData[sally port available])</f>
        <v>#VALUE!</v>
      </c>
      <c r="CF111" s="16" t="e">
        <f aca="false">SUMIF(MatchData[team],MatchData[[#this row],[team]],MatchData[rock wall available])</f>
        <v>#VALUE!</v>
      </c>
      <c r="CG111" s="16" t="e">
        <f aca="false">SUMIF(MatchData[team],MatchData[[#this row],[team]],MatchData[rough terrain available])</f>
        <v>#VALUE!</v>
      </c>
      <c r="CH111" s="16" t="e">
        <f aca="false">SUMIF(MatchData[team],MatchData[[#this row],[team]],MatchData[low bar available])</f>
        <v>#VALUE!</v>
      </c>
      <c r="CI111" s="16" t="e">
        <f aca="false">SUMIF(MatchData[team],MatchData[[#this row],[team]],MatchData[portcullis teleop crossings]:MatchData[portcullis scored crossings])</f>
        <v>#VALUE!</v>
      </c>
      <c r="CJ111" s="16" t="e">
        <f aca="false">SUMIF(MatchData[team],MatchData[[#this row],[team]],MatchData[cheval teleop crossings])+SUMIF(MatchData[team],MatchData[[#this row],[team]],MatchData[cheval scored crossings])</f>
        <v>#VALUE!</v>
      </c>
      <c r="CK111" s="16" t="e">
        <f aca="false">SUMIF(MatchData[team],MatchData[[#this row],[team]],MatchData[moat teleop crossings])+SUMIF(MatchData[team],MatchData[[#this row],[team]],MatchData[moat scored crosings])</f>
        <v>#VALUE!</v>
      </c>
      <c r="CL111" s="16" t="e">
        <f aca="false">SUMIF(MatchData[team],MatchData[[#this row],[team]],MatchData[ramparts teleop crossings])+SUMIF(MatchData[team],MatchData[[#this row],[team]],MatchData[ramparts scored crossings])</f>
        <v>#VALUE!</v>
      </c>
      <c r="CM111" s="16" t="e">
        <f aca="false">SUMIF(MatchData[team],MatchData[[#this row],[team]],MatchData[drawbridge teleop crossings])+SUMIF(MatchData[team],MatchData[[#this row],[team]],MatchData[drawbridge scored crossings])</f>
        <v>#VALUE!</v>
      </c>
      <c r="CN111" s="16" t="e">
        <f aca="false">SUMIF(MatchData[team],MatchData[[#this row],[team]],MatchData[sally port teleop crossings])+SUMIF(MatchData[team],MatchData[[#this row],[team]],MatchData[sally port scored crossings])</f>
        <v>#VALUE!</v>
      </c>
      <c r="CO111" s="16" t="e">
        <f aca="false">SUMIF(MatchData[team],MatchData[[#this row],[team]],MatchData[rock wall teleop crossings])+SUMIF(MatchData[team],MatchData[[#this row],[team]],MatchData[rock wall scored crossings])</f>
        <v>#VALUE!</v>
      </c>
      <c r="CP111" s="16" t="e">
        <f aca="false">SUMIF(MatchData[team],MatchData[[#this row],[team]],MatchData[rough terrain teleop crossings])+SUMIF(MatchData[team],MatchData[[#this row],[team]],MatchData[rough terrain scored crossings])</f>
        <v>#VALUE!</v>
      </c>
      <c r="CQ111" s="16" t="e">
        <f aca="false">SUMIF(MatchData[team],MatchData[[#this row],[team]],MatchData[low bar teleop crossings])+SUMIF(MatchData[team],MatchData[[#this row],[team]],MatchData[low bar scored crossings])</f>
        <v>#VALUE!</v>
      </c>
      <c r="CR111" s="16" t="e">
        <f aca="false">IFERROR(ROUND(MatchData[[#this row],[portcullis sum]]/MatchData[[#this row],[portcullis avail count]],2),0)</f>
        <v>#VALUE!</v>
      </c>
      <c r="CS111" s="16" t="e">
        <f aca="false">IFERROR(ROUND(MatchData[[#this row],[cheval sum]]/MatchData[[#this row],[cheval avail count]],2),0)</f>
        <v>#VALUE!</v>
      </c>
      <c r="CT111" s="16" t="e">
        <f aca="false">IFERROR(ROUND(MatchData[[#this row],[moat sum]]/MatchData[[#this row],[moat avail count]],2),0)</f>
        <v>#VALUE!</v>
      </c>
      <c r="CU111" s="16" t="e">
        <f aca="false">IFERROR(ROUND(MatchData[[#this row],[ramparts sum]]/MatchData[[#this row],[ramparts avail count]],2),0)</f>
        <v>#VALUE!</v>
      </c>
      <c r="CV111" s="16" t="e">
        <f aca="false">IFERROR(ROUND(MatchData[[#this row],[drawbridge sum]]/MatchData[[#this row],[drawbridge avail countigh6]],2),0)</f>
        <v>#VALUE!</v>
      </c>
      <c r="CW111" s="16" t="e">
        <f aca="false">IFERROR(ROUND(MatchData[[#this row],[sally port sum]]/MatchData[[#this row],[sally port avail count]],2),0)</f>
        <v>#VALUE!</v>
      </c>
      <c r="CX111" s="5" t="e">
        <f aca="false">IFERROR(ROUND(MatchData[[#this row],[rock wall sum]]/MatchData[[#this row],[rock wall avail count]],2),0)</f>
        <v>#VALUE!</v>
      </c>
      <c r="CY111" s="5" t="e">
        <f aca="false">IFERROR(ROUND(MatchData[[#this row],[rough terrain sum]]/MatchData[[#this row],[rough terrain avail count]],2),0)</f>
        <v>#VALUE!</v>
      </c>
      <c r="CZ111" s="5" t="e">
        <f aca="false">IFERROR(ROUND(MatchData[[#this row],[low bar sum]]/MatchData[[#this row],[low bar avail count]],2),0)</f>
        <v>#VALUE!</v>
      </c>
      <c r="DA111" s="16" t="e">
        <f aca="false">SUM(MatchData[[#this row],[cheval sum]:[low bar sum]])/MatchData[match count]</f>
        <v>#VALUE!</v>
      </c>
      <c r="DB111" s="16" t="n">
        <f aca="false">MAX(IF(C$2:C$74=C111,BP$2:BP$74))</f>
        <v>-1.79769313486232E+308</v>
      </c>
      <c r="DC111" s="16" t="e">
        <f aca="false">AVERAGEIF(MatchData[team],MatchData[[#this row],[team]],MatchData[total score])</f>
        <v>#VALUE!</v>
      </c>
      <c r="DD111" s="16" t="e">
        <f aca="false">ROUND(AVERAGEIF(MatchData[team],MatchData[team],MatchData[climb or challenge flag]),2)</f>
        <v>#VALUE!</v>
      </c>
    </row>
    <row r="112" customFormat="false" ht="14.5" hidden="false" customHeight="false" outlineLevel="0" collapsed="false">
      <c r="A112" s="17" t="s">
        <v>108</v>
      </c>
      <c r="B112" s="14" t="n">
        <v>19</v>
      </c>
      <c r="C112" s="15" t="n">
        <v>5468</v>
      </c>
      <c r="D112" s="5" t="s">
        <v>109</v>
      </c>
      <c r="E112" s="5" t="s">
        <v>146</v>
      </c>
      <c r="G112" s="16" t="n">
        <v>1</v>
      </c>
      <c r="I112" s="16"/>
      <c r="J112" s="5" t="n">
        <v>1</v>
      </c>
      <c r="K112" s="16" t="n">
        <v>1</v>
      </c>
      <c r="N112" s="5" t="n">
        <v>1</v>
      </c>
      <c r="O112" s="5" t="n">
        <v>1</v>
      </c>
      <c r="P112" s="0"/>
      <c r="Q112" s="0"/>
      <c r="R112" s="5" t="n">
        <v>1</v>
      </c>
      <c r="S112" s="16"/>
      <c r="T112" s="0"/>
      <c r="U112" s="16"/>
      <c r="V112" s="16"/>
      <c r="W112" s="0"/>
      <c r="X112" s="0"/>
      <c r="AB112" s="5" t="n">
        <v>1</v>
      </c>
      <c r="AD112" s="16"/>
      <c r="AE112" s="5"/>
      <c r="AF112" s="16"/>
      <c r="AG112" s="16"/>
      <c r="AH112" s="16"/>
      <c r="AJ112" s="16"/>
      <c r="AL112" s="16"/>
      <c r="AM112" s="5" t="n">
        <v>1</v>
      </c>
      <c r="AN112" s="16"/>
      <c r="AP112" s="16"/>
      <c r="AR112" s="16"/>
      <c r="AT112" s="16"/>
      <c r="AU112" s="16"/>
      <c r="AV112" s="16" t="n">
        <v>1</v>
      </c>
      <c r="AW112" s="16" t="n">
        <v>1</v>
      </c>
      <c r="AX112" s="16"/>
      <c r="AY112" s="16"/>
      <c r="AZ112" s="16"/>
      <c r="BB112" s="16" t="n">
        <v>1</v>
      </c>
      <c r="BC112" s="16" t="e">
        <f aca="false">MatchData[cheval scored crossings]*5</f>
        <v>#VALUE!</v>
      </c>
      <c r="BD112" s="16" t="e">
        <f aca="false">MatchData[moat scored crosings]*5</f>
        <v>#VALUE!</v>
      </c>
      <c r="BE112" s="16" t="e">
        <f aca="false">MatchData[ramparts scored crossings]*5</f>
        <v>#VALUE!</v>
      </c>
      <c r="BF112" s="16" t="e">
        <f aca="false">MatchData[drawbridge scored crossings]*5</f>
        <v>#VALUE!</v>
      </c>
      <c r="BG112" s="16" t="e">
        <f aca="false">MatchData[sally port scored crossings]*5</f>
        <v>#VALUE!</v>
      </c>
      <c r="BH112" s="16" t="e">
        <f aca="false">MatchData[rock wall scored crossings]*5</f>
        <v>#VALUE!</v>
      </c>
      <c r="BI112" s="16" t="e">
        <f aca="false">MatchData[rough terrain scored crossings]*5</f>
        <v>#VALUE!</v>
      </c>
      <c r="BJ112" s="16" t="e">
        <f aca="false">MatchData[low bar scored crossings]*5</f>
        <v>#VALUE!</v>
      </c>
      <c r="BK112" s="16" t="e">
        <f aca="false">SUM(MatchData[[#this row],[low bar teleop crossings]:[rough terrain scored crossings]])</f>
        <v>#VALUE!</v>
      </c>
      <c r="BL112" s="16" t="e">
        <f aca="false">IFERROR(IF(OR(MatchData[[#this row],[challenge flag]],MatchData[[#this row],[climb flag]]),1,0),0)</f>
        <v>#VALUE!</v>
      </c>
      <c r="BM112" s="16" t="e">
        <f aca="false">MatchData[auto high goals]*10+MatchData[teleop high goals]*5</f>
        <v>#VALUE!</v>
      </c>
      <c r="BN112" s="16" t="e">
        <f aca="false">MatchData[auto low goals]*5+MatchData[teleop low goals]*2</f>
        <v>#VALUE!</v>
      </c>
      <c r="BO112" s="16" t="e">
        <f aca="false">MatchData[high goal score]+MatchData[low goal score]</f>
        <v>#VALUE!</v>
      </c>
      <c r="BP112" s="16" t="e">
        <f aca="false">MatchData[teleop high goals]+MatchData[teleop low goals]</f>
        <v>#VALUE!</v>
      </c>
      <c r="BQ112" s="16" t="e">
        <f aca="false">MatchData[[#this row],[auto reach flag]]*2+SUM(MatchData[[#this row],[portcullis auto crossings]:[low bar auto crossings]])*10+MatchData[[#this row],[auto low goals]]*5+MatchData[auto high goals]*10</f>
        <v>#VALUE!</v>
      </c>
      <c r="BR112" s="16" t="e">
        <f aca="false">SUM(MatchData[[#this row],[cheval teleop crossing score]:[low bar teleop crossing score]])</f>
        <v>#VALUE!</v>
      </c>
      <c r="BS112" s="16" t="e">
        <f aca="false">SUMIF(MatchData[team],MatchData[[#this row],[team]],MatchData[total auto score])/MatchData[match count]</f>
        <v>#VALUE!</v>
      </c>
      <c r="BT112" s="16" t="e">
        <f aca="false">MatchData[challenge flag]*5</f>
        <v>#VALUE!</v>
      </c>
      <c r="BU112" s="16" t="e">
        <f aca="false">MatchData[climb flag]*15</f>
        <v>#VALUE!</v>
      </c>
      <c r="BV112" s="16" t="e">
        <f aca="false">SUM(MatchData[[#this row],[total goal score]],MatchData[[#this row],[crossing score]],MatchData[[#this row],[challenge score]],MatchData[[#this row],[climb score]],MatchData[[#this row],[total auto score]])</f>
        <v>#VALUE!</v>
      </c>
      <c r="BW112" s="16" t="e">
        <f aca="false">ROUND(SUMIF(MatchData[team],MatchData[[#this row],[team]],MatchData[teleop low goals])/COUNTIF(MatchData[team],MatchData[[#this row],[team]]),2)</f>
        <v>#VALUE!</v>
      </c>
      <c r="BX112" s="16" t="e">
        <f aca="false">ROUND(SUMIF(MatchData[team],MatchData[[#this row],[team]],MatchData[teleop high goals])/COUNTIF(MatchData[team],MatchData[[#this row],[team]]),2)</f>
        <v>#VALUE!</v>
      </c>
      <c r="BY112" s="16" t="e">
        <f aca="false">COUNTIF(MatchData[team],MatchData[[#this row],[team]])</f>
        <v>#VALUE!</v>
      </c>
      <c r="BZ112" s="16" t="e">
        <f aca="false">SUMIF(MatchData[team],MatchData[[#this row],[team]],MatchData[portcullis available])</f>
        <v>#VALUE!</v>
      </c>
      <c r="CA112" s="16" t="e">
        <f aca="false">SUMIF(MatchData[team],MatchData[[#this row],[team]],MatchData[cheval available])</f>
        <v>#VALUE!</v>
      </c>
      <c r="CB112" s="16" t="e">
        <f aca="false">SUMIF(MatchData[team],MatchData[[#this row],[team]],MatchData[moat available])</f>
        <v>#VALUE!</v>
      </c>
      <c r="CC112" s="16" t="e">
        <f aca="false">SUMIF(MatchData[team],MatchData[[#this row],[team]],MatchData[ramparts available])</f>
        <v>#VALUE!</v>
      </c>
      <c r="CD112" s="16" t="e">
        <f aca="false">SUMIF(MatchData[team],MatchData[[#this row],[team]],MatchData[drawbridge available])</f>
        <v>#VALUE!</v>
      </c>
      <c r="CE112" s="16" t="e">
        <f aca="false">SUMIF(MatchData[team],MatchData[[#this row],[team]],MatchData[sally port available])</f>
        <v>#VALUE!</v>
      </c>
      <c r="CF112" s="16" t="e">
        <f aca="false">SUMIF(MatchData[team],MatchData[[#this row],[team]],MatchData[rock wall available])</f>
        <v>#VALUE!</v>
      </c>
      <c r="CG112" s="16" t="e">
        <f aca="false">SUMIF(MatchData[team],MatchData[[#this row],[team]],MatchData[rough terrain available])</f>
        <v>#VALUE!</v>
      </c>
      <c r="CH112" s="16" t="e">
        <f aca="false">SUMIF(MatchData[team],MatchData[[#this row],[team]],MatchData[low bar available])</f>
        <v>#VALUE!</v>
      </c>
      <c r="CI112" s="16" t="e">
        <f aca="false">SUMIF(MatchData[team],MatchData[[#this row],[team]],MatchData[portcullis teleop crossings]:MatchData[portcullis scored crossings])</f>
        <v>#VALUE!</v>
      </c>
      <c r="CJ112" s="16" t="e">
        <f aca="false">SUMIF(MatchData[team],MatchData[[#this row],[team]],MatchData[cheval teleop crossings])+SUMIF(MatchData[team],MatchData[[#this row],[team]],MatchData[cheval scored crossings])</f>
        <v>#VALUE!</v>
      </c>
      <c r="CK112" s="16" t="e">
        <f aca="false">SUMIF(MatchData[team],MatchData[[#this row],[team]],MatchData[moat teleop crossings])+SUMIF(MatchData[team],MatchData[[#this row],[team]],MatchData[moat scored crosings])</f>
        <v>#VALUE!</v>
      </c>
      <c r="CL112" s="16" t="e">
        <f aca="false">SUMIF(MatchData[team],MatchData[[#this row],[team]],MatchData[ramparts teleop crossings])+SUMIF(MatchData[team],MatchData[[#this row],[team]],MatchData[ramparts scored crossings])</f>
        <v>#VALUE!</v>
      </c>
      <c r="CM112" s="16" t="e">
        <f aca="false">SUMIF(MatchData[team],MatchData[[#this row],[team]],MatchData[drawbridge teleop crossings])+SUMIF(MatchData[team],MatchData[[#this row],[team]],MatchData[drawbridge scored crossings])</f>
        <v>#VALUE!</v>
      </c>
      <c r="CN112" s="16" t="e">
        <f aca="false">SUMIF(MatchData[team],MatchData[[#this row],[team]],MatchData[sally port teleop crossings])+SUMIF(MatchData[team],MatchData[[#this row],[team]],MatchData[sally port scored crossings])</f>
        <v>#VALUE!</v>
      </c>
      <c r="CO112" s="16" t="e">
        <f aca="false">SUMIF(MatchData[team],MatchData[[#this row],[team]],MatchData[rock wall teleop crossings])+SUMIF(MatchData[team],MatchData[[#this row],[team]],MatchData[rock wall scored crossings])</f>
        <v>#VALUE!</v>
      </c>
      <c r="CP112" s="16" t="e">
        <f aca="false">SUMIF(MatchData[team],MatchData[[#this row],[team]],MatchData[rough terrain teleop crossings])+SUMIF(MatchData[team],MatchData[[#this row],[team]],MatchData[rough terrain scored crossings])</f>
        <v>#VALUE!</v>
      </c>
      <c r="CQ112" s="16" t="e">
        <f aca="false">SUMIF(MatchData[team],MatchData[[#this row],[team]],MatchData[low bar teleop crossings])+SUMIF(MatchData[team],MatchData[[#this row],[team]],MatchData[low bar scored crossings])</f>
        <v>#VALUE!</v>
      </c>
      <c r="CR112" s="16" t="e">
        <f aca="false">IFERROR(ROUND(MatchData[[#this row],[portcullis sum]]/MatchData[[#this row],[portcullis avail count]],2),0)</f>
        <v>#VALUE!</v>
      </c>
      <c r="CS112" s="16" t="e">
        <f aca="false">IFERROR(ROUND(MatchData[[#this row],[cheval sum]]/MatchData[[#this row],[cheval avail count]],2),0)</f>
        <v>#VALUE!</v>
      </c>
      <c r="CT112" s="16" t="e">
        <f aca="false">IFERROR(ROUND(MatchData[[#this row],[moat sum]]/MatchData[[#this row],[moat avail count]],2),0)</f>
        <v>#VALUE!</v>
      </c>
      <c r="CU112" s="16" t="e">
        <f aca="false">IFERROR(ROUND(MatchData[[#this row],[ramparts sum]]/MatchData[[#this row],[ramparts avail count]],2),0)</f>
        <v>#VALUE!</v>
      </c>
      <c r="CV112" s="16" t="e">
        <f aca="false">IFERROR(ROUND(MatchData[[#this row],[drawbridge sum]]/MatchData[[#this row],[drawbridge avail countigh6]],2),0)</f>
        <v>#VALUE!</v>
      </c>
      <c r="CW112" s="16" t="e">
        <f aca="false">IFERROR(ROUND(MatchData[[#this row],[sally port sum]]/MatchData[[#this row],[sally port avail count]],2),0)</f>
        <v>#VALUE!</v>
      </c>
      <c r="CX112" s="5" t="e">
        <f aca="false">IFERROR(ROUND(MatchData[[#this row],[rock wall sum]]/MatchData[[#this row],[rock wall avail count]],2),0)</f>
        <v>#VALUE!</v>
      </c>
      <c r="CY112" s="5" t="e">
        <f aca="false">IFERROR(ROUND(MatchData[[#this row],[rough terrain sum]]/MatchData[[#this row],[rough terrain avail count]],2),0)</f>
        <v>#VALUE!</v>
      </c>
      <c r="CZ112" s="5" t="e">
        <f aca="false">IFERROR(ROUND(MatchData[[#this row],[low bar sum]]/MatchData[[#this row],[low bar avail count]],2),0)</f>
        <v>#VALUE!</v>
      </c>
      <c r="DA112" s="16" t="e">
        <f aca="false">SUM(MatchData[[#this row],[cheval sum]:[low bar sum]])/MatchData[match count]</f>
        <v>#VALUE!</v>
      </c>
      <c r="DB112" s="16" t="n">
        <f aca="false">MAX(IF(C$2:C$74=C112,BP$2:BP$74))</f>
        <v>-1.79769313486232E+308</v>
      </c>
      <c r="DC112" s="16" t="e">
        <f aca="false">AVERAGEIF(MatchData[team],MatchData[[#this row],[team]],MatchData[total score])</f>
        <v>#VALUE!</v>
      </c>
      <c r="DD112" s="16" t="e">
        <f aca="false">ROUND(AVERAGEIF(MatchData[team],MatchData[team],MatchData[climb or challenge flag]),2)</f>
        <v>#VALUE!</v>
      </c>
    </row>
    <row r="113" customFormat="false" ht="14.5" hidden="false" customHeight="false" outlineLevel="0" collapsed="false">
      <c r="A113" s="13" t="s">
        <v>108</v>
      </c>
      <c r="B113" s="14" t="n">
        <v>19</v>
      </c>
      <c r="C113" s="15" t="n">
        <v>1425</v>
      </c>
      <c r="D113" s="5" t="s">
        <v>113</v>
      </c>
      <c r="E113" s="5" t="s">
        <v>125</v>
      </c>
      <c r="G113" s="16"/>
      <c r="I113" s="16" t="n">
        <v>7</v>
      </c>
      <c r="J113" s="5" t="n">
        <v>1</v>
      </c>
      <c r="K113" s="16" t="n">
        <v>1</v>
      </c>
      <c r="M113" s="5" t="n">
        <v>1</v>
      </c>
      <c r="N113" s="0"/>
      <c r="O113" s="5" t="n">
        <v>1</v>
      </c>
      <c r="P113" s="0"/>
      <c r="Q113" s="0"/>
      <c r="R113" s="5" t="n">
        <v>1</v>
      </c>
      <c r="S113" s="16"/>
      <c r="T113" s="0"/>
      <c r="U113" s="16"/>
      <c r="V113" s="16" t="n">
        <v>1</v>
      </c>
      <c r="W113" s="0"/>
      <c r="X113" s="0"/>
      <c r="AD113" s="16" t="n">
        <v>1</v>
      </c>
      <c r="AE113" s="5"/>
      <c r="AF113" s="16" t="n">
        <v>2</v>
      </c>
      <c r="AG113" s="16"/>
      <c r="AH113" s="16"/>
      <c r="AJ113" s="16"/>
      <c r="AL113" s="16"/>
      <c r="AN113" s="16"/>
      <c r="AP113" s="16"/>
      <c r="AR113" s="16"/>
      <c r="AT113" s="16"/>
      <c r="AU113" s="16"/>
      <c r="AV113" s="16"/>
      <c r="AW113" s="16" t="n">
        <v>1</v>
      </c>
      <c r="AX113" s="16"/>
      <c r="AY113" s="16"/>
      <c r="AZ113" s="16"/>
      <c r="BA113" s="5" t="n">
        <v>1</v>
      </c>
      <c r="BB113" s="16" t="n">
        <v>1</v>
      </c>
      <c r="BC113" s="16" t="e">
        <f aca="false">MatchData[cheval scored crossings]*5</f>
        <v>#VALUE!</v>
      </c>
      <c r="BD113" s="16" t="e">
        <f aca="false">MatchData[moat scored crosings]*5</f>
        <v>#VALUE!</v>
      </c>
      <c r="BE113" s="16" t="e">
        <f aca="false">MatchData[ramparts scored crossings]*5</f>
        <v>#VALUE!</v>
      </c>
      <c r="BF113" s="16" t="e">
        <f aca="false">MatchData[drawbridge scored crossings]*5</f>
        <v>#VALUE!</v>
      </c>
      <c r="BG113" s="16" t="e">
        <f aca="false">MatchData[sally port scored crossings]*5</f>
        <v>#VALUE!</v>
      </c>
      <c r="BH113" s="16" t="e">
        <f aca="false">MatchData[rock wall scored crossings]*5</f>
        <v>#VALUE!</v>
      </c>
      <c r="BI113" s="16" t="e">
        <f aca="false">MatchData[rough terrain scored crossings]*5</f>
        <v>#VALUE!</v>
      </c>
      <c r="BJ113" s="16" t="e">
        <f aca="false">MatchData[low bar scored crossings]*5</f>
        <v>#VALUE!</v>
      </c>
      <c r="BK113" s="16" t="e">
        <f aca="false">SUM(MatchData[[#this row],[low bar teleop crossings]:[rough terrain scored crossings]])</f>
        <v>#VALUE!</v>
      </c>
      <c r="BL113" s="16" t="e">
        <f aca="false">IFERROR(IF(OR(MatchData[[#this row],[challenge flag]],MatchData[[#this row],[climb flag]]),1,0),0)</f>
        <v>#VALUE!</v>
      </c>
      <c r="BM113" s="16" t="e">
        <f aca="false">MatchData[auto high goals]*10+MatchData[teleop high goals]*5</f>
        <v>#VALUE!</v>
      </c>
      <c r="BN113" s="16" t="e">
        <f aca="false">MatchData[auto low goals]*5+MatchData[teleop low goals]*2</f>
        <v>#VALUE!</v>
      </c>
      <c r="BO113" s="16" t="e">
        <f aca="false">MatchData[high goal score]+MatchData[low goal score]</f>
        <v>#VALUE!</v>
      </c>
      <c r="BP113" s="16" t="e">
        <f aca="false">MatchData[teleop high goals]+MatchData[teleop low goals]</f>
        <v>#VALUE!</v>
      </c>
      <c r="BQ113" s="16" t="e">
        <f aca="false">MatchData[[#this row],[auto reach flag]]*2+SUM(MatchData[[#this row],[portcullis auto crossings]:[low bar auto crossings]])*10+MatchData[[#this row],[auto low goals]]*5+MatchData[auto high goals]*10</f>
        <v>#VALUE!</v>
      </c>
      <c r="BR113" s="16" t="e">
        <f aca="false">SUM(MatchData[[#this row],[cheval teleop crossing score]:[low bar teleop crossing score]])</f>
        <v>#VALUE!</v>
      </c>
      <c r="BS113" s="16" t="e">
        <f aca="false">SUMIF(MatchData[team],MatchData[[#this row],[team]],MatchData[total auto score])/MatchData[match count]</f>
        <v>#VALUE!</v>
      </c>
      <c r="BT113" s="16" t="e">
        <f aca="false">MatchData[challenge flag]*5</f>
        <v>#VALUE!</v>
      </c>
      <c r="BU113" s="16" t="e">
        <f aca="false">MatchData[climb flag]*15</f>
        <v>#VALUE!</v>
      </c>
      <c r="BV113" s="16" t="e">
        <f aca="false">SUM(MatchData[[#this row],[total goal score]],MatchData[[#this row],[crossing score]],MatchData[[#this row],[challenge score]],MatchData[[#this row],[climb score]],MatchData[[#this row],[total auto score]])</f>
        <v>#VALUE!</v>
      </c>
      <c r="BW113" s="16" t="e">
        <f aca="false">ROUND(SUMIF(MatchData[team],MatchData[[#this row],[team]],MatchData[teleop low goals])/COUNTIF(MatchData[team],MatchData[[#this row],[team]]),2)</f>
        <v>#VALUE!</v>
      </c>
      <c r="BX113" s="16" t="e">
        <f aca="false">ROUND(SUMIF(MatchData[team],MatchData[[#this row],[team]],MatchData[teleop high goals])/COUNTIF(MatchData[team],MatchData[[#this row],[team]]),2)</f>
        <v>#VALUE!</v>
      </c>
      <c r="BY113" s="16" t="e">
        <f aca="false">COUNTIF(MatchData[team],MatchData[[#this row],[team]])</f>
        <v>#VALUE!</v>
      </c>
      <c r="BZ113" s="16" t="e">
        <f aca="false">SUMIF(MatchData[team],MatchData[[#this row],[team]],MatchData[portcullis available])</f>
        <v>#VALUE!</v>
      </c>
      <c r="CA113" s="16" t="e">
        <f aca="false">SUMIF(MatchData[team],MatchData[[#this row],[team]],MatchData[cheval available])</f>
        <v>#VALUE!</v>
      </c>
      <c r="CB113" s="16" t="e">
        <f aca="false">SUMIF(MatchData[team],MatchData[[#this row],[team]],MatchData[moat available])</f>
        <v>#VALUE!</v>
      </c>
      <c r="CC113" s="16" t="e">
        <f aca="false">SUMIF(MatchData[team],MatchData[[#this row],[team]],MatchData[ramparts available])</f>
        <v>#VALUE!</v>
      </c>
      <c r="CD113" s="16" t="e">
        <f aca="false">SUMIF(MatchData[team],MatchData[[#this row],[team]],MatchData[drawbridge available])</f>
        <v>#VALUE!</v>
      </c>
      <c r="CE113" s="16" t="e">
        <f aca="false">SUMIF(MatchData[team],MatchData[[#this row],[team]],MatchData[sally port available])</f>
        <v>#VALUE!</v>
      </c>
      <c r="CF113" s="16" t="e">
        <f aca="false">SUMIF(MatchData[team],MatchData[[#this row],[team]],MatchData[rock wall available])</f>
        <v>#VALUE!</v>
      </c>
      <c r="CG113" s="16" t="e">
        <f aca="false">SUMIF(MatchData[team],MatchData[[#this row],[team]],MatchData[rough terrain available])</f>
        <v>#VALUE!</v>
      </c>
      <c r="CH113" s="16" t="e">
        <f aca="false">SUMIF(MatchData[team],MatchData[[#this row],[team]],MatchData[low bar available])</f>
        <v>#VALUE!</v>
      </c>
      <c r="CI113" s="16" t="e">
        <f aca="false">SUMIF(MatchData[team],MatchData[[#this row],[team]],MatchData[portcullis teleop crossings]) + SUMIF(MatchData[team],MatchData[[#this row],[team]],MatchData[portcullis scored crossings])</f>
        <v>#VALUE!</v>
      </c>
      <c r="CJ113" s="16" t="e">
        <f aca="false">SUMIF(MatchData[team],MatchData[[#this row],[team]],MatchData[cheval teleop crossings])+SUMIF(MatchData[team],MatchData[[#this row],[team]],MatchData[cheval scored crossings])</f>
        <v>#VALUE!</v>
      </c>
      <c r="CK113" s="16" t="e">
        <f aca="false">SUMIF(MatchData[team],MatchData[[#this row],[team]],MatchData[moat teleop crossings])+SUMIF(MatchData[team],MatchData[[#this row],[team]],MatchData[moat scored crosings])</f>
        <v>#VALUE!</v>
      </c>
      <c r="CL113" s="16" t="e">
        <f aca="false">SUMIF(MatchData[team],MatchData[[#this row],[team]],MatchData[ramparts teleop crossings])+SUMIF(MatchData[team],MatchData[[#this row],[team]],MatchData[ramparts scored crossings])</f>
        <v>#VALUE!</v>
      </c>
      <c r="CM113" s="16" t="e">
        <f aca="false">SUMIF(MatchData[team],MatchData[[#this row],[team]],MatchData[drawbridge teleop crossings])+SUMIF(MatchData[team],MatchData[[#this row],[team]],MatchData[drawbridge scored crossings])</f>
        <v>#VALUE!</v>
      </c>
      <c r="CN113" s="16" t="e">
        <f aca="false">SUMIF(MatchData[team],MatchData[[#this row],[team]],MatchData[sally port teleop crossings])+SUMIF(MatchData[team],MatchData[[#this row],[team]],MatchData[sally port scored crossings])</f>
        <v>#VALUE!</v>
      </c>
      <c r="CO113" s="16" t="e">
        <f aca="false">SUMIF(MatchData[team],MatchData[[#this row],[team]],MatchData[rock wall teleop crossings])+SUMIF(MatchData[team],MatchData[[#this row],[team]],MatchData[rock wall scored crossings])</f>
        <v>#VALUE!</v>
      </c>
      <c r="CP113" s="16" t="e">
        <f aca="false">SUMIF(MatchData[team],MatchData[[#this row],[team]],MatchData[rough terrain teleop crossings])+SUMIF(MatchData[team],MatchData[[#this row],[team]],MatchData[rough terrain scored crossings])</f>
        <v>#VALUE!</v>
      </c>
      <c r="CQ113" s="16" t="e">
        <f aca="false">SUMIF(MatchData[team],MatchData[[#this row],[team]],MatchData[low bar teleop crossings])+SUMIF(MatchData[team],MatchData[[#this row],[team]],MatchData[low bar scored crossings])</f>
        <v>#VALUE!</v>
      </c>
      <c r="CR113" s="16" t="e">
        <f aca="false">IFERROR(ROUND(MatchData[[#this row],[portcullis sum]]/MatchData[[#this row],[portcullis avail count]],2),0)</f>
        <v>#VALUE!</v>
      </c>
      <c r="CS113" s="16" t="e">
        <f aca="false">IFERROR(ROUND(MatchData[[#this row],[cheval sum]]/MatchData[[#this row],[cheval avail count]],2),0)</f>
        <v>#VALUE!</v>
      </c>
      <c r="CT113" s="16" t="e">
        <f aca="false">IFERROR(ROUND(MatchData[[#this row],[moat sum]]/MatchData[[#this row],[moat avail count]],2),0)</f>
        <v>#VALUE!</v>
      </c>
      <c r="CU113" s="16" t="e">
        <f aca="false">IFERROR(ROUND(MatchData[[#this row],[ramparts sum]]/MatchData[[#this row],[ramparts avail count]],2),0)</f>
        <v>#VALUE!</v>
      </c>
      <c r="CV113" s="16" t="e">
        <f aca="false">IFERROR(ROUND(MatchData[[#this row],[drawbridge sum]]/MatchData[[#this row],[drawbridge avail countigh6]],2),0)</f>
        <v>#VALUE!</v>
      </c>
      <c r="CW113" s="16" t="e">
        <f aca="false">IFERROR(ROUND(MatchData[[#this row],[sally port sum]]/MatchData[[#this row],[sally port avail count]],2),0)</f>
        <v>#VALUE!</v>
      </c>
      <c r="CX113" s="5" t="e">
        <f aca="false">IFERROR(ROUND(MatchData[[#this row],[rock wall sum]]/MatchData[[#this row],[rock wall avail count]],2),0)</f>
        <v>#VALUE!</v>
      </c>
      <c r="CY113" s="5" t="e">
        <f aca="false">IFERROR(ROUND(MatchData[[#this row],[rough terrain sum]]/MatchData[[#this row],[rough terrain avail count]],2),0)</f>
        <v>#VALUE!</v>
      </c>
      <c r="CZ113" s="5" t="e">
        <f aca="false">IFERROR(ROUND(MatchData[[#this row],[low bar sum]]/MatchData[[#this row],[low bar avail count]],2),0)</f>
        <v>#VALUE!</v>
      </c>
      <c r="DA113" s="16" t="e">
        <f aca="false">SUM(MatchData[[#this row],[cheval sum]:[low bar sum]])/MatchData[match count]</f>
        <v>#VALUE!</v>
      </c>
      <c r="DB113" s="16" t="n">
        <f aca="false">MAX(IF(C$2:C$74=C113,BP$2:BP$74))</f>
        <v>-1.79769313486232E+308</v>
      </c>
      <c r="DC113" s="16" t="e">
        <f aca="false">AVERAGEIF(MatchData[team],MatchData[[#this row],[team]],MatchData[total score])</f>
        <v>#VALUE!</v>
      </c>
      <c r="DD113" s="16" t="e">
        <f aca="false">ROUND(AVERAGEIF(MatchData[team],MatchData[team],MatchData[climb or challenge flag]),2)</f>
        <v>#VALUE!</v>
      </c>
    </row>
    <row r="114" customFormat="false" ht="14.5" hidden="false" customHeight="false" outlineLevel="0" collapsed="false">
      <c r="A114" s="17" t="s">
        <v>108</v>
      </c>
      <c r="B114" s="18" t="n">
        <v>19</v>
      </c>
      <c r="C114" s="15" t="n">
        <v>4043</v>
      </c>
      <c r="D114" s="5" t="s">
        <v>113</v>
      </c>
      <c r="E114" s="5" t="s">
        <v>127</v>
      </c>
      <c r="G114" s="16"/>
      <c r="I114" s="16" t="n">
        <v>2</v>
      </c>
      <c r="J114" s="5" t="n">
        <v>1</v>
      </c>
      <c r="K114" s="16" t="n">
        <v>1</v>
      </c>
      <c r="M114" s="5" t="n">
        <v>1</v>
      </c>
      <c r="N114" s="0"/>
      <c r="O114" s="5" t="n">
        <v>1</v>
      </c>
      <c r="P114" s="0"/>
      <c r="Q114" s="0"/>
      <c r="R114" s="5" t="n">
        <v>1</v>
      </c>
      <c r="S114" s="16"/>
      <c r="T114" s="0"/>
      <c r="U114" s="16"/>
      <c r="V114" s="16"/>
      <c r="W114" s="0"/>
      <c r="X114" s="0"/>
      <c r="AB114" s="5" t="n">
        <v>1</v>
      </c>
      <c r="AD114" s="16"/>
      <c r="AE114" s="5"/>
      <c r="AF114" s="16"/>
      <c r="AG114" s="16"/>
      <c r="AH114" s="16"/>
      <c r="AJ114" s="16"/>
      <c r="AL114" s="16"/>
      <c r="AN114" s="16"/>
      <c r="AP114" s="16"/>
      <c r="AR114" s="16"/>
      <c r="AT114" s="16" t="n">
        <v>1</v>
      </c>
      <c r="AU114" s="16"/>
      <c r="AV114" s="16"/>
      <c r="AW114" s="16" t="n">
        <v>1</v>
      </c>
      <c r="AX114" s="16"/>
      <c r="AY114" s="16"/>
      <c r="AZ114" s="16"/>
      <c r="BA114" s="5" t="n">
        <v>1</v>
      </c>
      <c r="BB114" s="16" t="n">
        <v>1</v>
      </c>
      <c r="BC114" s="16" t="e">
        <f aca="false">MatchData[cheval scored crossings]*5</f>
        <v>#VALUE!</v>
      </c>
      <c r="BD114" s="16" t="e">
        <f aca="false">MatchData[moat scored crosings]*5</f>
        <v>#VALUE!</v>
      </c>
      <c r="BE114" s="16" t="e">
        <f aca="false">MatchData[ramparts scored crossings]*5</f>
        <v>#VALUE!</v>
      </c>
      <c r="BF114" s="16" t="e">
        <f aca="false">MatchData[drawbridge scored crossings]*5</f>
        <v>#VALUE!</v>
      </c>
      <c r="BG114" s="16" t="e">
        <f aca="false">MatchData[sally port scored crossings]*5</f>
        <v>#VALUE!</v>
      </c>
      <c r="BH114" s="16" t="e">
        <f aca="false">MatchData[rock wall scored crossings]*5</f>
        <v>#VALUE!</v>
      </c>
      <c r="BI114" s="16" t="e">
        <f aca="false">MatchData[rough terrain scored crossings]*5</f>
        <v>#VALUE!</v>
      </c>
      <c r="BJ114" s="16" t="e">
        <f aca="false">MatchData[low bar scored crossings]*5</f>
        <v>#VALUE!</v>
      </c>
      <c r="BK114" s="16" t="e">
        <f aca="false">SUM(MatchData[[#this row],[low bar teleop crossings]:[rough terrain scored crossings]])</f>
        <v>#VALUE!</v>
      </c>
      <c r="BL114" s="16" t="e">
        <f aca="false">IFERROR(IF(OR(MatchData[[#this row],[challenge flag]],MatchData[[#this row],[climb flag]]),1,0),0)</f>
        <v>#VALUE!</v>
      </c>
      <c r="BM114" s="16" t="e">
        <f aca="false">MatchData[auto high goals]*10+MatchData[teleop high goals]*5</f>
        <v>#VALUE!</v>
      </c>
      <c r="BN114" s="16" t="e">
        <f aca="false">MatchData[auto low goals]*5+MatchData[teleop low goals]*2</f>
        <v>#VALUE!</v>
      </c>
      <c r="BO114" s="16" t="e">
        <f aca="false">MatchData[high goal score]+MatchData[low goal score]</f>
        <v>#VALUE!</v>
      </c>
      <c r="BP114" s="16" t="e">
        <f aca="false">MatchData[teleop high goals]+MatchData[teleop low goals]</f>
        <v>#VALUE!</v>
      </c>
      <c r="BQ114" s="16" t="e">
        <f aca="false">MatchData[[#this row],[auto reach flag]]*2+SUM(MatchData[[#this row],[portcullis auto crossings]:[low bar auto crossings]])*10+MatchData[[#this row],[auto low goals]]*5+MatchData[auto high goals]*10</f>
        <v>#VALUE!</v>
      </c>
      <c r="BR114" s="16" t="e">
        <f aca="false">SUM(MatchData[[#this row],[cheval teleop crossing score]:[low bar teleop crossing score]])</f>
        <v>#VALUE!</v>
      </c>
      <c r="BS114" s="16" t="e">
        <f aca="false">SUMIF(MatchData[team],MatchData[[#this row],[team]],MatchData[total auto score])/MatchData[match count]</f>
        <v>#VALUE!</v>
      </c>
      <c r="BT114" s="16" t="e">
        <f aca="false">MatchData[challenge flag]*5</f>
        <v>#VALUE!</v>
      </c>
      <c r="BU114" s="16" t="e">
        <f aca="false">MatchData[climb flag]*15</f>
        <v>#VALUE!</v>
      </c>
      <c r="BV114" s="16" t="e">
        <f aca="false">SUM(MatchData[[#this row],[total goal score]],MatchData[[#this row],[crossing score]],MatchData[[#this row],[challenge score]],MatchData[[#this row],[climb score]],MatchData[[#this row],[total auto score]])</f>
        <v>#VALUE!</v>
      </c>
      <c r="BW114" s="16" t="e">
        <f aca="false">ROUND(SUMIF(MatchData[team],MatchData[[#this row],[team]],MatchData[teleop low goals])/COUNTIF(MatchData[team],MatchData[[#this row],[team]]),2)</f>
        <v>#VALUE!</v>
      </c>
      <c r="BX114" s="16" t="e">
        <f aca="false">ROUND(SUMIF(MatchData[team],MatchData[[#this row],[team]],MatchData[teleop high goals])/COUNTIF(MatchData[team],MatchData[[#this row],[team]]),2)</f>
        <v>#VALUE!</v>
      </c>
      <c r="BY114" s="16" t="e">
        <f aca="false">COUNTIF(MatchData[team],MatchData[[#this row],[team]])</f>
        <v>#VALUE!</v>
      </c>
      <c r="BZ114" s="16" t="e">
        <f aca="false">SUMIF(MatchData[team],MatchData[[#this row],[team]],MatchData[portcullis available])</f>
        <v>#VALUE!</v>
      </c>
      <c r="CA114" s="16" t="e">
        <f aca="false">SUMIF(MatchData[team],MatchData[[#this row],[team]],MatchData[cheval available])</f>
        <v>#VALUE!</v>
      </c>
      <c r="CB114" s="16" t="e">
        <f aca="false">SUMIF(MatchData[team],MatchData[[#this row],[team]],MatchData[moat available])</f>
        <v>#VALUE!</v>
      </c>
      <c r="CC114" s="16" t="e">
        <f aca="false">SUMIF(MatchData[team],MatchData[[#this row],[team]],MatchData[ramparts available])</f>
        <v>#VALUE!</v>
      </c>
      <c r="CD114" s="16" t="e">
        <f aca="false">SUMIF(MatchData[team],MatchData[[#this row],[team]],MatchData[drawbridge available])</f>
        <v>#VALUE!</v>
      </c>
      <c r="CE114" s="16" t="e">
        <f aca="false">SUMIF(MatchData[team],MatchData[[#this row],[team]],MatchData[sally port available])</f>
        <v>#VALUE!</v>
      </c>
      <c r="CF114" s="16" t="e">
        <f aca="false">SUMIF(MatchData[team],MatchData[[#this row],[team]],MatchData[rock wall available])</f>
        <v>#VALUE!</v>
      </c>
      <c r="CG114" s="16" t="e">
        <f aca="false">SUMIF(MatchData[team],MatchData[[#this row],[team]],MatchData[rough terrain available])</f>
        <v>#VALUE!</v>
      </c>
      <c r="CH114" s="16" t="e">
        <f aca="false">SUMIF(MatchData[team],MatchData[[#this row],[team]],MatchData[low bar available])</f>
        <v>#VALUE!</v>
      </c>
      <c r="CI114" s="16" t="e">
        <f aca="false">SUMIF(MatchData[team],MatchData[[#this row],[team]],MatchData[portcullis teleop crossings]:MatchData[portcullis scored crossings])</f>
        <v>#VALUE!</v>
      </c>
      <c r="CJ114" s="16" t="e">
        <f aca="false">SUMIF(MatchData[team],MatchData[[#this row],[team]],MatchData[cheval teleop crossings])+SUMIF(MatchData[team],MatchData[[#this row],[team]],MatchData[cheval scored crossings])</f>
        <v>#VALUE!</v>
      </c>
      <c r="CK114" s="16" t="e">
        <f aca="false">SUMIF(MatchData[team],MatchData[[#this row],[team]],MatchData[moat teleop crossings])+SUMIF(MatchData[team],MatchData[[#this row],[team]],MatchData[moat scored crosings])</f>
        <v>#VALUE!</v>
      </c>
      <c r="CL114" s="16" t="e">
        <f aca="false">SUMIF(MatchData[team],MatchData[[#this row],[team]],MatchData[ramparts teleop crossings])+SUMIF(MatchData[team],MatchData[[#this row],[team]],MatchData[ramparts scored crossings])</f>
        <v>#VALUE!</v>
      </c>
      <c r="CM114" s="16" t="e">
        <f aca="false">SUMIF(MatchData[team],MatchData[[#this row],[team]],MatchData[drawbridge teleop crossings])+SUMIF(MatchData[team],MatchData[[#this row],[team]],MatchData[drawbridge scored crossings])</f>
        <v>#VALUE!</v>
      </c>
      <c r="CN114" s="16" t="e">
        <f aca="false">SUMIF(MatchData[team],MatchData[[#this row],[team]],MatchData[sally port teleop crossings])+SUMIF(MatchData[team],MatchData[[#this row],[team]],MatchData[sally port scored crossings])</f>
        <v>#VALUE!</v>
      </c>
      <c r="CO114" s="16" t="e">
        <f aca="false">SUMIF(MatchData[team],MatchData[[#this row],[team]],MatchData[rock wall teleop crossings])+SUMIF(MatchData[team],MatchData[[#this row],[team]],MatchData[rock wall scored crossings])</f>
        <v>#VALUE!</v>
      </c>
      <c r="CP114" s="16" t="e">
        <f aca="false">SUMIF(MatchData[team],MatchData[[#this row],[team]],MatchData[rough terrain teleop crossings])+SUMIF(MatchData[team],MatchData[[#this row],[team]],MatchData[rough terrain scored crossings])</f>
        <v>#VALUE!</v>
      </c>
      <c r="CQ114" s="16" t="e">
        <f aca="false">SUMIF(MatchData[team],MatchData[[#this row],[team]],MatchData[low bar teleop crossings])+SUMIF(MatchData[team],MatchData[[#this row],[team]],MatchData[low bar scored crossings])</f>
        <v>#VALUE!</v>
      </c>
      <c r="CR114" s="16" t="e">
        <f aca="false">IFERROR(ROUND(MatchData[[#this row],[portcullis sum]]/MatchData[[#this row],[portcullis avail count]],2),0)</f>
        <v>#VALUE!</v>
      </c>
      <c r="CS114" s="16" t="e">
        <f aca="false">IFERROR(ROUND(MatchData[[#this row],[cheval sum]]/MatchData[[#this row],[cheval avail count]],2),0)</f>
        <v>#VALUE!</v>
      </c>
      <c r="CT114" s="16" t="e">
        <f aca="false">IFERROR(ROUND(MatchData[[#this row],[moat sum]]/MatchData[[#this row],[moat avail count]],2),0)</f>
        <v>#VALUE!</v>
      </c>
      <c r="CU114" s="16" t="e">
        <f aca="false">IFERROR(ROUND(MatchData[[#this row],[ramparts sum]]/MatchData[[#this row],[ramparts avail count]],2),0)</f>
        <v>#VALUE!</v>
      </c>
      <c r="CV114" s="16" t="e">
        <f aca="false">IFERROR(ROUND(MatchData[[#this row],[drawbridge sum]]/MatchData[[#this row],[drawbridge avail countigh6]],2),0)</f>
        <v>#VALUE!</v>
      </c>
      <c r="CW114" s="16" t="e">
        <f aca="false">IFERROR(ROUND(MatchData[[#this row],[sally port sum]]/MatchData[[#this row],[sally port avail count]],2),0)</f>
        <v>#VALUE!</v>
      </c>
      <c r="CX114" s="5" t="e">
        <f aca="false">IFERROR(ROUND(MatchData[[#this row],[rock wall sum]]/MatchData[[#this row],[rock wall avail count]],2),0)</f>
        <v>#VALUE!</v>
      </c>
      <c r="CY114" s="5" t="e">
        <f aca="false">IFERROR(ROUND(MatchData[[#this row],[rough terrain sum]]/MatchData[[#this row],[rough terrain avail count]],2),0)</f>
        <v>#VALUE!</v>
      </c>
      <c r="CZ114" s="5" t="e">
        <f aca="false">IFERROR(ROUND(MatchData[[#this row],[low bar sum]]/MatchData[[#this row],[low bar avail count]],2),0)</f>
        <v>#VALUE!</v>
      </c>
      <c r="DA114" s="16" t="e">
        <f aca="false">SUM(MatchData[[#this row],[cheval sum]:[low bar sum]])/MatchData[match count]</f>
        <v>#VALUE!</v>
      </c>
      <c r="DB114" s="16" t="n">
        <f aca="false">MAX(IF(C$2:C$74=C114,BP$2:BP$74))</f>
        <v>-1.79769313486232E+308</v>
      </c>
      <c r="DC114" s="16" t="e">
        <f aca="false">AVERAGEIF(MatchData[team],MatchData[[#this row],[team]],MatchData[total score])</f>
        <v>#VALUE!</v>
      </c>
      <c r="DD114" s="16" t="e">
        <f aca="false">ROUND(AVERAGEIF(MatchData[team],MatchData[team],MatchData[climb or challenge flag]),2)</f>
        <v>#VALUE!</v>
      </c>
    </row>
    <row r="115" customFormat="false" ht="14.5" hidden="false" customHeight="false" outlineLevel="0" collapsed="false">
      <c r="A115" s="17" t="s">
        <v>108</v>
      </c>
      <c r="B115" s="18" t="n">
        <v>19</v>
      </c>
      <c r="C115" s="15" t="n">
        <v>4110</v>
      </c>
      <c r="D115" s="5" t="s">
        <v>113</v>
      </c>
      <c r="E115" s="5" t="s">
        <v>132</v>
      </c>
      <c r="G115" s="16"/>
      <c r="I115" s="16"/>
      <c r="J115" s="5" t="n">
        <v>1</v>
      </c>
      <c r="K115" s="16" t="n">
        <v>1</v>
      </c>
      <c r="M115" s="5" t="n">
        <v>1</v>
      </c>
      <c r="N115" s="0"/>
      <c r="O115" s="5" t="n">
        <v>1</v>
      </c>
      <c r="P115" s="0"/>
      <c r="Q115" s="0"/>
      <c r="R115" s="5" t="n">
        <v>1</v>
      </c>
      <c r="S115" s="16"/>
      <c r="T115" s="0"/>
      <c r="U115" s="16"/>
      <c r="V115" s="16"/>
      <c r="W115" s="0"/>
      <c r="X115" s="0"/>
      <c r="AD115" s="16"/>
      <c r="AE115" s="5"/>
      <c r="AF115" s="16"/>
      <c r="AG115" s="16"/>
      <c r="AH115" s="16"/>
      <c r="AJ115" s="16" t="n">
        <v>1</v>
      </c>
      <c r="AL115" s="16"/>
      <c r="AN115" s="16"/>
      <c r="AP115" s="16"/>
      <c r="AR115" s="16"/>
      <c r="AT115" s="16" t="n">
        <v>2</v>
      </c>
      <c r="AU115" s="16"/>
      <c r="AV115" s="16"/>
      <c r="AW115" s="16" t="n">
        <v>1</v>
      </c>
      <c r="AX115" s="16"/>
      <c r="AY115" s="16"/>
      <c r="AZ115" s="16"/>
      <c r="BA115" s="5" t="n">
        <v>1</v>
      </c>
      <c r="BB115" s="16" t="n">
        <v>1</v>
      </c>
      <c r="BC115" s="16" t="e">
        <f aca="false">MatchData[cheval scored crossings]*5</f>
        <v>#VALUE!</v>
      </c>
      <c r="BD115" s="16" t="e">
        <f aca="false">MatchData[moat scored crosings]*5</f>
        <v>#VALUE!</v>
      </c>
      <c r="BE115" s="16" t="e">
        <f aca="false">MatchData[ramparts scored crossings]*5</f>
        <v>#VALUE!</v>
      </c>
      <c r="BF115" s="16" t="e">
        <f aca="false">MatchData[drawbridge scored crossings]*5</f>
        <v>#VALUE!</v>
      </c>
      <c r="BG115" s="16" t="e">
        <f aca="false">MatchData[sally port scored crossings]*5</f>
        <v>#VALUE!</v>
      </c>
      <c r="BH115" s="16" t="e">
        <f aca="false">MatchData[rock wall scored crossings]*5</f>
        <v>#VALUE!</v>
      </c>
      <c r="BI115" s="16" t="e">
        <f aca="false">MatchData[rough terrain scored crossings]*5</f>
        <v>#VALUE!</v>
      </c>
      <c r="BJ115" s="16" t="e">
        <f aca="false">MatchData[low bar scored crossings]*5</f>
        <v>#VALUE!</v>
      </c>
      <c r="BK115" s="16" t="e">
        <f aca="false">SUM(MatchData[[#this row],[low bar teleop crossings]:[rough terrain scored crossings]])</f>
        <v>#VALUE!</v>
      </c>
      <c r="BL115" s="16" t="e">
        <f aca="false">IFERROR(IF(OR(MatchData[[#this row],[challenge flag]],MatchData[[#this row],[climb flag]]),1,0),0)</f>
        <v>#VALUE!</v>
      </c>
      <c r="BM115" s="16" t="e">
        <f aca="false">MatchData[auto high goals]*10+MatchData[teleop high goals]*5</f>
        <v>#VALUE!</v>
      </c>
      <c r="BN115" s="16" t="e">
        <f aca="false">MatchData[auto low goals]*5+MatchData[teleop low goals]*2</f>
        <v>#VALUE!</v>
      </c>
      <c r="BO115" s="16" t="e">
        <f aca="false">MatchData[high goal score]+MatchData[low goal score]</f>
        <v>#VALUE!</v>
      </c>
      <c r="BP115" s="16" t="e">
        <f aca="false">MatchData[teleop high goals]+MatchData[teleop low goals]</f>
        <v>#VALUE!</v>
      </c>
      <c r="BQ115" s="16" t="e">
        <f aca="false">MatchData[[#this row],[auto reach flag]]*2+SUM(MatchData[[#this row],[portcullis auto crossings]:[low bar auto crossings]])*10+MatchData[[#this row],[auto low goals]]*5+MatchData[auto high goals]*10</f>
        <v>#VALUE!</v>
      </c>
      <c r="BR115" s="16" t="e">
        <f aca="false">SUM(MatchData[[#this row],[cheval teleop crossing score]:[low bar teleop crossing score]])</f>
        <v>#VALUE!</v>
      </c>
      <c r="BS115" s="16" t="e">
        <f aca="false">SUMIF(MatchData[team],MatchData[[#this row],[team]],MatchData[total auto score])/MatchData[match count]</f>
        <v>#VALUE!</v>
      </c>
      <c r="BT115" s="16" t="e">
        <f aca="false">MatchData[challenge flag]*5</f>
        <v>#VALUE!</v>
      </c>
      <c r="BU115" s="16" t="e">
        <f aca="false">MatchData[climb flag]*15</f>
        <v>#VALUE!</v>
      </c>
      <c r="BV115" s="16" t="e">
        <f aca="false">SUM(MatchData[[#this row],[total goal score]],MatchData[[#this row],[crossing score]],MatchData[[#this row],[challenge score]],MatchData[[#this row],[climb score]],MatchData[[#this row],[total auto score]])</f>
        <v>#VALUE!</v>
      </c>
      <c r="BW115" s="16" t="e">
        <f aca="false">ROUND(SUMIF(MatchData[team],MatchData[[#this row],[team]],MatchData[teleop low goals])/COUNTIF(MatchData[team],MatchData[[#this row],[team]]),2)</f>
        <v>#VALUE!</v>
      </c>
      <c r="BX115" s="16" t="e">
        <f aca="false">ROUND(SUMIF(MatchData[team],MatchData[[#this row],[team]],MatchData[teleop high goals])/COUNTIF(MatchData[team],MatchData[[#this row],[team]]),2)</f>
        <v>#VALUE!</v>
      </c>
      <c r="BY115" s="16" t="e">
        <f aca="false">COUNTIF(MatchData[team],MatchData[[#this row],[team]])</f>
        <v>#VALUE!</v>
      </c>
      <c r="BZ115" s="16" t="e">
        <f aca="false">SUMIF(MatchData[team],MatchData[[#this row],[team]],MatchData[portcullis available])</f>
        <v>#VALUE!</v>
      </c>
      <c r="CA115" s="16" t="e">
        <f aca="false">SUMIF(MatchData[team],MatchData[[#this row],[team]],MatchData[cheval available])</f>
        <v>#VALUE!</v>
      </c>
      <c r="CB115" s="16" t="e">
        <f aca="false">SUMIF(MatchData[team],MatchData[[#this row],[team]],MatchData[moat available])</f>
        <v>#VALUE!</v>
      </c>
      <c r="CC115" s="16" t="e">
        <f aca="false">SUMIF(MatchData[team],MatchData[[#this row],[team]],MatchData[ramparts available])</f>
        <v>#VALUE!</v>
      </c>
      <c r="CD115" s="16" t="e">
        <f aca="false">SUMIF(MatchData[team],MatchData[[#this row],[team]],MatchData[drawbridge available])</f>
        <v>#VALUE!</v>
      </c>
      <c r="CE115" s="16" t="e">
        <f aca="false">SUMIF(MatchData[team],MatchData[[#this row],[team]],MatchData[sally port available])</f>
        <v>#VALUE!</v>
      </c>
      <c r="CF115" s="16" t="e">
        <f aca="false">SUMIF(MatchData[team],MatchData[[#this row],[team]],MatchData[rock wall available])</f>
        <v>#VALUE!</v>
      </c>
      <c r="CG115" s="16" t="e">
        <f aca="false">SUMIF(MatchData[team],MatchData[[#this row],[team]],MatchData[rough terrain available])</f>
        <v>#VALUE!</v>
      </c>
      <c r="CH115" s="16" t="e">
        <f aca="false">SUMIF(MatchData[team],MatchData[[#this row],[team]],MatchData[low bar available])</f>
        <v>#VALUE!</v>
      </c>
      <c r="CI115" s="16" t="e">
        <f aca="false">SUMIF(MatchData[team],MatchData[[#this row],[team]],MatchData[portcullis teleop crossings]:MatchData[portcullis scored crossings])</f>
        <v>#VALUE!</v>
      </c>
      <c r="CJ115" s="16" t="e">
        <f aca="false">SUMIF(MatchData[team],MatchData[[#this row],[team]],MatchData[cheval teleop crossings])+SUMIF(MatchData[team],MatchData[[#this row],[team]],MatchData[cheval scored crossings])</f>
        <v>#VALUE!</v>
      </c>
      <c r="CK115" s="16" t="e">
        <f aca="false">SUMIF(MatchData[team],MatchData[[#this row],[team]],MatchData[moat teleop crossings])+SUMIF(MatchData[team],MatchData[[#this row],[team]],MatchData[moat scored crosings])</f>
        <v>#VALUE!</v>
      </c>
      <c r="CL115" s="16" t="e">
        <f aca="false">SUMIF(MatchData[team],MatchData[[#this row],[team]],MatchData[ramparts teleop crossings])+SUMIF(MatchData[team],MatchData[[#this row],[team]],MatchData[ramparts scored crossings])</f>
        <v>#VALUE!</v>
      </c>
      <c r="CM115" s="16" t="e">
        <f aca="false">SUMIF(MatchData[team],MatchData[[#this row],[team]],MatchData[drawbridge teleop crossings])+SUMIF(MatchData[team],MatchData[[#this row],[team]],MatchData[drawbridge scored crossings])</f>
        <v>#VALUE!</v>
      </c>
      <c r="CN115" s="16" t="e">
        <f aca="false">SUMIF(MatchData[team],MatchData[[#this row],[team]],MatchData[sally port teleop crossings])+SUMIF(MatchData[team],MatchData[[#this row],[team]],MatchData[sally port scored crossings])</f>
        <v>#VALUE!</v>
      </c>
      <c r="CO115" s="16" t="e">
        <f aca="false">SUMIF(MatchData[team],MatchData[[#this row],[team]],MatchData[rock wall teleop crossings])+SUMIF(MatchData[team],MatchData[[#this row],[team]],MatchData[rock wall scored crossings])</f>
        <v>#VALUE!</v>
      </c>
      <c r="CP115" s="16" t="e">
        <f aca="false">SUMIF(MatchData[team],MatchData[[#this row],[team]],MatchData[rough terrain teleop crossings])+SUMIF(MatchData[team],MatchData[[#this row],[team]],MatchData[rough terrain scored crossings])</f>
        <v>#VALUE!</v>
      </c>
      <c r="CQ115" s="16" t="e">
        <f aca="false">SUMIF(MatchData[team],MatchData[[#this row],[team]],MatchData[low bar teleop crossings])+SUMIF(MatchData[team],MatchData[[#this row],[team]],MatchData[low bar scored crossings])</f>
        <v>#VALUE!</v>
      </c>
      <c r="CR115" s="16" t="e">
        <f aca="false">IFERROR(ROUND(MatchData[[#this row],[portcullis sum]]/MatchData[[#this row],[portcullis avail count]],2),0)</f>
        <v>#VALUE!</v>
      </c>
      <c r="CS115" s="16" t="e">
        <f aca="false">IFERROR(ROUND(MatchData[[#this row],[cheval sum]]/MatchData[[#this row],[cheval avail count]],2),0)</f>
        <v>#VALUE!</v>
      </c>
      <c r="CT115" s="16" t="e">
        <f aca="false">IFERROR(ROUND(MatchData[[#this row],[moat sum]]/MatchData[[#this row],[moat avail count]],2),0)</f>
        <v>#VALUE!</v>
      </c>
      <c r="CU115" s="16" t="e">
        <f aca="false">IFERROR(ROUND(MatchData[[#this row],[ramparts sum]]/MatchData[[#this row],[ramparts avail count]],2),0)</f>
        <v>#VALUE!</v>
      </c>
      <c r="CV115" s="16" t="e">
        <f aca="false">IFERROR(ROUND(MatchData[[#this row],[drawbridge sum]]/MatchData[[#this row],[drawbridge avail countigh6]],2),0)</f>
        <v>#VALUE!</v>
      </c>
      <c r="CW115" s="16" t="e">
        <f aca="false">IFERROR(ROUND(MatchData[[#this row],[sally port sum]]/MatchData[[#this row],[sally port avail count]],2),0)</f>
        <v>#VALUE!</v>
      </c>
      <c r="CX115" s="5" t="e">
        <f aca="false">IFERROR(ROUND(MatchData[[#this row],[rock wall sum]]/MatchData[[#this row],[rock wall avail count]],2),0)</f>
        <v>#VALUE!</v>
      </c>
      <c r="CY115" s="5" t="e">
        <f aca="false">IFERROR(ROUND(MatchData[[#this row],[rough terrain sum]]/MatchData[[#this row],[rough terrain avail count]],2),0)</f>
        <v>#VALUE!</v>
      </c>
      <c r="CZ115" s="5" t="e">
        <f aca="false">IFERROR(ROUND(MatchData[[#this row],[low bar sum]]/MatchData[[#this row],[low bar avail count]],2),0)</f>
        <v>#VALUE!</v>
      </c>
      <c r="DA115" s="16" t="e">
        <f aca="false">SUM(MatchData[[#this row],[cheval sum]:[low bar sum]])/MatchData[match count]</f>
        <v>#VALUE!</v>
      </c>
      <c r="DB115" s="16" t="n">
        <f aca="false">MAX(IF(C$2:C$74=C115,BP$2:BP$74))</f>
        <v>-1.79769313486232E+308</v>
      </c>
      <c r="DC115" s="16" t="e">
        <f aca="false">AVERAGEIF(MatchData[team],MatchData[[#this row],[team]],MatchData[total score])</f>
        <v>#VALUE!</v>
      </c>
      <c r="DD115" s="16" t="e">
        <f aca="false">ROUND(AVERAGEIF(MatchData[team],MatchData[team],MatchData[climb or challenge flag]),2)</f>
        <v>#VALUE!</v>
      </c>
    </row>
    <row r="116" customFormat="false" ht="14.5" hidden="false" customHeight="false" outlineLevel="0" collapsed="false">
      <c r="A116" s="13" t="s">
        <v>108</v>
      </c>
      <c r="B116" s="14" t="n">
        <v>20</v>
      </c>
      <c r="C116" s="15" t="n">
        <v>847</v>
      </c>
      <c r="D116" s="5" t="s">
        <v>109</v>
      </c>
      <c r="E116" s="5" t="s">
        <v>146</v>
      </c>
      <c r="G116" s="16"/>
      <c r="I116" s="16"/>
      <c r="J116" s="5" t="n">
        <v>1</v>
      </c>
      <c r="K116" s="16"/>
      <c r="L116" s="5" t="n">
        <v>1</v>
      </c>
      <c r="N116" s="5" t="n">
        <v>1</v>
      </c>
      <c r="O116" s="0"/>
      <c r="P116" s="5" t="n">
        <v>1</v>
      </c>
      <c r="Q116" s="0"/>
      <c r="R116" s="5" t="n">
        <v>1</v>
      </c>
      <c r="S116" s="16"/>
      <c r="T116" s="0"/>
      <c r="U116" s="16"/>
      <c r="V116" s="16"/>
      <c r="W116" s="0"/>
      <c r="X116" s="0"/>
      <c r="AD116" s="16"/>
      <c r="AE116" s="5"/>
      <c r="AF116" s="16"/>
      <c r="AG116" s="16"/>
      <c r="AH116" s="16"/>
      <c r="AJ116" s="16"/>
      <c r="AL116" s="16"/>
      <c r="AN116" s="16"/>
      <c r="AP116" s="16"/>
      <c r="AR116" s="16"/>
      <c r="AT116" s="16" t="n">
        <v>2</v>
      </c>
      <c r="AU116" s="16"/>
      <c r="AV116" s="16"/>
      <c r="AW116" s="16"/>
      <c r="AX116" s="16"/>
      <c r="AY116" s="16" t="n">
        <v>1</v>
      </c>
      <c r="AZ116" s="16"/>
      <c r="BB116" s="16"/>
      <c r="BC116" s="16" t="e">
        <f aca="false">MatchData[cheval scored crossings]*5</f>
        <v>#VALUE!</v>
      </c>
      <c r="BD116" s="16" t="e">
        <f aca="false">MatchData[moat scored crosings]*5</f>
        <v>#VALUE!</v>
      </c>
      <c r="BE116" s="16" t="e">
        <f aca="false">MatchData[ramparts scored crossings]*5</f>
        <v>#VALUE!</v>
      </c>
      <c r="BF116" s="16" t="e">
        <f aca="false">MatchData[drawbridge scored crossings]*5</f>
        <v>#VALUE!</v>
      </c>
      <c r="BG116" s="16" t="e">
        <f aca="false">MatchData[sally port scored crossings]*5</f>
        <v>#VALUE!</v>
      </c>
      <c r="BH116" s="16" t="e">
        <f aca="false">MatchData[rock wall scored crossings]*5</f>
        <v>#VALUE!</v>
      </c>
      <c r="BI116" s="16" t="e">
        <f aca="false">MatchData[rough terrain scored crossings]*5</f>
        <v>#VALUE!</v>
      </c>
      <c r="BJ116" s="16" t="e">
        <f aca="false">MatchData[low bar scored crossings]*5</f>
        <v>#VALUE!</v>
      </c>
      <c r="BK116" s="16" t="e">
        <f aca="false">SUM(MatchData[[#this row],[low bar teleop crossings]:[rough terrain scored crossings]])</f>
        <v>#VALUE!</v>
      </c>
      <c r="BL116" s="16" t="e">
        <f aca="false">IFERROR(IF(OR(MatchData[[#this row],[challenge flag]],MatchData[[#this row],[climb flag]]),1,0),0)</f>
        <v>#VALUE!</v>
      </c>
      <c r="BM116" s="16" t="e">
        <f aca="false">MatchData[auto high goals]*10+MatchData[teleop high goals]*5</f>
        <v>#VALUE!</v>
      </c>
      <c r="BN116" s="16" t="e">
        <f aca="false">MatchData[auto low goals]*5+MatchData[teleop low goals]*2</f>
        <v>#VALUE!</v>
      </c>
      <c r="BO116" s="16" t="e">
        <f aca="false">MatchData[high goal score]+MatchData[low goal score]</f>
        <v>#VALUE!</v>
      </c>
      <c r="BP116" s="16" t="e">
        <f aca="false">MatchData[teleop high goals]+MatchData[teleop low goals]</f>
        <v>#VALUE!</v>
      </c>
      <c r="BQ116" s="16" t="e">
        <f aca="false">MatchData[[#this row],[auto reach flag]]*2+SUM(MatchData[[#this row],[portcullis auto crossings]:[low bar auto crossings]])*10+MatchData[[#this row],[auto low goals]]*5+MatchData[auto high goals]*10</f>
        <v>#VALUE!</v>
      </c>
      <c r="BR116" s="16" t="e">
        <f aca="false">SUM(MatchData[[#this row],[cheval teleop crossing score]:[low bar teleop crossing score]])</f>
        <v>#VALUE!</v>
      </c>
      <c r="BS116" s="16" t="e">
        <f aca="false">SUMIF(MatchData[team],MatchData[[#this row],[team]],MatchData[total auto score])/MatchData[match count]</f>
        <v>#VALUE!</v>
      </c>
      <c r="BT116" s="16" t="e">
        <f aca="false">MatchData[challenge flag]*5</f>
        <v>#VALUE!</v>
      </c>
      <c r="BU116" s="16" t="e">
        <f aca="false">MatchData[climb flag]*15</f>
        <v>#VALUE!</v>
      </c>
      <c r="BV116" s="16" t="e">
        <f aca="false">SUM(MatchData[[#this row],[total goal score]],MatchData[[#this row],[crossing score]],MatchData[[#this row],[challenge score]],MatchData[[#this row],[climb score]],MatchData[[#this row],[total auto score]])</f>
        <v>#VALUE!</v>
      </c>
      <c r="BW116" s="16" t="e">
        <f aca="false">ROUND(SUMIF(MatchData[team],MatchData[[#this row],[team]],MatchData[teleop low goals])/COUNTIF(MatchData[team],MatchData[[#this row],[team]]),2)</f>
        <v>#VALUE!</v>
      </c>
      <c r="BX116" s="16" t="e">
        <f aca="false">ROUND(SUMIF(MatchData[team],MatchData[[#this row],[team]],MatchData[teleop high goals])/COUNTIF(MatchData[team],MatchData[[#this row],[team]]),2)</f>
        <v>#VALUE!</v>
      </c>
      <c r="BY116" s="16" t="e">
        <f aca="false">COUNTIF(MatchData[team],MatchData[[#this row],[team]])</f>
        <v>#VALUE!</v>
      </c>
      <c r="BZ116" s="16" t="e">
        <f aca="false">SUMIF(MatchData[team],MatchData[[#this row],[team]],MatchData[portcullis available])</f>
        <v>#VALUE!</v>
      </c>
      <c r="CA116" s="16" t="e">
        <f aca="false">SUMIF(MatchData[team],MatchData[[#this row],[team]],MatchData[cheval available])</f>
        <v>#VALUE!</v>
      </c>
      <c r="CB116" s="16" t="e">
        <f aca="false">SUMIF(MatchData[team],MatchData[[#this row],[team]],MatchData[moat available])</f>
        <v>#VALUE!</v>
      </c>
      <c r="CC116" s="16" t="e">
        <f aca="false">SUMIF(MatchData[team],MatchData[[#this row],[team]],MatchData[ramparts available])</f>
        <v>#VALUE!</v>
      </c>
      <c r="CD116" s="16" t="e">
        <f aca="false">SUMIF(MatchData[team],MatchData[[#this row],[team]],MatchData[drawbridge available])</f>
        <v>#VALUE!</v>
      </c>
      <c r="CE116" s="16" t="e">
        <f aca="false">SUMIF(MatchData[team],MatchData[[#this row],[team]],MatchData[sally port available])</f>
        <v>#VALUE!</v>
      </c>
      <c r="CF116" s="16" t="e">
        <f aca="false">SUMIF(MatchData[team],MatchData[[#this row],[team]],MatchData[rock wall available])</f>
        <v>#VALUE!</v>
      </c>
      <c r="CG116" s="16" t="e">
        <f aca="false">SUMIF(MatchData[team],MatchData[[#this row],[team]],MatchData[rough terrain available])</f>
        <v>#VALUE!</v>
      </c>
      <c r="CH116" s="16" t="e">
        <f aca="false">SUMIF(MatchData[team],MatchData[[#this row],[team]],MatchData[low bar available])</f>
        <v>#VALUE!</v>
      </c>
      <c r="CI116" s="16" t="e">
        <f aca="false">SUMIF(MatchData[team],MatchData[[#this row],[team]],MatchData[portcullis teleop crossings]:MatchData[portcullis scored crossings])</f>
        <v>#VALUE!</v>
      </c>
      <c r="CJ116" s="16" t="e">
        <f aca="false">SUMIF(MatchData[team],MatchData[[#this row],[team]],MatchData[cheval teleop crossings])+SUMIF(MatchData[team],MatchData[[#this row],[team]],MatchData[cheval scored crossings])</f>
        <v>#VALUE!</v>
      </c>
      <c r="CK116" s="16" t="e">
        <f aca="false">SUMIF(MatchData[team],MatchData[[#this row],[team]],MatchData[moat teleop crossings])+SUMIF(MatchData[team],MatchData[[#this row],[team]],MatchData[moat scored crosings])</f>
        <v>#VALUE!</v>
      </c>
      <c r="CL116" s="16" t="e">
        <f aca="false">SUMIF(MatchData[team],MatchData[[#this row],[team]],MatchData[ramparts teleop crossings])+SUMIF(MatchData[team],MatchData[[#this row],[team]],MatchData[ramparts scored crossings])</f>
        <v>#VALUE!</v>
      </c>
      <c r="CM116" s="16" t="e">
        <f aca="false">SUMIF(MatchData[team],MatchData[[#this row],[team]],MatchData[drawbridge teleop crossings])+SUMIF(MatchData[team],MatchData[[#this row],[team]],MatchData[drawbridge scored crossings])</f>
        <v>#VALUE!</v>
      </c>
      <c r="CN116" s="16" t="e">
        <f aca="false">SUMIF(MatchData[team],MatchData[[#this row],[team]],MatchData[sally port teleop crossings])+SUMIF(MatchData[team],MatchData[[#this row],[team]],MatchData[sally port scored crossings])</f>
        <v>#VALUE!</v>
      </c>
      <c r="CO116" s="16" t="e">
        <f aca="false">SUMIF(MatchData[team],MatchData[[#this row],[team]],MatchData[rock wall teleop crossings])+SUMIF(MatchData[team],MatchData[[#this row],[team]],MatchData[rock wall scored crossings])</f>
        <v>#VALUE!</v>
      </c>
      <c r="CP116" s="16" t="e">
        <f aca="false">SUMIF(MatchData[team],MatchData[[#this row],[team]],MatchData[rough terrain teleop crossings])+SUMIF(MatchData[team],MatchData[[#this row],[team]],MatchData[rough terrain scored crossings])</f>
        <v>#VALUE!</v>
      </c>
      <c r="CQ116" s="16" t="e">
        <f aca="false">SUMIF(MatchData[team],MatchData[[#this row],[team]],MatchData[low bar teleop crossings])+SUMIF(MatchData[team],MatchData[[#this row],[team]],MatchData[low bar scored crossings])</f>
        <v>#VALUE!</v>
      </c>
      <c r="CR116" s="16" t="e">
        <f aca="false">IFERROR(ROUND(MatchData[[#this row],[portcullis sum]]/MatchData[[#this row],[portcullis avail count]],2),0)</f>
        <v>#VALUE!</v>
      </c>
      <c r="CS116" s="16" t="e">
        <f aca="false">IFERROR(ROUND(MatchData[[#this row],[cheval sum]]/MatchData[[#this row],[cheval avail count]],2),0)</f>
        <v>#VALUE!</v>
      </c>
      <c r="CT116" s="16" t="e">
        <f aca="false">IFERROR(ROUND(MatchData[[#this row],[moat sum]]/MatchData[[#this row],[moat avail count]],2),0)</f>
        <v>#VALUE!</v>
      </c>
      <c r="CU116" s="16" t="e">
        <f aca="false">IFERROR(ROUND(MatchData[[#this row],[ramparts sum]]/MatchData[[#this row],[ramparts avail count]],2),0)</f>
        <v>#VALUE!</v>
      </c>
      <c r="CV116" s="16" t="e">
        <f aca="false">IFERROR(ROUND(MatchData[[#this row],[drawbridge sum]]/MatchData[[#this row],[drawbridge avail countigh6]],2),0)</f>
        <v>#VALUE!</v>
      </c>
      <c r="CW116" s="16" t="e">
        <f aca="false">IFERROR(ROUND(MatchData[[#this row],[sally port sum]]/MatchData[[#this row],[sally port avail count]],2),0)</f>
        <v>#VALUE!</v>
      </c>
      <c r="CX116" s="5" t="e">
        <f aca="false">IFERROR(ROUND(MatchData[[#this row],[rock wall sum]]/MatchData[[#this row],[rock wall avail count]],2),0)</f>
        <v>#VALUE!</v>
      </c>
      <c r="CY116" s="5" t="e">
        <f aca="false">IFERROR(ROUND(MatchData[[#this row],[rough terrain sum]]/MatchData[[#this row],[rough terrain avail count]],2),0)</f>
        <v>#VALUE!</v>
      </c>
      <c r="CZ116" s="5" t="e">
        <f aca="false">IFERROR(ROUND(MatchData[[#this row],[low bar sum]]/MatchData[[#this row],[low bar avail count]],2),0)</f>
        <v>#VALUE!</v>
      </c>
      <c r="DA116" s="16" t="e">
        <f aca="false">SUM(MatchData[[#this row],[cheval sum]:[low bar sum]])/MatchData[match count]</f>
        <v>#VALUE!</v>
      </c>
      <c r="DB116" s="16" t="n">
        <f aca="false">MAX(IF(C$2:C$74=C116,BP$2:BP$74))</f>
        <v>-1.79769313486232E+308</v>
      </c>
      <c r="DC116" s="16" t="e">
        <f aca="false">AVERAGEIF(MatchData[team],MatchData[[#this row],[team]],MatchData[total score])</f>
        <v>#VALUE!</v>
      </c>
      <c r="DD116" s="16" t="e">
        <f aca="false">ROUND(AVERAGEIF(MatchData[team],MatchData[team],MatchData[climb or challenge flag]),2)</f>
        <v>#VALUE!</v>
      </c>
    </row>
    <row r="117" customFormat="false" ht="14.5" hidden="false" customHeight="false" outlineLevel="0" collapsed="false">
      <c r="A117" s="13" t="s">
        <v>108</v>
      </c>
      <c r="B117" s="14" t="n">
        <v>20</v>
      </c>
      <c r="C117" s="15" t="n">
        <v>2733</v>
      </c>
      <c r="D117" s="5" t="s">
        <v>109</v>
      </c>
      <c r="E117" s="5" t="s">
        <v>127</v>
      </c>
      <c r="G117" s="16"/>
      <c r="I117" s="16"/>
      <c r="J117" s="5" t="n">
        <v>1</v>
      </c>
      <c r="K117" s="16"/>
      <c r="L117" s="5" t="n">
        <v>1</v>
      </c>
      <c r="N117" s="5" t="n">
        <v>1</v>
      </c>
      <c r="O117" s="0"/>
      <c r="P117" s="5" t="n">
        <v>1</v>
      </c>
      <c r="Q117" s="0"/>
      <c r="R117" s="5" t="n">
        <v>1</v>
      </c>
      <c r="S117" s="16"/>
      <c r="T117" s="0"/>
      <c r="U117" s="16"/>
      <c r="V117" s="16"/>
      <c r="W117" s="0"/>
      <c r="X117" s="0"/>
      <c r="AD117" s="16"/>
      <c r="AE117" s="5"/>
      <c r="AF117" s="16"/>
      <c r="AG117" s="16"/>
      <c r="AH117" s="16"/>
      <c r="AJ117" s="16"/>
      <c r="AL117" s="16"/>
      <c r="AN117" s="16"/>
      <c r="AP117" s="16"/>
      <c r="AR117" s="16"/>
      <c r="AT117" s="16"/>
      <c r="AU117" s="16"/>
      <c r="AV117" s="16"/>
      <c r="AW117" s="16"/>
      <c r="AX117" s="16"/>
      <c r="AY117" s="16"/>
      <c r="AZ117" s="16" t="n">
        <v>1</v>
      </c>
      <c r="BB117" s="16"/>
      <c r="BC117" s="16" t="e">
        <f aca="false">MatchData[cheval scored crossings]*5</f>
        <v>#VALUE!</v>
      </c>
      <c r="BD117" s="16" t="e">
        <f aca="false">MatchData[moat scored crosings]*5</f>
        <v>#VALUE!</v>
      </c>
      <c r="BE117" s="16" t="e">
        <f aca="false">MatchData[ramparts scored crossings]*5</f>
        <v>#VALUE!</v>
      </c>
      <c r="BF117" s="16" t="e">
        <f aca="false">MatchData[drawbridge scored crossings]*5</f>
        <v>#VALUE!</v>
      </c>
      <c r="BG117" s="16" t="e">
        <f aca="false">MatchData[sally port scored crossings]*5</f>
        <v>#VALUE!</v>
      </c>
      <c r="BH117" s="16" t="e">
        <f aca="false">MatchData[rock wall scored crossings]*5</f>
        <v>#VALUE!</v>
      </c>
      <c r="BI117" s="16" t="e">
        <f aca="false">MatchData[rough terrain scored crossings]*5</f>
        <v>#VALUE!</v>
      </c>
      <c r="BJ117" s="16" t="e">
        <f aca="false">MatchData[low bar scored crossings]*5</f>
        <v>#VALUE!</v>
      </c>
      <c r="BK117" s="16" t="e">
        <f aca="false">SUM(MatchData[[#this row],[low bar teleop crossings]:[rough terrain scored crossings]])</f>
        <v>#VALUE!</v>
      </c>
      <c r="BL117" s="16" t="e">
        <f aca="false">IFERROR(IF(OR(MatchData[[#this row],[challenge flag]],MatchData[[#this row],[climb flag]]),1,0),0)</f>
        <v>#VALUE!</v>
      </c>
      <c r="BM117" s="16" t="e">
        <f aca="false">MatchData[auto high goals]*10+MatchData[teleop high goals]*5</f>
        <v>#VALUE!</v>
      </c>
      <c r="BN117" s="16" t="e">
        <f aca="false">MatchData[auto low goals]*5+MatchData[teleop low goals]*2</f>
        <v>#VALUE!</v>
      </c>
      <c r="BO117" s="16" t="e">
        <f aca="false">MatchData[high goal score]+MatchData[low goal score]</f>
        <v>#VALUE!</v>
      </c>
      <c r="BP117" s="16" t="e">
        <f aca="false">MatchData[teleop high goals]+MatchData[teleop low goals]</f>
        <v>#VALUE!</v>
      </c>
      <c r="BQ117" s="16" t="e">
        <f aca="false">MatchData[[#this row],[auto reach flag]]*2+SUM(MatchData[[#this row],[portcullis auto crossings]:[low bar auto crossings]])*10+MatchData[[#this row],[auto low goals]]*5+MatchData[auto high goals]*10</f>
        <v>#VALUE!</v>
      </c>
      <c r="BR117" s="16" t="e">
        <f aca="false">SUM(MatchData[[#this row],[cheval teleop crossing score]:[low bar teleop crossing score]])</f>
        <v>#VALUE!</v>
      </c>
      <c r="BS117" s="16" t="e">
        <f aca="false">SUMIF(MatchData[team],MatchData[[#this row],[team]],MatchData[total auto score])/MatchData[match count]</f>
        <v>#VALUE!</v>
      </c>
      <c r="BT117" s="16" t="e">
        <f aca="false">MatchData[challenge flag]*5</f>
        <v>#VALUE!</v>
      </c>
      <c r="BU117" s="16" t="e">
        <f aca="false">MatchData[climb flag]*15</f>
        <v>#VALUE!</v>
      </c>
      <c r="BV117" s="16" t="e">
        <f aca="false">SUM(MatchData[[#this row],[total goal score]],MatchData[[#this row],[crossing score]],MatchData[[#this row],[challenge score]],MatchData[[#this row],[climb score]],MatchData[[#this row],[total auto score]])</f>
        <v>#VALUE!</v>
      </c>
      <c r="BW117" s="16" t="e">
        <f aca="false">ROUND(SUMIF(MatchData[team],MatchData[[#this row],[team]],MatchData[teleop low goals])/COUNTIF(MatchData[team],MatchData[[#this row],[team]]),2)</f>
        <v>#VALUE!</v>
      </c>
      <c r="BX117" s="16" t="e">
        <f aca="false">ROUND(SUMIF(MatchData[team],MatchData[[#this row],[team]],MatchData[teleop high goals])/COUNTIF(MatchData[team],MatchData[[#this row],[team]]),2)</f>
        <v>#VALUE!</v>
      </c>
      <c r="BY117" s="16" t="e">
        <f aca="false">COUNTIF(MatchData[team],MatchData[[#this row],[team]])</f>
        <v>#VALUE!</v>
      </c>
      <c r="BZ117" s="16" t="e">
        <f aca="false">SUMIF(MatchData[team],MatchData[[#this row],[team]],MatchData[portcullis available])</f>
        <v>#VALUE!</v>
      </c>
      <c r="CA117" s="16" t="e">
        <f aca="false">SUMIF(MatchData[team],MatchData[[#this row],[team]],MatchData[cheval available])</f>
        <v>#VALUE!</v>
      </c>
      <c r="CB117" s="16" t="e">
        <f aca="false">SUMIF(MatchData[team],MatchData[[#this row],[team]],MatchData[moat available])</f>
        <v>#VALUE!</v>
      </c>
      <c r="CC117" s="16" t="e">
        <f aca="false">SUMIF(MatchData[team],MatchData[[#this row],[team]],MatchData[ramparts available])</f>
        <v>#VALUE!</v>
      </c>
      <c r="CD117" s="16" t="e">
        <f aca="false">SUMIF(MatchData[team],MatchData[[#this row],[team]],MatchData[drawbridge available])</f>
        <v>#VALUE!</v>
      </c>
      <c r="CE117" s="16" t="e">
        <f aca="false">SUMIF(MatchData[team],MatchData[[#this row],[team]],MatchData[sally port available])</f>
        <v>#VALUE!</v>
      </c>
      <c r="CF117" s="16" t="e">
        <f aca="false">SUMIF(MatchData[team],MatchData[[#this row],[team]],MatchData[rock wall available])</f>
        <v>#VALUE!</v>
      </c>
      <c r="CG117" s="16" t="e">
        <f aca="false">SUMIF(MatchData[team],MatchData[[#this row],[team]],MatchData[rough terrain available])</f>
        <v>#VALUE!</v>
      </c>
      <c r="CH117" s="16" t="e">
        <f aca="false">SUMIF(MatchData[team],MatchData[[#this row],[team]],MatchData[low bar available])</f>
        <v>#VALUE!</v>
      </c>
      <c r="CI117" s="16" t="e">
        <f aca="false">SUMIF(MatchData[team],MatchData[[#this row],[team]],MatchData[portcullis teleop crossings]:MatchData[portcullis scored crossings])</f>
        <v>#VALUE!</v>
      </c>
      <c r="CJ117" s="16" t="e">
        <f aca="false">SUMIF(MatchData[team],MatchData[[#this row],[team]],MatchData[cheval teleop crossings])+SUMIF(MatchData[team],MatchData[[#this row],[team]],MatchData[cheval scored crossings])</f>
        <v>#VALUE!</v>
      </c>
      <c r="CK117" s="16" t="e">
        <f aca="false">SUMIF(MatchData[team],MatchData[[#this row],[team]],MatchData[moat teleop crossings])+SUMIF(MatchData[team],MatchData[[#this row],[team]],MatchData[moat scored crosings])</f>
        <v>#VALUE!</v>
      </c>
      <c r="CL117" s="16" t="e">
        <f aca="false">SUMIF(MatchData[team],MatchData[[#this row],[team]],MatchData[ramparts teleop crossings])+SUMIF(MatchData[team],MatchData[[#this row],[team]],MatchData[ramparts scored crossings])</f>
        <v>#VALUE!</v>
      </c>
      <c r="CM117" s="16" t="e">
        <f aca="false">SUMIF(MatchData[team],MatchData[[#this row],[team]],MatchData[drawbridge teleop crossings])+SUMIF(MatchData[team],MatchData[[#this row],[team]],MatchData[drawbridge scored crossings])</f>
        <v>#VALUE!</v>
      </c>
      <c r="CN117" s="16" t="e">
        <f aca="false">SUMIF(MatchData[team],MatchData[[#this row],[team]],MatchData[sally port teleop crossings])+SUMIF(MatchData[team],MatchData[[#this row],[team]],MatchData[sally port scored crossings])</f>
        <v>#VALUE!</v>
      </c>
      <c r="CO117" s="16" t="e">
        <f aca="false">SUMIF(MatchData[team],MatchData[[#this row],[team]],MatchData[rock wall teleop crossings])+SUMIF(MatchData[team],MatchData[[#this row],[team]],MatchData[rock wall scored crossings])</f>
        <v>#VALUE!</v>
      </c>
      <c r="CP117" s="16" t="e">
        <f aca="false">SUMIF(MatchData[team],MatchData[[#this row],[team]],MatchData[rough terrain teleop crossings])+SUMIF(MatchData[team],MatchData[[#this row],[team]],MatchData[rough terrain scored crossings])</f>
        <v>#VALUE!</v>
      </c>
      <c r="CQ117" s="16" t="e">
        <f aca="false">SUMIF(MatchData[team],MatchData[[#this row],[team]],MatchData[low bar teleop crossings])+SUMIF(MatchData[team],MatchData[[#this row],[team]],MatchData[low bar scored crossings])</f>
        <v>#VALUE!</v>
      </c>
      <c r="CR117" s="16" t="e">
        <f aca="false">IFERROR(ROUND(MatchData[[#this row],[portcullis sum]]/MatchData[[#this row],[portcullis avail count]],2),0)</f>
        <v>#VALUE!</v>
      </c>
      <c r="CS117" s="16" t="e">
        <f aca="false">IFERROR(ROUND(MatchData[[#this row],[cheval sum]]/MatchData[[#this row],[cheval avail count]],2),0)</f>
        <v>#VALUE!</v>
      </c>
      <c r="CT117" s="16" t="e">
        <f aca="false">IFERROR(ROUND(MatchData[[#this row],[moat sum]]/MatchData[[#this row],[moat avail count]],2),0)</f>
        <v>#VALUE!</v>
      </c>
      <c r="CU117" s="16" t="e">
        <f aca="false">IFERROR(ROUND(MatchData[[#this row],[ramparts sum]]/MatchData[[#this row],[ramparts avail count]],2),0)</f>
        <v>#VALUE!</v>
      </c>
      <c r="CV117" s="16" t="e">
        <f aca="false">IFERROR(ROUND(MatchData[[#this row],[drawbridge sum]]/MatchData[[#this row],[drawbridge avail countigh6]],2),0)</f>
        <v>#VALUE!</v>
      </c>
      <c r="CW117" s="16" t="e">
        <f aca="false">IFERROR(ROUND(MatchData[[#this row],[sally port sum]]/MatchData[[#this row],[sally port avail count]],2),0)</f>
        <v>#VALUE!</v>
      </c>
      <c r="CX117" s="5" t="e">
        <f aca="false">IFERROR(ROUND(MatchData[[#this row],[rock wall sum]]/MatchData[[#this row],[rock wall avail count]],2),0)</f>
        <v>#VALUE!</v>
      </c>
      <c r="CY117" s="5" t="e">
        <f aca="false">IFERROR(ROUND(MatchData[[#this row],[rough terrain sum]]/MatchData[[#this row],[rough terrain avail count]],2),0)</f>
        <v>#VALUE!</v>
      </c>
      <c r="CZ117" s="5" t="e">
        <f aca="false">IFERROR(ROUND(MatchData[[#this row],[low bar sum]]/MatchData[[#this row],[low bar avail count]],2),0)</f>
        <v>#VALUE!</v>
      </c>
      <c r="DA117" s="16" t="e">
        <f aca="false">SUM(MatchData[[#this row],[cheval sum]:[low bar sum]])/MatchData[match count]</f>
        <v>#VALUE!</v>
      </c>
      <c r="DB117" s="16" t="n">
        <f aca="false">MAX(IF(C$2:C$74=C117,BP$2:BP$74))</f>
        <v>-1.79769313486232E+308</v>
      </c>
      <c r="DC117" s="16" t="e">
        <f aca="false">AVERAGEIF(MatchData[team],MatchData[[#this row],[team]],MatchData[total score])</f>
        <v>#VALUE!</v>
      </c>
      <c r="DD117" s="16" t="e">
        <f aca="false">ROUND(AVERAGEIF(MatchData[team],MatchData[team],MatchData[climb or challenge flag]),2)</f>
        <v>#VALUE!</v>
      </c>
    </row>
    <row r="118" customFormat="false" ht="14.5" hidden="false" customHeight="false" outlineLevel="0" collapsed="false">
      <c r="A118" s="17" t="s">
        <v>108</v>
      </c>
      <c r="B118" s="14" t="n">
        <v>20</v>
      </c>
      <c r="C118" s="15" t="n">
        <v>5975</v>
      </c>
      <c r="D118" s="5" t="s">
        <v>109</v>
      </c>
      <c r="E118" s="5" t="s">
        <v>147</v>
      </c>
      <c r="G118" s="16"/>
      <c r="I118" s="16"/>
      <c r="J118" s="5" t="n">
        <v>1</v>
      </c>
      <c r="K118" s="16"/>
      <c r="L118" s="5" t="n">
        <v>1</v>
      </c>
      <c r="N118" s="5" t="n">
        <v>1</v>
      </c>
      <c r="O118" s="0"/>
      <c r="P118" s="5" t="n">
        <v>1</v>
      </c>
      <c r="Q118" s="0"/>
      <c r="R118" s="5" t="n">
        <v>1</v>
      </c>
      <c r="S118" s="16" t="n">
        <v>1</v>
      </c>
      <c r="T118" s="0"/>
      <c r="U118" s="16"/>
      <c r="V118" s="16"/>
      <c r="W118" s="0"/>
      <c r="X118" s="0"/>
      <c r="AD118" s="16" t="n">
        <v>1</v>
      </c>
      <c r="AE118" s="5"/>
      <c r="AF118" s="16"/>
      <c r="AG118" s="16"/>
      <c r="AH118" s="16"/>
      <c r="AJ118" s="16"/>
      <c r="AL118" s="16"/>
      <c r="AN118" s="16"/>
      <c r="AP118" s="16"/>
      <c r="AR118" s="16"/>
      <c r="AT118" s="16" t="n">
        <v>1</v>
      </c>
      <c r="AU118" s="16"/>
      <c r="AV118" s="16"/>
      <c r="AW118" s="16" t="n">
        <v>1</v>
      </c>
      <c r="AX118" s="16"/>
      <c r="AY118" s="16"/>
      <c r="AZ118" s="16"/>
      <c r="BB118" s="16"/>
      <c r="BC118" s="16" t="e">
        <f aca="false">MatchData[cheval scored crossings]*5</f>
        <v>#VALUE!</v>
      </c>
      <c r="BD118" s="16" t="e">
        <f aca="false">MatchData[moat scored crosings]*5</f>
        <v>#VALUE!</v>
      </c>
      <c r="BE118" s="16" t="e">
        <f aca="false">MatchData[ramparts scored crossings]*5</f>
        <v>#VALUE!</v>
      </c>
      <c r="BF118" s="16" t="e">
        <f aca="false">MatchData[drawbridge scored crossings]*5</f>
        <v>#VALUE!</v>
      </c>
      <c r="BG118" s="16" t="e">
        <f aca="false">MatchData[sally port scored crossings]*5</f>
        <v>#VALUE!</v>
      </c>
      <c r="BH118" s="16" t="e">
        <f aca="false">MatchData[rock wall scored crossings]*5</f>
        <v>#VALUE!</v>
      </c>
      <c r="BI118" s="16" t="e">
        <f aca="false">MatchData[rough terrain scored crossings]*5</f>
        <v>#VALUE!</v>
      </c>
      <c r="BJ118" s="16" t="e">
        <f aca="false">MatchData[low bar scored crossings]*5</f>
        <v>#VALUE!</v>
      </c>
      <c r="BK118" s="16" t="e">
        <f aca="false">SUM(MatchData[[#this row],[low bar teleop crossings]:[rough terrain scored crossings]])</f>
        <v>#VALUE!</v>
      </c>
      <c r="BL118" s="16" t="e">
        <f aca="false">IFERROR(IF(OR(MatchData[[#this row],[challenge flag]],MatchData[[#this row],[climb flag]]),1,0),0)</f>
        <v>#VALUE!</v>
      </c>
      <c r="BM118" s="16" t="e">
        <f aca="false">MatchData[auto high goals]*10+MatchData[teleop high goals]*5</f>
        <v>#VALUE!</v>
      </c>
      <c r="BN118" s="16" t="e">
        <f aca="false">MatchData[auto low goals]*5+MatchData[teleop low goals]*2</f>
        <v>#VALUE!</v>
      </c>
      <c r="BO118" s="16" t="e">
        <f aca="false">MatchData[high goal score]+MatchData[low goal score]</f>
        <v>#VALUE!</v>
      </c>
      <c r="BP118" s="16" t="e">
        <f aca="false">MatchData[teleop high goals]+MatchData[teleop low goals]</f>
        <v>#VALUE!</v>
      </c>
      <c r="BQ118" s="16" t="e">
        <f aca="false">MatchData[[#this row],[auto reach flag]]*2+SUM(MatchData[[#this row],[portcullis auto crossings]:[low bar auto crossings]])*10+MatchData[[#this row],[auto low goals]]*5+MatchData[auto high goals]*10</f>
        <v>#VALUE!</v>
      </c>
      <c r="BR118" s="16" t="e">
        <f aca="false">SUM(MatchData[[#this row],[cheval teleop crossing score]:[low bar teleop crossing score]])</f>
        <v>#VALUE!</v>
      </c>
      <c r="BS118" s="16" t="e">
        <f aca="false">SUMIF(MatchData[team],MatchData[[#this row],[team]],MatchData[total auto score])/MatchData[match count]</f>
        <v>#VALUE!</v>
      </c>
      <c r="BT118" s="16" t="e">
        <f aca="false">MatchData[challenge flag]*5</f>
        <v>#VALUE!</v>
      </c>
      <c r="BU118" s="16" t="e">
        <f aca="false">MatchData[climb flag]*15</f>
        <v>#VALUE!</v>
      </c>
      <c r="BV118" s="16" t="e">
        <f aca="false">SUM(MatchData[[#this row],[total goal score]],MatchData[[#this row],[crossing score]],MatchData[[#this row],[challenge score]],MatchData[[#this row],[climb score]],MatchData[[#this row],[total auto score]])</f>
        <v>#VALUE!</v>
      </c>
      <c r="BW118" s="16" t="e">
        <f aca="false">ROUND(SUMIF(MatchData[team],MatchData[[#this row],[team]],MatchData[teleop low goals])/COUNTIF(MatchData[team],MatchData[[#this row],[team]]),2)</f>
        <v>#VALUE!</v>
      </c>
      <c r="BX118" s="16" t="e">
        <f aca="false">ROUND(SUMIF(MatchData[team],MatchData[[#this row],[team]],MatchData[teleop high goals])/COUNTIF(MatchData[team],MatchData[[#this row],[team]]),2)</f>
        <v>#VALUE!</v>
      </c>
      <c r="BY118" s="16" t="e">
        <f aca="false">COUNTIF(MatchData[team],MatchData[[#this row],[team]])</f>
        <v>#VALUE!</v>
      </c>
      <c r="BZ118" s="16" t="e">
        <f aca="false">SUMIF(MatchData[team],MatchData[[#this row],[team]],MatchData[portcullis available])</f>
        <v>#VALUE!</v>
      </c>
      <c r="CA118" s="16" t="e">
        <f aca="false">SUMIF(MatchData[team],MatchData[[#this row],[team]],MatchData[cheval available])</f>
        <v>#VALUE!</v>
      </c>
      <c r="CB118" s="16" t="e">
        <f aca="false">SUMIF(MatchData[team],MatchData[[#this row],[team]],MatchData[moat available])</f>
        <v>#VALUE!</v>
      </c>
      <c r="CC118" s="16" t="e">
        <f aca="false">SUMIF(MatchData[team],MatchData[[#this row],[team]],MatchData[ramparts available])</f>
        <v>#VALUE!</v>
      </c>
      <c r="CD118" s="16" t="e">
        <f aca="false">SUMIF(MatchData[team],MatchData[[#this row],[team]],MatchData[drawbridge available])</f>
        <v>#VALUE!</v>
      </c>
      <c r="CE118" s="16" t="e">
        <f aca="false">SUMIF(MatchData[team],MatchData[[#this row],[team]],MatchData[sally port available])</f>
        <v>#VALUE!</v>
      </c>
      <c r="CF118" s="16" t="e">
        <f aca="false">SUMIF(MatchData[team],MatchData[[#this row],[team]],MatchData[rock wall available])</f>
        <v>#VALUE!</v>
      </c>
      <c r="CG118" s="16" t="e">
        <f aca="false">SUMIF(MatchData[team],MatchData[[#this row],[team]],MatchData[rough terrain available])</f>
        <v>#VALUE!</v>
      </c>
      <c r="CH118" s="16" t="e">
        <f aca="false">SUMIF(MatchData[team],MatchData[[#this row],[team]],MatchData[low bar available])</f>
        <v>#VALUE!</v>
      </c>
      <c r="CI118" s="16" t="e">
        <f aca="false">SUMIF(MatchData[team],MatchData[[#this row],[team]],MatchData[portcullis teleop crossings]:MatchData[portcullis scored crossings])</f>
        <v>#VALUE!</v>
      </c>
      <c r="CJ118" s="16" t="e">
        <f aca="false">SUMIF(MatchData[team],MatchData[[#this row],[team]],MatchData[cheval teleop crossings])+SUMIF(MatchData[team],MatchData[[#this row],[team]],MatchData[cheval scored crossings])</f>
        <v>#VALUE!</v>
      </c>
      <c r="CK118" s="16" t="e">
        <f aca="false">SUMIF(MatchData[team],MatchData[[#this row],[team]],MatchData[moat teleop crossings])+SUMIF(MatchData[team],MatchData[[#this row],[team]],MatchData[moat scored crosings])</f>
        <v>#VALUE!</v>
      </c>
      <c r="CL118" s="16" t="e">
        <f aca="false">SUMIF(MatchData[team],MatchData[[#this row],[team]],MatchData[ramparts teleop crossings])+SUMIF(MatchData[team],MatchData[[#this row],[team]],MatchData[ramparts scored crossings])</f>
        <v>#VALUE!</v>
      </c>
      <c r="CM118" s="16" t="e">
        <f aca="false">SUMIF(MatchData[team],MatchData[[#this row],[team]],MatchData[drawbridge teleop crossings])+SUMIF(MatchData[team],MatchData[[#this row],[team]],MatchData[drawbridge scored crossings])</f>
        <v>#VALUE!</v>
      </c>
      <c r="CN118" s="16" t="e">
        <f aca="false">SUMIF(MatchData[team],MatchData[[#this row],[team]],MatchData[sally port teleop crossings])+SUMIF(MatchData[team],MatchData[[#this row],[team]],MatchData[sally port scored crossings])</f>
        <v>#VALUE!</v>
      </c>
      <c r="CO118" s="16" t="e">
        <f aca="false">SUMIF(MatchData[team],MatchData[[#this row],[team]],MatchData[rock wall teleop crossings])+SUMIF(MatchData[team],MatchData[[#this row],[team]],MatchData[rock wall scored crossings])</f>
        <v>#VALUE!</v>
      </c>
      <c r="CP118" s="16" t="e">
        <f aca="false">SUMIF(MatchData[team],MatchData[[#this row],[team]],MatchData[rough terrain teleop crossings])+SUMIF(MatchData[team],MatchData[[#this row],[team]],MatchData[rough terrain scored crossings])</f>
        <v>#VALUE!</v>
      </c>
      <c r="CQ118" s="16" t="e">
        <f aca="false">SUMIF(MatchData[team],MatchData[[#this row],[team]],MatchData[low bar teleop crossings])+SUMIF(MatchData[team],MatchData[[#this row],[team]],MatchData[low bar scored crossings])</f>
        <v>#VALUE!</v>
      </c>
      <c r="CR118" s="16" t="e">
        <f aca="false">IFERROR(ROUND(MatchData[[#this row],[portcullis sum]]/MatchData[[#this row],[portcullis avail count]],2),0)</f>
        <v>#VALUE!</v>
      </c>
      <c r="CS118" s="16" t="e">
        <f aca="false">IFERROR(ROUND(MatchData[[#this row],[cheval sum]]/MatchData[[#this row],[cheval avail count]],2),0)</f>
        <v>#VALUE!</v>
      </c>
      <c r="CT118" s="16" t="e">
        <f aca="false">IFERROR(ROUND(MatchData[[#this row],[moat sum]]/MatchData[[#this row],[moat avail count]],2),0)</f>
        <v>#VALUE!</v>
      </c>
      <c r="CU118" s="16" t="e">
        <f aca="false">IFERROR(ROUND(MatchData[[#this row],[ramparts sum]]/MatchData[[#this row],[ramparts avail count]],2),0)</f>
        <v>#VALUE!</v>
      </c>
      <c r="CV118" s="16" t="e">
        <f aca="false">IFERROR(ROUND(MatchData[[#this row],[drawbridge sum]]/MatchData[[#this row],[drawbridge avail countigh6]],2),0)</f>
        <v>#VALUE!</v>
      </c>
      <c r="CW118" s="16" t="e">
        <f aca="false">IFERROR(ROUND(MatchData[[#this row],[sally port sum]]/MatchData[[#this row],[sally port avail count]],2),0)</f>
        <v>#VALUE!</v>
      </c>
      <c r="CX118" s="5" t="e">
        <f aca="false">IFERROR(ROUND(MatchData[[#this row],[rock wall sum]]/MatchData[[#this row],[rock wall avail count]],2),0)</f>
        <v>#VALUE!</v>
      </c>
      <c r="CY118" s="5" t="e">
        <f aca="false">IFERROR(ROUND(MatchData[[#this row],[rough terrain sum]]/MatchData[[#this row],[rough terrain avail count]],2),0)</f>
        <v>#VALUE!</v>
      </c>
      <c r="CZ118" s="5" t="e">
        <f aca="false">IFERROR(ROUND(MatchData[[#this row],[low bar sum]]/MatchData[[#this row],[low bar avail count]],2),0)</f>
        <v>#VALUE!</v>
      </c>
      <c r="DA118" s="16" t="e">
        <f aca="false">SUM(MatchData[[#this row],[cheval sum]:[low bar sum]])/MatchData[match count]</f>
        <v>#VALUE!</v>
      </c>
      <c r="DB118" s="16" t="n">
        <f aca="false">MAX(IF(C$2:C$74=C118,BP$2:BP$74))</f>
        <v>-1.79769313486232E+308</v>
      </c>
      <c r="DC118" s="16" t="e">
        <f aca="false">AVERAGEIF(MatchData[team],MatchData[[#this row],[team]],MatchData[total score])</f>
        <v>#VALUE!</v>
      </c>
      <c r="DD118" s="16" t="e">
        <f aca="false">ROUND(AVERAGEIF(MatchData[team],MatchData[team],MatchData[climb or challenge flag]),2)</f>
        <v>#VALUE!</v>
      </c>
    </row>
    <row r="119" customFormat="false" ht="14.5" hidden="false" customHeight="false" outlineLevel="0" collapsed="false">
      <c r="A119" s="13" t="s">
        <v>108</v>
      </c>
      <c r="B119" s="14" t="n">
        <v>20</v>
      </c>
      <c r="C119" s="15" t="n">
        <v>955</v>
      </c>
      <c r="D119" s="5" t="s">
        <v>113</v>
      </c>
      <c r="E119" s="5" t="s">
        <v>135</v>
      </c>
      <c r="G119" s="16" t="n">
        <v>2</v>
      </c>
      <c r="I119" s="16"/>
      <c r="J119" s="5" t="n">
        <v>1</v>
      </c>
      <c r="K119" s="16"/>
      <c r="L119" s="5" t="n">
        <v>1</v>
      </c>
      <c r="N119" s="5" t="n">
        <v>1</v>
      </c>
      <c r="O119" s="5" t="n">
        <v>1</v>
      </c>
      <c r="P119" s="0"/>
      <c r="Q119" s="0"/>
      <c r="R119" s="5" t="n">
        <v>1</v>
      </c>
      <c r="S119" s="16"/>
      <c r="T119" s="0"/>
      <c r="U119" s="16"/>
      <c r="V119" s="16"/>
      <c r="W119" s="0"/>
      <c r="X119" s="0"/>
      <c r="AA119" s="5" t="n">
        <v>1</v>
      </c>
      <c r="AD119" s="16"/>
      <c r="AE119" s="5"/>
      <c r="AF119" s="16"/>
      <c r="AG119" s="16"/>
      <c r="AH119" s="16" t="n">
        <v>2</v>
      </c>
      <c r="AJ119" s="16"/>
      <c r="AL119" s="16" t="n">
        <v>1</v>
      </c>
      <c r="AN119" s="16"/>
      <c r="AP119" s="16"/>
      <c r="AR119" s="16"/>
      <c r="AT119" s="16" t="n">
        <v>2</v>
      </c>
      <c r="AU119" s="16"/>
      <c r="AV119" s="16"/>
      <c r="AW119" s="16" t="n">
        <v>1</v>
      </c>
      <c r="AX119" s="16"/>
      <c r="AY119" s="16"/>
      <c r="AZ119" s="16"/>
      <c r="BB119" s="16"/>
      <c r="BC119" s="16" t="e">
        <f aca="false">MatchData[cheval scored crossings]*5</f>
        <v>#VALUE!</v>
      </c>
      <c r="BD119" s="16" t="e">
        <f aca="false">MatchData[moat scored crosings]*5</f>
        <v>#VALUE!</v>
      </c>
      <c r="BE119" s="16" t="e">
        <f aca="false">MatchData[ramparts scored crossings]*5</f>
        <v>#VALUE!</v>
      </c>
      <c r="BF119" s="16" t="e">
        <f aca="false">MatchData[drawbridge scored crossings]*5</f>
        <v>#VALUE!</v>
      </c>
      <c r="BG119" s="16" t="e">
        <f aca="false">MatchData[sally port scored crossings]*5</f>
        <v>#VALUE!</v>
      </c>
      <c r="BH119" s="16" t="e">
        <f aca="false">MatchData[rock wall scored crossings]*5</f>
        <v>#VALUE!</v>
      </c>
      <c r="BI119" s="16" t="e">
        <f aca="false">MatchData[rough terrain scored crossings]*5</f>
        <v>#VALUE!</v>
      </c>
      <c r="BJ119" s="16" t="e">
        <f aca="false">MatchData[low bar scored crossings]*5</f>
        <v>#VALUE!</v>
      </c>
      <c r="BK119" s="16" t="e">
        <f aca="false">SUM(MatchData[[#this row],[low bar teleop crossings]:[rough terrain scored crossings]])</f>
        <v>#VALUE!</v>
      </c>
      <c r="BL119" s="16" t="e">
        <f aca="false">IFERROR(IF(OR(MatchData[[#this row],[challenge flag]],MatchData[[#this row],[climb flag]]),1,0),0)</f>
        <v>#VALUE!</v>
      </c>
      <c r="BM119" s="16" t="e">
        <f aca="false">MatchData[auto high goals]*10+MatchData[teleop high goals]*5</f>
        <v>#VALUE!</v>
      </c>
      <c r="BN119" s="16" t="e">
        <f aca="false">MatchData[auto low goals]*5+MatchData[teleop low goals]*2</f>
        <v>#VALUE!</v>
      </c>
      <c r="BO119" s="16" t="e">
        <f aca="false">MatchData[high goal score]+MatchData[low goal score]</f>
        <v>#VALUE!</v>
      </c>
      <c r="BP119" s="16" t="e">
        <f aca="false">MatchData[teleop high goals]+MatchData[teleop low goals]</f>
        <v>#VALUE!</v>
      </c>
      <c r="BQ119" s="16" t="e">
        <f aca="false">MatchData[[#this row],[auto reach flag]]*2+SUM(MatchData[[#this row],[portcullis auto crossings]:[low bar auto crossings]])*10+MatchData[[#this row],[auto low goals]]*5+MatchData[auto high goals]*10</f>
        <v>#VALUE!</v>
      </c>
      <c r="BR119" s="16" t="e">
        <f aca="false">SUM(MatchData[[#this row],[cheval teleop crossing score]:[low bar teleop crossing score]])</f>
        <v>#VALUE!</v>
      </c>
      <c r="BS119" s="16" t="e">
        <f aca="false">SUMIF(MatchData[team],MatchData[[#this row],[team]],MatchData[total auto score])/MatchData[match count]</f>
        <v>#VALUE!</v>
      </c>
      <c r="BT119" s="16" t="e">
        <f aca="false">MatchData[challenge flag]*5</f>
        <v>#VALUE!</v>
      </c>
      <c r="BU119" s="16" t="e">
        <f aca="false">MatchData[climb flag]*15</f>
        <v>#VALUE!</v>
      </c>
      <c r="BV119" s="16" t="e">
        <f aca="false">SUM(MatchData[[#this row],[total goal score]],MatchData[[#this row],[crossing score]],MatchData[[#this row],[challenge score]],MatchData[[#this row],[climb score]],MatchData[[#this row],[total auto score]])</f>
        <v>#VALUE!</v>
      </c>
      <c r="BW119" s="16" t="e">
        <f aca="false">ROUND(SUMIF(MatchData[team],MatchData[[#this row],[team]],MatchData[teleop low goals])/COUNTIF(MatchData[team],MatchData[[#this row],[team]]),2)</f>
        <v>#VALUE!</v>
      </c>
      <c r="BX119" s="16" t="e">
        <f aca="false">ROUND(SUMIF(MatchData[team],MatchData[[#this row],[team]],MatchData[teleop high goals])/COUNTIF(MatchData[team],MatchData[[#this row],[team]]),2)</f>
        <v>#VALUE!</v>
      </c>
      <c r="BY119" s="16" t="e">
        <f aca="false">COUNTIF(MatchData[team],MatchData[[#this row],[team]])</f>
        <v>#VALUE!</v>
      </c>
      <c r="BZ119" s="16" t="e">
        <f aca="false">SUMIF(MatchData[team],MatchData[[#this row],[team]],MatchData[portcullis available])</f>
        <v>#VALUE!</v>
      </c>
      <c r="CA119" s="16" t="e">
        <f aca="false">SUMIF(MatchData[team],MatchData[[#this row],[team]],MatchData[cheval available])</f>
        <v>#VALUE!</v>
      </c>
      <c r="CB119" s="16" t="e">
        <f aca="false">SUMIF(MatchData[team],MatchData[[#this row],[team]],MatchData[moat available])</f>
        <v>#VALUE!</v>
      </c>
      <c r="CC119" s="16" t="e">
        <f aca="false">SUMIF(MatchData[team],MatchData[[#this row],[team]],MatchData[ramparts available])</f>
        <v>#VALUE!</v>
      </c>
      <c r="CD119" s="16" t="e">
        <f aca="false">SUMIF(MatchData[team],MatchData[[#this row],[team]],MatchData[drawbridge available])</f>
        <v>#VALUE!</v>
      </c>
      <c r="CE119" s="16" t="e">
        <f aca="false">SUMIF(MatchData[team],MatchData[[#this row],[team]],MatchData[sally port available])</f>
        <v>#VALUE!</v>
      </c>
      <c r="CF119" s="16" t="e">
        <f aca="false">SUMIF(MatchData[team],MatchData[[#this row],[team]],MatchData[rock wall available])</f>
        <v>#VALUE!</v>
      </c>
      <c r="CG119" s="16" t="e">
        <f aca="false">SUMIF(MatchData[team],MatchData[[#this row],[team]],MatchData[rough terrain available])</f>
        <v>#VALUE!</v>
      </c>
      <c r="CH119" s="16" t="e">
        <f aca="false">SUMIF(MatchData[team],MatchData[[#this row],[team]],MatchData[low bar available])</f>
        <v>#VALUE!</v>
      </c>
      <c r="CI119" s="16" t="e">
        <f aca="false">SUMIF(MatchData[team],MatchData[[#this row],[team]],MatchData[portcullis teleop crossings]:MatchData[portcullis scored crossings])</f>
        <v>#VALUE!</v>
      </c>
      <c r="CJ119" s="16" t="e">
        <f aca="false">SUMIF(MatchData[team],MatchData[[#this row],[team]],MatchData[cheval teleop crossings])+SUMIF(MatchData[team],MatchData[[#this row],[team]],MatchData[cheval scored crossings])</f>
        <v>#VALUE!</v>
      </c>
      <c r="CK119" s="16" t="e">
        <f aca="false">SUMIF(MatchData[team],MatchData[[#this row],[team]],MatchData[moat teleop crossings])+SUMIF(MatchData[team],MatchData[[#this row],[team]],MatchData[moat scored crosings])</f>
        <v>#VALUE!</v>
      </c>
      <c r="CL119" s="16" t="e">
        <f aca="false">SUMIF(MatchData[team],MatchData[[#this row],[team]],MatchData[ramparts teleop crossings])+SUMIF(MatchData[team],MatchData[[#this row],[team]],MatchData[ramparts scored crossings])</f>
        <v>#VALUE!</v>
      </c>
      <c r="CM119" s="16" t="e">
        <f aca="false">SUMIF(MatchData[team],MatchData[[#this row],[team]],MatchData[drawbridge teleop crossings])+SUMIF(MatchData[team],MatchData[[#this row],[team]],MatchData[drawbridge scored crossings])</f>
        <v>#VALUE!</v>
      </c>
      <c r="CN119" s="16" t="e">
        <f aca="false">SUMIF(MatchData[team],MatchData[[#this row],[team]],MatchData[sally port teleop crossings])+SUMIF(MatchData[team],MatchData[[#this row],[team]],MatchData[sally port scored crossings])</f>
        <v>#VALUE!</v>
      </c>
      <c r="CO119" s="16" t="e">
        <f aca="false">SUMIF(MatchData[team],MatchData[[#this row],[team]],MatchData[rock wall teleop crossings])+SUMIF(MatchData[team],MatchData[[#this row],[team]],MatchData[rock wall scored crossings])</f>
        <v>#VALUE!</v>
      </c>
      <c r="CP119" s="16" t="e">
        <f aca="false">SUMIF(MatchData[team],MatchData[[#this row],[team]],MatchData[rough terrain teleop crossings])+SUMIF(MatchData[team],MatchData[[#this row],[team]],MatchData[rough terrain scored crossings])</f>
        <v>#VALUE!</v>
      </c>
      <c r="CQ119" s="16" t="e">
        <f aca="false">SUMIF(MatchData[team],MatchData[[#this row],[team]],MatchData[low bar teleop crossings])+SUMIF(MatchData[team],MatchData[[#this row],[team]],MatchData[low bar scored crossings])</f>
        <v>#VALUE!</v>
      </c>
      <c r="CR119" s="16" t="e">
        <f aca="false">IFERROR(ROUND(MatchData[[#this row],[portcullis sum]]/MatchData[[#this row],[portcullis avail count]],2),0)</f>
        <v>#VALUE!</v>
      </c>
      <c r="CS119" s="16" t="e">
        <f aca="false">IFERROR(ROUND(MatchData[[#this row],[cheval sum]]/MatchData[[#this row],[cheval avail count]],2),0)</f>
        <v>#VALUE!</v>
      </c>
      <c r="CT119" s="16" t="e">
        <f aca="false">IFERROR(ROUND(MatchData[[#this row],[moat sum]]/MatchData[[#this row],[moat avail count]],2),0)</f>
        <v>#VALUE!</v>
      </c>
      <c r="CU119" s="16" t="e">
        <f aca="false">IFERROR(ROUND(MatchData[[#this row],[ramparts sum]]/MatchData[[#this row],[ramparts avail count]],2),0)</f>
        <v>#VALUE!</v>
      </c>
      <c r="CV119" s="16" t="e">
        <f aca="false">IFERROR(ROUND(MatchData[[#this row],[drawbridge sum]]/MatchData[[#this row],[drawbridge avail countigh6]],2),0)</f>
        <v>#VALUE!</v>
      </c>
      <c r="CW119" s="16" t="e">
        <f aca="false">IFERROR(ROUND(MatchData[[#this row],[sally port sum]]/MatchData[[#this row],[sally port avail count]],2),0)</f>
        <v>#VALUE!</v>
      </c>
      <c r="CX119" s="5" t="e">
        <f aca="false">IFERROR(ROUND(MatchData[[#this row],[rock wall sum]]/MatchData[[#this row],[rock wall avail count]],2),0)</f>
        <v>#VALUE!</v>
      </c>
      <c r="CY119" s="5" t="e">
        <f aca="false">IFERROR(ROUND(MatchData[[#this row],[rough terrain sum]]/MatchData[[#this row],[rough terrain avail count]],2),0)</f>
        <v>#VALUE!</v>
      </c>
      <c r="CZ119" s="5" t="e">
        <f aca="false">IFERROR(ROUND(MatchData[[#this row],[low bar sum]]/MatchData[[#this row],[low bar avail count]],2),0)</f>
        <v>#VALUE!</v>
      </c>
      <c r="DA119" s="16" t="e">
        <f aca="false">SUM(MatchData[[#this row],[cheval sum]:[low bar sum]])/MatchData[match count]</f>
        <v>#VALUE!</v>
      </c>
      <c r="DB119" s="16" t="n">
        <f aca="false">MAX(IF(C$2:C$74=C119,BP$2:BP$74))</f>
        <v>-1.79769313486232E+308</v>
      </c>
      <c r="DC119" s="16" t="e">
        <f aca="false">AVERAGEIF(MatchData[team],MatchData[[#this row],[team]],MatchData[total score])</f>
        <v>#VALUE!</v>
      </c>
      <c r="DD119" s="16" t="e">
        <f aca="false">ROUND(AVERAGEIF(MatchData[team],MatchData[team],MatchData[climb or challenge flag]),2)</f>
        <v>#VALUE!</v>
      </c>
    </row>
    <row r="120" customFormat="false" ht="14.5" hidden="false" customHeight="false" outlineLevel="0" collapsed="false">
      <c r="A120" s="13" t="s">
        <v>108</v>
      </c>
      <c r="B120" s="14" t="n">
        <v>20</v>
      </c>
      <c r="C120" s="15" t="n">
        <v>3674</v>
      </c>
      <c r="D120" s="5" t="s">
        <v>113</v>
      </c>
      <c r="E120" s="5" t="s">
        <v>125</v>
      </c>
      <c r="G120" s="16"/>
      <c r="I120" s="16"/>
      <c r="J120" s="5" t="n">
        <v>1</v>
      </c>
      <c r="K120" s="16"/>
      <c r="L120" s="5" t="n">
        <v>1</v>
      </c>
      <c r="N120" s="5" t="n">
        <v>1</v>
      </c>
      <c r="O120" s="5" t="n">
        <v>1</v>
      </c>
      <c r="P120" s="0"/>
      <c r="Q120" s="0"/>
      <c r="R120" s="5" t="n">
        <v>1</v>
      </c>
      <c r="S120" s="16"/>
      <c r="T120" s="0"/>
      <c r="U120" s="16"/>
      <c r="V120" s="16"/>
      <c r="W120" s="0"/>
      <c r="X120" s="0"/>
      <c r="AD120" s="16"/>
      <c r="AE120" s="5"/>
      <c r="AF120" s="16"/>
      <c r="AG120" s="16"/>
      <c r="AH120" s="16"/>
      <c r="AJ120" s="16"/>
      <c r="AL120" s="16" t="n">
        <v>1</v>
      </c>
      <c r="AN120" s="16"/>
      <c r="AP120" s="16"/>
      <c r="AR120" s="16"/>
      <c r="AT120" s="16"/>
      <c r="AU120" s="16"/>
      <c r="AV120" s="16"/>
      <c r="AW120" s="16" t="n">
        <v>1</v>
      </c>
      <c r="AX120" s="16"/>
      <c r="AY120" s="16"/>
      <c r="AZ120" s="16"/>
      <c r="BB120" s="16" t="n">
        <v>1</v>
      </c>
      <c r="BC120" s="16" t="e">
        <f aca="false">MatchData[cheval scored crossings]*5</f>
        <v>#VALUE!</v>
      </c>
      <c r="BD120" s="16" t="e">
        <f aca="false">MatchData[moat scored crosings]*5</f>
        <v>#VALUE!</v>
      </c>
      <c r="BE120" s="16" t="e">
        <f aca="false">MatchData[ramparts scored crossings]*5</f>
        <v>#VALUE!</v>
      </c>
      <c r="BF120" s="16" t="e">
        <f aca="false">MatchData[drawbridge scored crossings]*5</f>
        <v>#VALUE!</v>
      </c>
      <c r="BG120" s="16" t="e">
        <f aca="false">MatchData[sally port scored crossings]*5</f>
        <v>#VALUE!</v>
      </c>
      <c r="BH120" s="16" t="e">
        <f aca="false">MatchData[rock wall scored crossings]*5</f>
        <v>#VALUE!</v>
      </c>
      <c r="BI120" s="16" t="e">
        <f aca="false">MatchData[rough terrain scored crossings]*5</f>
        <v>#VALUE!</v>
      </c>
      <c r="BJ120" s="16" t="e">
        <f aca="false">MatchData[low bar scored crossings]*5</f>
        <v>#VALUE!</v>
      </c>
      <c r="BK120" s="16" t="e">
        <f aca="false">SUM(MatchData[[#this row],[low bar teleop crossings]:[rough terrain scored crossings]])</f>
        <v>#VALUE!</v>
      </c>
      <c r="BL120" s="16" t="e">
        <f aca="false">IFERROR(IF(OR(MatchData[[#this row],[challenge flag]],MatchData[[#this row],[climb flag]]),1,0),0)</f>
        <v>#VALUE!</v>
      </c>
      <c r="BM120" s="16" t="e">
        <f aca="false">MatchData[auto high goals]*10+MatchData[teleop high goals]*5</f>
        <v>#VALUE!</v>
      </c>
      <c r="BN120" s="16" t="e">
        <f aca="false">MatchData[auto low goals]*5+MatchData[teleop low goals]*2</f>
        <v>#VALUE!</v>
      </c>
      <c r="BO120" s="16" t="e">
        <f aca="false">MatchData[high goal score]+MatchData[low goal score]</f>
        <v>#VALUE!</v>
      </c>
      <c r="BP120" s="16" t="e">
        <f aca="false">MatchData[teleop high goals]+MatchData[teleop low goals]</f>
        <v>#VALUE!</v>
      </c>
      <c r="BQ120" s="16" t="e">
        <f aca="false">MatchData[[#this row],[auto reach flag]]*2+SUM(MatchData[[#this row],[portcullis auto crossings]:[low bar auto crossings]])*10+MatchData[[#this row],[auto low goals]]*5+MatchData[auto high goals]*10</f>
        <v>#VALUE!</v>
      </c>
      <c r="BR120" s="16" t="e">
        <f aca="false">SUM(MatchData[[#this row],[cheval teleop crossing score]:[low bar teleop crossing score]])</f>
        <v>#VALUE!</v>
      </c>
      <c r="BS120" s="16" t="e">
        <f aca="false">SUMIF(MatchData[team],MatchData[[#this row],[team]],MatchData[total auto score])/MatchData[match count]</f>
        <v>#VALUE!</v>
      </c>
      <c r="BT120" s="16" t="e">
        <f aca="false">MatchData[challenge flag]*5</f>
        <v>#VALUE!</v>
      </c>
      <c r="BU120" s="16" t="e">
        <f aca="false">MatchData[climb flag]*15</f>
        <v>#VALUE!</v>
      </c>
      <c r="BV120" s="16" t="e">
        <f aca="false">SUM(MatchData[[#this row],[total goal score]],MatchData[[#this row],[crossing score]],MatchData[[#this row],[challenge score]],MatchData[[#this row],[climb score]],MatchData[[#this row],[total auto score]])</f>
        <v>#VALUE!</v>
      </c>
      <c r="BW120" s="16" t="e">
        <f aca="false">ROUND(SUMIF(MatchData[team],MatchData[[#this row],[team]],MatchData[teleop low goals])/COUNTIF(MatchData[team],MatchData[[#this row],[team]]),2)</f>
        <v>#VALUE!</v>
      </c>
      <c r="BX120" s="16" t="e">
        <f aca="false">ROUND(SUMIF(MatchData[team],MatchData[[#this row],[team]],MatchData[teleop high goals])/COUNTIF(MatchData[team],MatchData[[#this row],[team]]),2)</f>
        <v>#VALUE!</v>
      </c>
      <c r="BY120" s="16" t="e">
        <f aca="false">COUNTIF(MatchData[team],MatchData[[#this row],[team]])</f>
        <v>#VALUE!</v>
      </c>
      <c r="BZ120" s="16" t="e">
        <f aca="false">SUMIF(MatchData[team],MatchData[[#this row],[team]],MatchData[portcullis available])</f>
        <v>#VALUE!</v>
      </c>
      <c r="CA120" s="16" t="e">
        <f aca="false">SUMIF(MatchData[team],MatchData[[#this row],[team]],MatchData[cheval available])</f>
        <v>#VALUE!</v>
      </c>
      <c r="CB120" s="16" t="e">
        <f aca="false">SUMIF(MatchData[team],MatchData[[#this row],[team]],MatchData[moat available])</f>
        <v>#VALUE!</v>
      </c>
      <c r="CC120" s="16" t="e">
        <f aca="false">SUMIF(MatchData[team],MatchData[[#this row],[team]],MatchData[ramparts available])</f>
        <v>#VALUE!</v>
      </c>
      <c r="CD120" s="16" t="e">
        <f aca="false">SUMIF(MatchData[team],MatchData[[#this row],[team]],MatchData[drawbridge available])</f>
        <v>#VALUE!</v>
      </c>
      <c r="CE120" s="16" t="e">
        <f aca="false">SUMIF(MatchData[team],MatchData[[#this row],[team]],MatchData[sally port available])</f>
        <v>#VALUE!</v>
      </c>
      <c r="CF120" s="16" t="e">
        <f aca="false">SUMIF(MatchData[team],MatchData[[#this row],[team]],MatchData[rock wall available])</f>
        <v>#VALUE!</v>
      </c>
      <c r="CG120" s="16" t="e">
        <f aca="false">SUMIF(MatchData[team],MatchData[[#this row],[team]],MatchData[rough terrain available])</f>
        <v>#VALUE!</v>
      </c>
      <c r="CH120" s="16" t="e">
        <f aca="false">SUMIF(MatchData[team],MatchData[[#this row],[team]],MatchData[low bar available])</f>
        <v>#VALUE!</v>
      </c>
      <c r="CI120" s="16" t="e">
        <f aca="false">SUMIF(MatchData[team],MatchData[[#this row],[team]],MatchData[portcullis teleop crossings]:MatchData[portcullis scored crossings])</f>
        <v>#VALUE!</v>
      </c>
      <c r="CJ120" s="16" t="e">
        <f aca="false">SUMIF(MatchData[team],MatchData[[#this row],[team]],MatchData[cheval teleop crossings])+SUMIF(MatchData[team],MatchData[[#this row],[team]],MatchData[cheval scored crossings])</f>
        <v>#VALUE!</v>
      </c>
      <c r="CK120" s="16" t="e">
        <f aca="false">SUMIF(MatchData[team],MatchData[[#this row],[team]],MatchData[moat teleop crossings])+SUMIF(MatchData[team],MatchData[[#this row],[team]],MatchData[moat scored crosings])</f>
        <v>#VALUE!</v>
      </c>
      <c r="CL120" s="16" t="e">
        <f aca="false">SUMIF(MatchData[team],MatchData[[#this row],[team]],MatchData[ramparts teleop crossings])+SUMIF(MatchData[team],MatchData[[#this row],[team]],MatchData[ramparts scored crossings])</f>
        <v>#VALUE!</v>
      </c>
      <c r="CM120" s="16" t="e">
        <f aca="false">SUMIF(MatchData[team],MatchData[[#this row],[team]],MatchData[drawbridge teleop crossings])+SUMIF(MatchData[team],MatchData[[#this row],[team]],MatchData[drawbridge scored crossings])</f>
        <v>#VALUE!</v>
      </c>
      <c r="CN120" s="16" t="e">
        <f aca="false">SUMIF(MatchData[team],MatchData[[#this row],[team]],MatchData[sally port teleop crossings])+SUMIF(MatchData[team],MatchData[[#this row],[team]],MatchData[sally port scored crossings])</f>
        <v>#VALUE!</v>
      </c>
      <c r="CO120" s="16" t="e">
        <f aca="false">SUMIF(MatchData[team],MatchData[[#this row],[team]],MatchData[rock wall teleop crossings])+SUMIF(MatchData[team],MatchData[[#this row],[team]],MatchData[rock wall scored crossings])</f>
        <v>#VALUE!</v>
      </c>
      <c r="CP120" s="16" t="e">
        <f aca="false">SUMIF(MatchData[team],MatchData[[#this row],[team]],MatchData[rough terrain teleop crossings])+SUMIF(MatchData[team],MatchData[[#this row],[team]],MatchData[rough terrain scored crossings])</f>
        <v>#VALUE!</v>
      </c>
      <c r="CQ120" s="16" t="e">
        <f aca="false">SUMIF(MatchData[team],MatchData[[#this row],[team]],MatchData[low bar teleop crossings])+SUMIF(MatchData[team],MatchData[[#this row],[team]],MatchData[low bar scored crossings])</f>
        <v>#VALUE!</v>
      </c>
      <c r="CR120" s="16" t="e">
        <f aca="false">IFERROR(ROUND(MatchData[[#this row],[portcullis sum]]/MatchData[[#this row],[portcullis avail count]],2),0)</f>
        <v>#VALUE!</v>
      </c>
      <c r="CS120" s="16" t="e">
        <f aca="false">IFERROR(ROUND(MatchData[[#this row],[cheval sum]]/MatchData[[#this row],[cheval avail count]],2),0)</f>
        <v>#VALUE!</v>
      </c>
      <c r="CT120" s="16" t="e">
        <f aca="false">IFERROR(ROUND(MatchData[[#this row],[moat sum]]/MatchData[[#this row],[moat avail count]],2),0)</f>
        <v>#VALUE!</v>
      </c>
      <c r="CU120" s="16" t="e">
        <f aca="false">IFERROR(ROUND(MatchData[[#this row],[ramparts sum]]/MatchData[[#this row],[ramparts avail count]],2),0)</f>
        <v>#VALUE!</v>
      </c>
      <c r="CV120" s="16" t="e">
        <f aca="false">IFERROR(ROUND(MatchData[[#this row],[drawbridge sum]]/MatchData[[#this row],[drawbridge avail countigh6]],2),0)</f>
        <v>#VALUE!</v>
      </c>
      <c r="CW120" s="16" t="e">
        <f aca="false">IFERROR(ROUND(MatchData[[#this row],[sally port sum]]/MatchData[[#this row],[sally port avail count]],2),0)</f>
        <v>#VALUE!</v>
      </c>
      <c r="CX120" s="5" t="e">
        <f aca="false">IFERROR(ROUND(MatchData[[#this row],[rock wall sum]]/MatchData[[#this row],[rock wall avail count]],2),0)</f>
        <v>#VALUE!</v>
      </c>
      <c r="CY120" s="5" t="e">
        <f aca="false">IFERROR(ROUND(MatchData[[#this row],[rough terrain sum]]/MatchData[[#this row],[rough terrain avail count]],2),0)</f>
        <v>#VALUE!</v>
      </c>
      <c r="CZ120" s="5" t="e">
        <f aca="false">IFERROR(ROUND(MatchData[[#this row],[low bar sum]]/MatchData[[#this row],[low bar avail count]],2),0)</f>
        <v>#VALUE!</v>
      </c>
      <c r="DA120" s="16" t="e">
        <f aca="false">SUM(MatchData[[#this row],[cheval sum]:[low bar sum]])/MatchData[match count]</f>
        <v>#VALUE!</v>
      </c>
      <c r="DB120" s="16" t="n">
        <f aca="false">MAX(IF(C$2:C$74=C120,BP$2:BP$74))</f>
        <v>-1.79769313486232E+308</v>
      </c>
      <c r="DC120" s="16" t="e">
        <f aca="false">AVERAGEIF(MatchData[team],MatchData[[#this row],[team]],MatchData[total score])</f>
        <v>#VALUE!</v>
      </c>
      <c r="DD120" s="16" t="e">
        <f aca="false">ROUND(AVERAGEIF(MatchData[team],MatchData[team],MatchData[climb or challenge flag]),2)</f>
        <v>#VALUE!</v>
      </c>
    </row>
    <row r="121" customFormat="false" ht="14.5" hidden="false" customHeight="false" outlineLevel="0" collapsed="false">
      <c r="A121" s="17" t="s">
        <v>108</v>
      </c>
      <c r="B121" s="18" t="n">
        <v>20</v>
      </c>
      <c r="C121" s="15" t="n">
        <v>4051</v>
      </c>
      <c r="D121" s="5" t="s">
        <v>113</v>
      </c>
      <c r="E121" s="5" t="s">
        <v>138</v>
      </c>
      <c r="G121" s="16"/>
      <c r="I121" s="16"/>
      <c r="J121" s="5" t="n">
        <v>1</v>
      </c>
      <c r="K121" s="16"/>
      <c r="L121" s="5" t="n">
        <v>1</v>
      </c>
      <c r="N121" s="5" t="n">
        <v>1</v>
      </c>
      <c r="O121" s="5" t="n">
        <v>1</v>
      </c>
      <c r="P121" s="0"/>
      <c r="Q121" s="0"/>
      <c r="R121" s="5" t="n">
        <v>1</v>
      </c>
      <c r="S121" s="16"/>
      <c r="T121" s="0"/>
      <c r="U121" s="16"/>
      <c r="V121" s="16"/>
      <c r="W121" s="0"/>
      <c r="X121" s="0"/>
      <c r="AD121" s="16" t="n">
        <v>1</v>
      </c>
      <c r="AE121" s="5"/>
      <c r="AF121" s="16"/>
      <c r="AG121" s="16"/>
      <c r="AH121" s="16"/>
      <c r="AJ121" s="16"/>
      <c r="AL121" s="16"/>
      <c r="AN121" s="16"/>
      <c r="AP121" s="16"/>
      <c r="AR121" s="16"/>
      <c r="AT121" s="16" t="n">
        <v>1</v>
      </c>
      <c r="AU121" s="16"/>
      <c r="AV121" s="16"/>
      <c r="AW121" s="16"/>
      <c r="AX121" s="16"/>
      <c r="AY121" s="16"/>
      <c r="AZ121" s="16"/>
      <c r="BB121" s="16" t="n">
        <v>1</v>
      </c>
      <c r="BC121" s="16" t="e">
        <f aca="false">MatchData[cheval scored crossings]*5</f>
        <v>#VALUE!</v>
      </c>
      <c r="BD121" s="16" t="e">
        <f aca="false">MatchData[moat scored crosings]*5</f>
        <v>#VALUE!</v>
      </c>
      <c r="BE121" s="16" t="e">
        <f aca="false">MatchData[ramparts scored crossings]*5</f>
        <v>#VALUE!</v>
      </c>
      <c r="BF121" s="16" t="e">
        <f aca="false">MatchData[drawbridge scored crossings]*5</f>
        <v>#VALUE!</v>
      </c>
      <c r="BG121" s="16" t="e">
        <f aca="false">MatchData[sally port scored crossings]*5</f>
        <v>#VALUE!</v>
      </c>
      <c r="BH121" s="16" t="e">
        <f aca="false">MatchData[rock wall scored crossings]*5</f>
        <v>#VALUE!</v>
      </c>
      <c r="BI121" s="16" t="e">
        <f aca="false">MatchData[rough terrain scored crossings]*5</f>
        <v>#VALUE!</v>
      </c>
      <c r="BJ121" s="16" t="e">
        <f aca="false">MatchData[low bar scored crossings]*5</f>
        <v>#VALUE!</v>
      </c>
      <c r="BK121" s="16" t="e">
        <f aca="false">SUM(MatchData[[#this row],[low bar teleop crossings]:[rough terrain scored crossings]])</f>
        <v>#VALUE!</v>
      </c>
      <c r="BL121" s="16" t="e">
        <f aca="false">IFERROR(IF(OR(MatchData[[#this row],[challenge flag]],MatchData[[#this row],[climb flag]]),1,0),0)</f>
        <v>#VALUE!</v>
      </c>
      <c r="BM121" s="16" t="e">
        <f aca="false">MatchData[auto high goals]*10+MatchData[teleop high goals]*5</f>
        <v>#VALUE!</v>
      </c>
      <c r="BN121" s="16" t="e">
        <f aca="false">MatchData[auto low goals]*5+MatchData[teleop low goals]*2</f>
        <v>#VALUE!</v>
      </c>
      <c r="BO121" s="16" t="e">
        <f aca="false">MatchData[high goal score]+MatchData[low goal score]</f>
        <v>#VALUE!</v>
      </c>
      <c r="BP121" s="16" t="e">
        <f aca="false">MatchData[teleop high goals]+MatchData[teleop low goals]</f>
        <v>#VALUE!</v>
      </c>
      <c r="BQ121" s="16" t="e">
        <f aca="false">MatchData[[#this row],[auto reach flag]]*2+SUM(MatchData[[#this row],[portcullis auto crossings]:[low bar auto crossings]])*10+MatchData[[#this row],[auto low goals]]*5+MatchData[auto high goals]*10</f>
        <v>#VALUE!</v>
      </c>
      <c r="BR121" s="16" t="e">
        <f aca="false">SUM(MatchData[[#this row],[cheval teleop crossing score]:[low bar teleop crossing score]])</f>
        <v>#VALUE!</v>
      </c>
      <c r="BS121" s="16" t="e">
        <f aca="false">SUMIF(MatchData[team],MatchData[[#this row],[team]],MatchData[total auto score])/MatchData[match count]</f>
        <v>#VALUE!</v>
      </c>
      <c r="BT121" s="16" t="e">
        <f aca="false">MatchData[challenge flag]*5</f>
        <v>#VALUE!</v>
      </c>
      <c r="BU121" s="16" t="e">
        <f aca="false">MatchData[climb flag]*15</f>
        <v>#VALUE!</v>
      </c>
      <c r="BV121" s="16" t="e">
        <f aca="false">SUM(MatchData[[#this row],[total goal score]],MatchData[[#this row],[crossing score]],MatchData[[#this row],[challenge score]],MatchData[[#this row],[climb score]],MatchData[[#this row],[total auto score]])</f>
        <v>#VALUE!</v>
      </c>
      <c r="BW121" s="16" t="e">
        <f aca="false">ROUND(SUMIF(MatchData[team],MatchData[[#this row],[team]],MatchData[teleop low goals])/COUNTIF(MatchData[team],MatchData[[#this row],[team]]),2)</f>
        <v>#VALUE!</v>
      </c>
      <c r="BX121" s="16" t="e">
        <f aca="false">ROUND(SUMIF(MatchData[team],MatchData[[#this row],[team]],MatchData[teleop high goals])/COUNTIF(MatchData[team],MatchData[[#this row],[team]]),2)</f>
        <v>#VALUE!</v>
      </c>
      <c r="BY121" s="16" t="e">
        <f aca="false">COUNTIF(MatchData[team],MatchData[[#this row],[team]])</f>
        <v>#VALUE!</v>
      </c>
      <c r="BZ121" s="16" t="e">
        <f aca="false">SUMIF(MatchData[team],MatchData[[#this row],[team]],MatchData[portcullis available])</f>
        <v>#VALUE!</v>
      </c>
      <c r="CA121" s="16" t="e">
        <f aca="false">SUMIF(MatchData[team],MatchData[[#this row],[team]],MatchData[cheval available])</f>
        <v>#VALUE!</v>
      </c>
      <c r="CB121" s="16" t="e">
        <f aca="false">SUMIF(MatchData[team],MatchData[[#this row],[team]],MatchData[moat available])</f>
        <v>#VALUE!</v>
      </c>
      <c r="CC121" s="16" t="e">
        <f aca="false">SUMIF(MatchData[team],MatchData[[#this row],[team]],MatchData[ramparts available])</f>
        <v>#VALUE!</v>
      </c>
      <c r="CD121" s="16" t="e">
        <f aca="false">SUMIF(MatchData[team],MatchData[[#this row],[team]],MatchData[drawbridge available])</f>
        <v>#VALUE!</v>
      </c>
      <c r="CE121" s="16" t="e">
        <f aca="false">SUMIF(MatchData[team],MatchData[[#this row],[team]],MatchData[sally port available])</f>
        <v>#VALUE!</v>
      </c>
      <c r="CF121" s="16" t="e">
        <f aca="false">SUMIF(MatchData[team],MatchData[[#this row],[team]],MatchData[rock wall available])</f>
        <v>#VALUE!</v>
      </c>
      <c r="CG121" s="16" t="e">
        <f aca="false">SUMIF(MatchData[team],MatchData[[#this row],[team]],MatchData[rough terrain available])</f>
        <v>#VALUE!</v>
      </c>
      <c r="CH121" s="16" t="e">
        <f aca="false">SUMIF(MatchData[team],MatchData[[#this row],[team]],MatchData[low bar available])</f>
        <v>#VALUE!</v>
      </c>
      <c r="CI121" s="16" t="e">
        <f aca="false">SUMIF(MatchData[team],MatchData[[#this row],[team]],MatchData[portcullis teleop crossings]:MatchData[portcullis scored crossings])</f>
        <v>#VALUE!</v>
      </c>
      <c r="CJ121" s="16" t="e">
        <f aca="false">SUMIF(MatchData[team],MatchData[[#this row],[team]],MatchData[cheval teleop crossings])+SUMIF(MatchData[team],MatchData[[#this row],[team]],MatchData[cheval scored crossings])</f>
        <v>#VALUE!</v>
      </c>
      <c r="CK121" s="16" t="e">
        <f aca="false">SUMIF(MatchData[team],MatchData[[#this row],[team]],MatchData[moat teleop crossings])+SUMIF(MatchData[team],MatchData[[#this row],[team]],MatchData[moat scored crosings])</f>
        <v>#VALUE!</v>
      </c>
      <c r="CL121" s="16" t="e">
        <f aca="false">SUMIF(MatchData[team],MatchData[[#this row],[team]],MatchData[ramparts teleop crossings])+SUMIF(MatchData[team],MatchData[[#this row],[team]],MatchData[ramparts scored crossings])</f>
        <v>#VALUE!</v>
      </c>
      <c r="CM121" s="16" t="e">
        <f aca="false">SUMIF(MatchData[team],MatchData[[#this row],[team]],MatchData[drawbridge teleop crossings])+SUMIF(MatchData[team],MatchData[[#this row],[team]],MatchData[drawbridge scored crossings])</f>
        <v>#VALUE!</v>
      </c>
      <c r="CN121" s="16" t="e">
        <f aca="false">SUMIF(MatchData[team],MatchData[[#this row],[team]],MatchData[sally port teleop crossings])+SUMIF(MatchData[team],MatchData[[#this row],[team]],MatchData[sally port scored crossings])</f>
        <v>#VALUE!</v>
      </c>
      <c r="CO121" s="16" t="e">
        <f aca="false">SUMIF(MatchData[team],MatchData[[#this row],[team]],MatchData[rock wall teleop crossings])+SUMIF(MatchData[team],MatchData[[#this row],[team]],MatchData[rock wall scored crossings])</f>
        <v>#VALUE!</v>
      </c>
      <c r="CP121" s="16" t="e">
        <f aca="false">SUMIF(MatchData[team],MatchData[[#this row],[team]],MatchData[rough terrain teleop crossings])+SUMIF(MatchData[team],MatchData[[#this row],[team]],MatchData[rough terrain scored crossings])</f>
        <v>#VALUE!</v>
      </c>
      <c r="CQ121" s="16" t="e">
        <f aca="false">SUMIF(MatchData[team],MatchData[[#this row],[team]],MatchData[low bar teleop crossings])+SUMIF(MatchData[team],MatchData[[#this row],[team]],MatchData[low bar scored crossings])</f>
        <v>#VALUE!</v>
      </c>
      <c r="CR121" s="16" t="e">
        <f aca="false">IFERROR(ROUND(MatchData[[#this row],[portcullis sum]]/MatchData[[#this row],[portcullis avail count]],2),0)</f>
        <v>#VALUE!</v>
      </c>
      <c r="CS121" s="16" t="e">
        <f aca="false">IFERROR(ROUND(MatchData[[#this row],[cheval sum]]/MatchData[[#this row],[cheval avail count]],2),0)</f>
        <v>#VALUE!</v>
      </c>
      <c r="CT121" s="16" t="e">
        <f aca="false">IFERROR(ROUND(MatchData[[#this row],[moat sum]]/MatchData[[#this row],[moat avail count]],2),0)</f>
        <v>#VALUE!</v>
      </c>
      <c r="CU121" s="16" t="e">
        <f aca="false">IFERROR(ROUND(MatchData[[#this row],[ramparts sum]]/MatchData[[#this row],[ramparts avail count]],2),0)</f>
        <v>#VALUE!</v>
      </c>
      <c r="CV121" s="16" t="e">
        <f aca="false">IFERROR(ROUND(MatchData[[#this row],[drawbridge sum]]/MatchData[[#this row],[drawbridge avail countigh6]],2),0)</f>
        <v>#VALUE!</v>
      </c>
      <c r="CW121" s="16" t="e">
        <f aca="false">IFERROR(ROUND(MatchData[[#this row],[sally port sum]]/MatchData[[#this row],[sally port avail count]],2),0)</f>
        <v>#VALUE!</v>
      </c>
      <c r="CX121" s="5" t="e">
        <f aca="false">IFERROR(ROUND(MatchData[[#this row],[rock wall sum]]/MatchData[[#this row],[rock wall avail count]],2),0)</f>
        <v>#VALUE!</v>
      </c>
      <c r="CY121" s="5" t="e">
        <f aca="false">IFERROR(ROUND(MatchData[[#this row],[rough terrain sum]]/MatchData[[#this row],[rough terrain avail count]],2),0)</f>
        <v>#VALUE!</v>
      </c>
      <c r="CZ121" s="5" t="e">
        <f aca="false">IFERROR(ROUND(MatchData[[#this row],[low bar sum]]/MatchData[[#this row],[low bar avail count]],2),0)</f>
        <v>#VALUE!</v>
      </c>
      <c r="DA121" s="16" t="e">
        <f aca="false">SUM(MatchData[[#this row],[cheval sum]:[low bar sum]])/MatchData[match count]</f>
        <v>#VALUE!</v>
      </c>
      <c r="DB121" s="16" t="n">
        <f aca="false">MAX(IF(C$2:C$74=C121,BP$2:BP$74))</f>
        <v>-1.79769313486232E+308</v>
      </c>
      <c r="DC121" s="16" t="e">
        <f aca="false">AVERAGEIF(MatchData[team],MatchData[[#this row],[team]],MatchData[total score])</f>
        <v>#VALUE!</v>
      </c>
      <c r="DD121" s="16" t="e">
        <f aca="false">ROUND(AVERAGEIF(MatchData[team],MatchData[team],MatchData[climb or challenge flag]),2)</f>
        <v>#VALUE!</v>
      </c>
    </row>
    <row r="122" customFormat="false" ht="14.5" hidden="false" customHeight="false" outlineLevel="0" collapsed="false">
      <c r="A122" s="17" t="s">
        <v>108</v>
      </c>
      <c r="B122" s="18" t="n">
        <v>21</v>
      </c>
      <c r="C122" s="15" t="n">
        <v>4662</v>
      </c>
      <c r="D122" s="5" t="s">
        <v>109</v>
      </c>
      <c r="E122" s="5" t="s">
        <v>120</v>
      </c>
      <c r="G122" s="16"/>
      <c r="I122" s="16"/>
      <c r="J122" s="5" t="n">
        <v>1</v>
      </c>
      <c r="K122" s="16"/>
      <c r="L122" s="5" t="n">
        <v>1</v>
      </c>
      <c r="M122" s="5" t="n">
        <v>1</v>
      </c>
      <c r="N122" s="0"/>
      <c r="O122" s="0"/>
      <c r="P122" s="5" t="n">
        <v>1</v>
      </c>
      <c r="Q122" s="0"/>
      <c r="R122" s="5" t="n">
        <v>1</v>
      </c>
      <c r="S122" s="16"/>
      <c r="T122" s="0"/>
      <c r="U122" s="16"/>
      <c r="V122" s="16"/>
      <c r="W122" s="0"/>
      <c r="X122" s="0"/>
      <c r="AB122" s="5" t="n">
        <v>1</v>
      </c>
      <c r="AC122" s="5" t="n">
        <v>1</v>
      </c>
      <c r="AD122" s="16"/>
      <c r="AE122" s="5"/>
      <c r="AF122" s="16"/>
      <c r="AG122" s="16"/>
      <c r="AH122" s="16" t="n">
        <v>2</v>
      </c>
      <c r="AJ122" s="16" t="n">
        <v>1</v>
      </c>
      <c r="AL122" s="16"/>
      <c r="AN122" s="16"/>
      <c r="AP122" s="16"/>
      <c r="AR122" s="16"/>
      <c r="AT122" s="16" t="n">
        <v>2</v>
      </c>
      <c r="AU122" s="16"/>
      <c r="AV122" s="16"/>
      <c r="AW122" s="16"/>
      <c r="AX122" s="16"/>
      <c r="AY122" s="16"/>
      <c r="AZ122" s="16"/>
      <c r="BB122" s="16"/>
      <c r="BC122" s="16" t="e">
        <f aca="false">MatchData[cheval scored crossings]*5</f>
        <v>#VALUE!</v>
      </c>
      <c r="BD122" s="16" t="e">
        <f aca="false">MatchData[moat scored crosings]*5</f>
        <v>#VALUE!</v>
      </c>
      <c r="BE122" s="16" t="e">
        <f aca="false">MatchData[ramparts scored crossings]*5</f>
        <v>#VALUE!</v>
      </c>
      <c r="BF122" s="16" t="e">
        <f aca="false">MatchData[drawbridge scored crossings]*5</f>
        <v>#VALUE!</v>
      </c>
      <c r="BG122" s="16" t="e">
        <f aca="false">MatchData[sally port scored crossings]*5</f>
        <v>#VALUE!</v>
      </c>
      <c r="BH122" s="16" t="e">
        <f aca="false">MatchData[rock wall scored crossings]*5</f>
        <v>#VALUE!</v>
      </c>
      <c r="BI122" s="16" t="e">
        <f aca="false">MatchData[rough terrain scored crossings]*5</f>
        <v>#VALUE!</v>
      </c>
      <c r="BJ122" s="16" t="e">
        <f aca="false">MatchData[low bar scored crossings]*5</f>
        <v>#VALUE!</v>
      </c>
      <c r="BK122" s="16" t="e">
        <f aca="false">SUM(MatchData[[#this row],[low bar teleop crossings]:[rough terrain scored crossings]])</f>
        <v>#VALUE!</v>
      </c>
      <c r="BL122" s="16" t="e">
        <f aca="false">IFERROR(IF(OR(MatchData[[#this row],[challenge flag]],MatchData[[#this row],[climb flag]]),1,0),0)</f>
        <v>#VALUE!</v>
      </c>
      <c r="BM122" s="16" t="e">
        <f aca="false">MatchData[auto high goals]*10+MatchData[teleop high goals]*5</f>
        <v>#VALUE!</v>
      </c>
      <c r="BN122" s="16" t="e">
        <f aca="false">MatchData[auto low goals]*5+MatchData[teleop low goals]*2</f>
        <v>#VALUE!</v>
      </c>
      <c r="BO122" s="16" t="e">
        <f aca="false">MatchData[high goal score]+MatchData[low goal score]</f>
        <v>#VALUE!</v>
      </c>
      <c r="BP122" s="16" t="e">
        <f aca="false">MatchData[teleop high goals]+MatchData[teleop low goals]</f>
        <v>#VALUE!</v>
      </c>
      <c r="BQ122" s="16" t="e">
        <f aca="false">MatchData[[#this row],[auto reach flag]]*2+SUM(MatchData[[#this row],[portcullis auto crossings]:[low bar auto crossings]])*10+MatchData[[#this row],[auto low goals]]*5+MatchData[auto high goals]*10</f>
        <v>#VALUE!</v>
      </c>
      <c r="BR122" s="16" t="e">
        <f aca="false">SUM(MatchData[[#this row],[cheval teleop crossing score]:[low bar teleop crossing score]])</f>
        <v>#VALUE!</v>
      </c>
      <c r="BS122" s="16" t="e">
        <f aca="false">SUMIF(MatchData[team],MatchData[[#this row],[team]],MatchData[total auto score])/MatchData[match count]</f>
        <v>#VALUE!</v>
      </c>
      <c r="BT122" s="16" t="e">
        <f aca="false">MatchData[challenge flag]*5</f>
        <v>#VALUE!</v>
      </c>
      <c r="BU122" s="16" t="e">
        <f aca="false">MatchData[climb flag]*15</f>
        <v>#VALUE!</v>
      </c>
      <c r="BV122" s="16" t="e">
        <f aca="false">SUM(MatchData[[#this row],[total goal score]],MatchData[[#this row],[crossing score]],MatchData[[#this row],[challenge score]],MatchData[[#this row],[climb score]],MatchData[[#this row],[total auto score]])</f>
        <v>#VALUE!</v>
      </c>
      <c r="BW122" s="16" t="e">
        <f aca="false">ROUND(SUMIF(MatchData[team],MatchData[[#this row],[team]],MatchData[teleop low goals])/COUNTIF(MatchData[team],MatchData[[#this row],[team]]),2)</f>
        <v>#VALUE!</v>
      </c>
      <c r="BX122" s="16" t="e">
        <f aca="false">ROUND(SUMIF(MatchData[team],MatchData[[#this row],[team]],MatchData[teleop high goals])/COUNTIF(MatchData[team],MatchData[[#this row],[team]]),2)</f>
        <v>#VALUE!</v>
      </c>
      <c r="BY122" s="16" t="e">
        <f aca="false">COUNTIF(MatchData[team],MatchData[[#this row],[team]])</f>
        <v>#VALUE!</v>
      </c>
      <c r="BZ122" s="16" t="e">
        <f aca="false">SUMIF(MatchData[team],MatchData[[#this row],[team]],MatchData[portcullis available])</f>
        <v>#VALUE!</v>
      </c>
      <c r="CA122" s="16" t="e">
        <f aca="false">SUMIF(MatchData[team],MatchData[[#this row],[team]],MatchData[cheval available])</f>
        <v>#VALUE!</v>
      </c>
      <c r="CB122" s="16" t="e">
        <f aca="false">SUMIF(MatchData[team],MatchData[[#this row],[team]],MatchData[moat available])</f>
        <v>#VALUE!</v>
      </c>
      <c r="CC122" s="16" t="e">
        <f aca="false">SUMIF(MatchData[team],MatchData[[#this row],[team]],MatchData[ramparts available])</f>
        <v>#VALUE!</v>
      </c>
      <c r="CD122" s="16" t="e">
        <f aca="false">SUMIF(MatchData[team],MatchData[[#this row],[team]],MatchData[drawbridge available])</f>
        <v>#VALUE!</v>
      </c>
      <c r="CE122" s="16" t="e">
        <f aca="false">SUMIF(MatchData[team],MatchData[[#this row],[team]],MatchData[sally port available])</f>
        <v>#VALUE!</v>
      </c>
      <c r="CF122" s="16" t="e">
        <f aca="false">SUMIF(MatchData[team],MatchData[[#this row],[team]],MatchData[rock wall available])</f>
        <v>#VALUE!</v>
      </c>
      <c r="CG122" s="16" t="e">
        <f aca="false">SUMIF(MatchData[team],MatchData[[#this row],[team]],MatchData[rough terrain available])</f>
        <v>#VALUE!</v>
      </c>
      <c r="CH122" s="16" t="e">
        <f aca="false">SUMIF(MatchData[team],MatchData[[#this row],[team]],MatchData[low bar available])</f>
        <v>#VALUE!</v>
      </c>
      <c r="CI122" s="16" t="e">
        <f aca="false">SUMIF(MatchData[team],MatchData[[#this row],[team]],MatchData[portcullis teleop crossings]:MatchData[portcullis scored crossings])</f>
        <v>#VALUE!</v>
      </c>
      <c r="CJ122" s="16" t="e">
        <f aca="false">SUMIF(MatchData[team],MatchData[[#this row],[team]],MatchData[cheval teleop crossings])+SUMIF(MatchData[team],MatchData[[#this row],[team]],MatchData[cheval scored crossings])</f>
        <v>#VALUE!</v>
      </c>
      <c r="CK122" s="16" t="e">
        <f aca="false">SUMIF(MatchData[team],MatchData[[#this row],[team]],MatchData[moat teleop crossings])+SUMIF(MatchData[team],MatchData[[#this row],[team]],MatchData[moat scored crosings])</f>
        <v>#VALUE!</v>
      </c>
      <c r="CL122" s="16" t="e">
        <f aca="false">SUMIF(MatchData[team],MatchData[[#this row],[team]],MatchData[ramparts teleop crossings])+SUMIF(MatchData[team],MatchData[[#this row],[team]],MatchData[ramparts scored crossings])</f>
        <v>#VALUE!</v>
      </c>
      <c r="CM122" s="16" t="e">
        <f aca="false">SUMIF(MatchData[team],MatchData[[#this row],[team]],MatchData[drawbridge teleop crossings])+SUMIF(MatchData[team],MatchData[[#this row],[team]],MatchData[drawbridge scored crossings])</f>
        <v>#VALUE!</v>
      </c>
      <c r="CN122" s="16" t="e">
        <f aca="false">SUMIF(MatchData[team],MatchData[[#this row],[team]],MatchData[sally port teleop crossings])+SUMIF(MatchData[team],MatchData[[#this row],[team]],MatchData[sally port scored crossings])</f>
        <v>#VALUE!</v>
      </c>
      <c r="CO122" s="16" t="e">
        <f aca="false">SUMIF(MatchData[team],MatchData[[#this row],[team]],MatchData[rock wall teleop crossings])+SUMIF(MatchData[team],MatchData[[#this row],[team]],MatchData[rock wall scored crossings])</f>
        <v>#VALUE!</v>
      </c>
      <c r="CP122" s="16" t="e">
        <f aca="false">SUMIF(MatchData[team],MatchData[[#this row],[team]],MatchData[rough terrain teleop crossings])+SUMIF(MatchData[team],MatchData[[#this row],[team]],MatchData[rough terrain scored crossings])</f>
        <v>#VALUE!</v>
      </c>
      <c r="CQ122" s="16" t="e">
        <f aca="false">SUMIF(MatchData[team],MatchData[[#this row],[team]],MatchData[low bar teleop crossings])+SUMIF(MatchData[team],MatchData[[#this row],[team]],MatchData[low bar scored crossings])</f>
        <v>#VALUE!</v>
      </c>
      <c r="CR122" s="16" t="e">
        <f aca="false">IFERROR(ROUND(MatchData[[#this row],[portcullis sum]]/MatchData[[#this row],[portcullis avail count]],2),0)</f>
        <v>#VALUE!</v>
      </c>
      <c r="CS122" s="16" t="e">
        <f aca="false">IFERROR(ROUND(MatchData[[#this row],[cheval sum]]/MatchData[[#this row],[cheval avail count]],2),0)</f>
        <v>#VALUE!</v>
      </c>
      <c r="CT122" s="16" t="e">
        <f aca="false">IFERROR(ROUND(MatchData[[#this row],[moat sum]]/MatchData[[#this row],[moat avail count]],2),0)</f>
        <v>#VALUE!</v>
      </c>
      <c r="CU122" s="16" t="e">
        <f aca="false">IFERROR(ROUND(MatchData[[#this row],[ramparts sum]]/MatchData[[#this row],[ramparts avail count]],2),0)</f>
        <v>#VALUE!</v>
      </c>
      <c r="CV122" s="16" t="e">
        <f aca="false">IFERROR(ROUND(MatchData[[#this row],[drawbridge sum]]/MatchData[[#this row],[drawbridge avail countigh6]],2),0)</f>
        <v>#VALUE!</v>
      </c>
      <c r="CW122" s="16" t="e">
        <f aca="false">IFERROR(ROUND(MatchData[[#this row],[sally port sum]]/MatchData[[#this row],[sally port avail count]],2),0)</f>
        <v>#VALUE!</v>
      </c>
      <c r="CX122" s="5" t="e">
        <f aca="false">IFERROR(ROUND(MatchData[[#this row],[rock wall sum]]/MatchData[[#this row],[rock wall avail count]],2),0)</f>
        <v>#VALUE!</v>
      </c>
      <c r="CY122" s="5" t="e">
        <f aca="false">IFERROR(ROUND(MatchData[[#this row],[rough terrain sum]]/MatchData[[#this row],[rough terrain avail count]],2),0)</f>
        <v>#VALUE!</v>
      </c>
      <c r="CZ122" s="5" t="e">
        <f aca="false">IFERROR(ROUND(MatchData[[#this row],[low bar sum]]/MatchData[[#this row],[low bar avail count]],2),0)</f>
        <v>#VALUE!</v>
      </c>
      <c r="DA122" s="16" t="e">
        <f aca="false">SUM(MatchData[[#this row],[cheval sum]:[low bar sum]])/MatchData[match count]</f>
        <v>#VALUE!</v>
      </c>
      <c r="DB122" s="16" t="n">
        <f aca="false">MAX(IF(C$2:C$74=C122,BP$2:BP$74))</f>
        <v>-1.79769313486232E+308</v>
      </c>
      <c r="DC122" s="16" t="e">
        <f aca="false">AVERAGEIF(MatchData[team],MatchData[[#this row],[team]],MatchData[total score])</f>
        <v>#VALUE!</v>
      </c>
      <c r="DD122" s="16" t="e">
        <f aca="false">ROUND(AVERAGEIF(MatchData[team],MatchData[team],MatchData[climb or challenge flag]),2)</f>
        <v>#VALUE!</v>
      </c>
    </row>
    <row r="123" customFormat="false" ht="14.5" hidden="false" customHeight="false" outlineLevel="0" collapsed="false">
      <c r="A123" s="17" t="s">
        <v>108</v>
      </c>
      <c r="B123" s="18" t="n">
        <v>21</v>
      </c>
      <c r="C123" s="15" t="n">
        <v>5085</v>
      </c>
      <c r="D123" s="5" t="s">
        <v>109</v>
      </c>
      <c r="E123" s="5" t="s">
        <v>117</v>
      </c>
      <c r="G123" s="16"/>
      <c r="I123" s="16"/>
      <c r="J123" s="5" t="n">
        <v>1</v>
      </c>
      <c r="K123" s="16"/>
      <c r="L123" s="5" t="n">
        <v>1</v>
      </c>
      <c r="M123" s="5" t="n">
        <v>1</v>
      </c>
      <c r="N123" s="0"/>
      <c r="O123" s="0"/>
      <c r="P123" s="5" t="n">
        <v>1</v>
      </c>
      <c r="Q123" s="0"/>
      <c r="R123" s="5" t="n">
        <v>1</v>
      </c>
      <c r="S123" s="16" t="n">
        <v>1</v>
      </c>
      <c r="T123" s="0"/>
      <c r="U123" s="16"/>
      <c r="V123" s="16"/>
      <c r="W123" s="0"/>
      <c r="X123" s="0"/>
      <c r="AD123" s="16"/>
      <c r="AE123" s="5"/>
      <c r="AF123" s="16"/>
      <c r="AG123" s="16"/>
      <c r="AH123" s="16"/>
      <c r="AJ123" s="16"/>
      <c r="AL123" s="16"/>
      <c r="AN123" s="16"/>
      <c r="AP123" s="16" t="n">
        <v>1</v>
      </c>
      <c r="AR123" s="16"/>
      <c r="AT123" s="16"/>
      <c r="AU123" s="16"/>
      <c r="AV123" s="16"/>
      <c r="AW123" s="16"/>
      <c r="AX123" s="16"/>
      <c r="AY123" s="16"/>
      <c r="AZ123" s="16" t="n">
        <v>1</v>
      </c>
      <c r="BB123" s="16" t="n">
        <v>1</v>
      </c>
      <c r="BC123" s="16" t="e">
        <f aca="false">MatchData[cheval scored crossings]*5</f>
        <v>#VALUE!</v>
      </c>
      <c r="BD123" s="16" t="e">
        <f aca="false">MatchData[moat scored crosings]*5</f>
        <v>#VALUE!</v>
      </c>
      <c r="BE123" s="16" t="e">
        <f aca="false">MatchData[ramparts scored crossings]*5</f>
        <v>#VALUE!</v>
      </c>
      <c r="BF123" s="16" t="e">
        <f aca="false">MatchData[drawbridge scored crossings]*5</f>
        <v>#VALUE!</v>
      </c>
      <c r="BG123" s="16" t="e">
        <f aca="false">MatchData[sally port scored crossings]*5</f>
        <v>#VALUE!</v>
      </c>
      <c r="BH123" s="16" t="e">
        <f aca="false">MatchData[rock wall scored crossings]*5</f>
        <v>#VALUE!</v>
      </c>
      <c r="BI123" s="16" t="e">
        <f aca="false">MatchData[rough terrain scored crossings]*5</f>
        <v>#VALUE!</v>
      </c>
      <c r="BJ123" s="16" t="e">
        <f aca="false">MatchData[low bar scored crossings]*5</f>
        <v>#VALUE!</v>
      </c>
      <c r="BK123" s="16" t="e">
        <f aca="false">SUM(MatchData[[#this row],[low bar teleop crossings]:[rough terrain scored crossings]])</f>
        <v>#VALUE!</v>
      </c>
      <c r="BL123" s="16" t="e">
        <f aca="false">IFERROR(IF(OR(MatchData[[#this row],[challenge flag]],MatchData[[#this row],[climb flag]]),1,0),0)</f>
        <v>#VALUE!</v>
      </c>
      <c r="BM123" s="16" t="e">
        <f aca="false">MatchData[auto high goals]*10+MatchData[teleop high goals]*5</f>
        <v>#VALUE!</v>
      </c>
      <c r="BN123" s="16" t="e">
        <f aca="false">MatchData[auto low goals]*5+MatchData[teleop low goals]*2</f>
        <v>#VALUE!</v>
      </c>
      <c r="BO123" s="16" t="e">
        <f aca="false">MatchData[high goal score]+MatchData[low goal score]</f>
        <v>#VALUE!</v>
      </c>
      <c r="BP123" s="16" t="e">
        <f aca="false">MatchData[teleop high goals]+MatchData[teleop low goals]</f>
        <v>#VALUE!</v>
      </c>
      <c r="BQ123" s="16" t="e">
        <f aca="false">MatchData[[#this row],[auto reach flag]]*2+SUM(MatchData[[#this row],[portcullis auto crossings]:[low bar auto crossings]])*10+MatchData[[#this row],[auto low goals]]*5+MatchData[auto high goals]*10</f>
        <v>#VALUE!</v>
      </c>
      <c r="BR123" s="16" t="e">
        <f aca="false">SUM(MatchData[[#this row],[cheval teleop crossing score]:[low bar teleop crossing score]])</f>
        <v>#VALUE!</v>
      </c>
      <c r="BS123" s="16" t="e">
        <f aca="false">SUMIF(MatchData[team],MatchData[[#this row],[team]],MatchData[total auto score])/MatchData[match count]</f>
        <v>#VALUE!</v>
      </c>
      <c r="BT123" s="16" t="e">
        <f aca="false">MatchData[challenge flag]*5</f>
        <v>#VALUE!</v>
      </c>
      <c r="BU123" s="16" t="e">
        <f aca="false">MatchData[climb flag]*15</f>
        <v>#VALUE!</v>
      </c>
      <c r="BV123" s="16" t="e">
        <f aca="false">SUM(MatchData[[#this row],[total goal score]],MatchData[[#this row],[crossing score]],MatchData[[#this row],[challenge score]],MatchData[[#this row],[climb score]],MatchData[[#this row],[total auto score]])</f>
        <v>#VALUE!</v>
      </c>
      <c r="BW123" s="16" t="e">
        <f aca="false">ROUND(SUMIF(MatchData[team],MatchData[[#this row],[team]],MatchData[teleop low goals])/COUNTIF(MatchData[team],MatchData[[#this row],[team]]),2)</f>
        <v>#VALUE!</v>
      </c>
      <c r="BX123" s="16" t="e">
        <f aca="false">ROUND(SUMIF(MatchData[team],MatchData[[#this row],[team]],MatchData[teleop high goals])/COUNTIF(MatchData[team],MatchData[[#this row],[team]]),2)</f>
        <v>#VALUE!</v>
      </c>
      <c r="BY123" s="16" t="e">
        <f aca="false">COUNTIF(MatchData[team],MatchData[[#this row],[team]])</f>
        <v>#VALUE!</v>
      </c>
      <c r="BZ123" s="16" t="e">
        <f aca="false">SUMIF(MatchData[team],MatchData[[#this row],[team]],MatchData[portcullis available])</f>
        <v>#VALUE!</v>
      </c>
      <c r="CA123" s="16" t="e">
        <f aca="false">SUMIF(MatchData[team],MatchData[[#this row],[team]],MatchData[cheval available])</f>
        <v>#VALUE!</v>
      </c>
      <c r="CB123" s="16" t="e">
        <f aca="false">SUMIF(MatchData[team],MatchData[[#this row],[team]],MatchData[moat available])</f>
        <v>#VALUE!</v>
      </c>
      <c r="CC123" s="16" t="e">
        <f aca="false">SUMIF(MatchData[team],MatchData[[#this row],[team]],MatchData[ramparts available])</f>
        <v>#VALUE!</v>
      </c>
      <c r="CD123" s="16" t="e">
        <f aca="false">SUMIF(MatchData[team],MatchData[[#this row],[team]],MatchData[drawbridge available])</f>
        <v>#VALUE!</v>
      </c>
      <c r="CE123" s="16" t="e">
        <f aca="false">SUMIF(MatchData[team],MatchData[[#this row],[team]],MatchData[sally port available])</f>
        <v>#VALUE!</v>
      </c>
      <c r="CF123" s="16" t="e">
        <f aca="false">SUMIF(MatchData[team],MatchData[[#this row],[team]],MatchData[rock wall available])</f>
        <v>#VALUE!</v>
      </c>
      <c r="CG123" s="16" t="e">
        <f aca="false">SUMIF(MatchData[team],MatchData[[#this row],[team]],MatchData[rough terrain available])</f>
        <v>#VALUE!</v>
      </c>
      <c r="CH123" s="16" t="e">
        <f aca="false">SUMIF(MatchData[team],MatchData[[#this row],[team]],MatchData[low bar available])</f>
        <v>#VALUE!</v>
      </c>
      <c r="CI123" s="16" t="e">
        <f aca="false">SUMIF(MatchData[team],MatchData[[#this row],[team]],MatchData[portcullis teleop crossings]:MatchData[portcullis scored crossings])</f>
        <v>#VALUE!</v>
      </c>
      <c r="CJ123" s="16" t="e">
        <f aca="false">SUMIF(MatchData[team],MatchData[[#this row],[team]],MatchData[cheval teleop crossings])+SUMIF(MatchData[team],MatchData[[#this row],[team]],MatchData[cheval scored crossings])</f>
        <v>#VALUE!</v>
      </c>
      <c r="CK123" s="16" t="e">
        <f aca="false">SUMIF(MatchData[team],MatchData[[#this row],[team]],MatchData[moat teleop crossings])+SUMIF(MatchData[team],MatchData[[#this row],[team]],MatchData[moat scored crosings])</f>
        <v>#VALUE!</v>
      </c>
      <c r="CL123" s="16" t="e">
        <f aca="false">SUMIF(MatchData[team],MatchData[[#this row],[team]],MatchData[ramparts teleop crossings])+SUMIF(MatchData[team],MatchData[[#this row],[team]],MatchData[ramparts scored crossings])</f>
        <v>#VALUE!</v>
      </c>
      <c r="CM123" s="16" t="e">
        <f aca="false">SUMIF(MatchData[team],MatchData[[#this row],[team]],MatchData[drawbridge teleop crossings])+SUMIF(MatchData[team],MatchData[[#this row],[team]],MatchData[drawbridge scored crossings])</f>
        <v>#VALUE!</v>
      </c>
      <c r="CN123" s="16" t="e">
        <f aca="false">SUMIF(MatchData[team],MatchData[[#this row],[team]],MatchData[sally port teleop crossings])+SUMIF(MatchData[team],MatchData[[#this row],[team]],MatchData[sally port scored crossings])</f>
        <v>#VALUE!</v>
      </c>
      <c r="CO123" s="16" t="e">
        <f aca="false">SUMIF(MatchData[team],MatchData[[#this row],[team]],MatchData[rock wall teleop crossings])+SUMIF(MatchData[team],MatchData[[#this row],[team]],MatchData[rock wall scored crossings])</f>
        <v>#VALUE!</v>
      </c>
      <c r="CP123" s="16" t="e">
        <f aca="false">SUMIF(MatchData[team],MatchData[[#this row],[team]],MatchData[rough terrain teleop crossings])+SUMIF(MatchData[team],MatchData[[#this row],[team]],MatchData[rough terrain scored crossings])</f>
        <v>#VALUE!</v>
      </c>
      <c r="CQ123" s="16" t="e">
        <f aca="false">SUMIF(MatchData[team],MatchData[[#this row],[team]],MatchData[low bar teleop crossings])+SUMIF(MatchData[team],MatchData[[#this row],[team]],MatchData[low bar scored crossings])</f>
        <v>#VALUE!</v>
      </c>
      <c r="CR123" s="16" t="e">
        <f aca="false">IFERROR(ROUND(MatchData[[#this row],[portcullis sum]]/MatchData[[#this row],[portcullis avail count]],2),0)</f>
        <v>#VALUE!</v>
      </c>
      <c r="CS123" s="16" t="e">
        <f aca="false">IFERROR(ROUND(MatchData[[#this row],[cheval sum]]/MatchData[[#this row],[cheval avail count]],2),0)</f>
        <v>#VALUE!</v>
      </c>
      <c r="CT123" s="16" t="e">
        <f aca="false">IFERROR(ROUND(MatchData[[#this row],[moat sum]]/MatchData[[#this row],[moat avail count]],2),0)</f>
        <v>#VALUE!</v>
      </c>
      <c r="CU123" s="16" t="e">
        <f aca="false">IFERROR(ROUND(MatchData[[#this row],[ramparts sum]]/MatchData[[#this row],[ramparts avail count]],2),0)</f>
        <v>#VALUE!</v>
      </c>
      <c r="CV123" s="16" t="e">
        <f aca="false">IFERROR(ROUND(MatchData[[#this row],[drawbridge sum]]/MatchData[[#this row],[drawbridge avail countigh6]],2),0)</f>
        <v>#VALUE!</v>
      </c>
      <c r="CW123" s="16" t="e">
        <f aca="false">IFERROR(ROUND(MatchData[[#this row],[sally port sum]]/MatchData[[#this row],[sally port avail count]],2),0)</f>
        <v>#VALUE!</v>
      </c>
      <c r="CX123" s="5" t="e">
        <f aca="false">IFERROR(ROUND(MatchData[[#this row],[rock wall sum]]/MatchData[[#this row],[rock wall avail count]],2),0)</f>
        <v>#VALUE!</v>
      </c>
      <c r="CY123" s="5" t="e">
        <f aca="false">IFERROR(ROUND(MatchData[[#this row],[rough terrain sum]]/MatchData[[#this row],[rough terrain avail count]],2),0)</f>
        <v>#VALUE!</v>
      </c>
      <c r="CZ123" s="5" t="e">
        <f aca="false">IFERROR(ROUND(MatchData[[#this row],[low bar sum]]/MatchData[[#this row],[low bar avail count]],2),0)</f>
        <v>#VALUE!</v>
      </c>
      <c r="DA123" s="16" t="e">
        <f aca="false">SUM(MatchData[[#this row],[cheval sum]:[low bar sum]])/MatchData[match count]</f>
        <v>#VALUE!</v>
      </c>
      <c r="DB123" s="16" t="n">
        <f aca="false">MAX(IF(C$2:C$74=C123,BP$2:BP$74))</f>
        <v>-1.79769313486232E+308</v>
      </c>
      <c r="DC123" s="16" t="e">
        <f aca="false">AVERAGEIF(MatchData[team],MatchData[[#this row],[team]],MatchData[total score])</f>
        <v>#VALUE!</v>
      </c>
      <c r="DD123" s="16" t="e">
        <f aca="false">ROUND(AVERAGEIF(MatchData[team],MatchData[team],MatchData[climb or challenge flag]),2)</f>
        <v>#VALUE!</v>
      </c>
    </row>
    <row r="124" customFormat="false" ht="14.5" hidden="false" customHeight="false" outlineLevel="0" collapsed="false">
      <c r="A124" s="17" t="s">
        <v>108</v>
      </c>
      <c r="B124" s="14" t="n">
        <v>21</v>
      </c>
      <c r="C124" s="15" t="n">
        <v>5956</v>
      </c>
      <c r="D124" s="5" t="s">
        <v>109</v>
      </c>
      <c r="E124" s="5" t="s">
        <v>125</v>
      </c>
      <c r="G124" s="16"/>
      <c r="I124" s="16"/>
      <c r="J124" s="5" t="n">
        <v>1</v>
      </c>
      <c r="K124" s="16"/>
      <c r="L124" s="5" t="n">
        <v>1</v>
      </c>
      <c r="M124" s="5" t="n">
        <v>1</v>
      </c>
      <c r="N124" s="0"/>
      <c r="O124" s="0"/>
      <c r="P124" s="5" t="n">
        <v>1</v>
      </c>
      <c r="Q124" s="0"/>
      <c r="R124" s="5" t="n">
        <v>1</v>
      </c>
      <c r="S124" s="16"/>
      <c r="T124" s="0"/>
      <c r="U124" s="16"/>
      <c r="V124" s="16"/>
      <c r="W124" s="0"/>
      <c r="X124" s="0"/>
      <c r="AC124" s="5" t="n">
        <v>1</v>
      </c>
      <c r="AD124" s="16" t="n">
        <v>1</v>
      </c>
      <c r="AE124" s="5"/>
      <c r="AF124" s="16"/>
      <c r="AG124" s="16"/>
      <c r="AH124" s="16"/>
      <c r="AJ124" s="16"/>
      <c r="AL124" s="16"/>
      <c r="AN124" s="16"/>
      <c r="AP124" s="16"/>
      <c r="AR124" s="16"/>
      <c r="AT124" s="16"/>
      <c r="AU124" s="16"/>
      <c r="AV124" s="16"/>
      <c r="AW124" s="16"/>
      <c r="AX124" s="16"/>
      <c r="AY124" s="16" t="n">
        <v>1</v>
      </c>
      <c r="AZ124" s="16"/>
      <c r="BB124" s="16"/>
      <c r="BC124" s="16" t="e">
        <f aca="false">MatchData[cheval scored crossings]*5</f>
        <v>#VALUE!</v>
      </c>
      <c r="BD124" s="16" t="e">
        <f aca="false">MatchData[moat scored crosings]*5</f>
        <v>#VALUE!</v>
      </c>
      <c r="BE124" s="16" t="e">
        <f aca="false">MatchData[ramparts scored crossings]*5</f>
        <v>#VALUE!</v>
      </c>
      <c r="BF124" s="16" t="e">
        <f aca="false">MatchData[drawbridge scored crossings]*5</f>
        <v>#VALUE!</v>
      </c>
      <c r="BG124" s="16" t="e">
        <f aca="false">MatchData[sally port scored crossings]*5</f>
        <v>#VALUE!</v>
      </c>
      <c r="BH124" s="16" t="e">
        <f aca="false">MatchData[rock wall scored crossings]*5</f>
        <v>#VALUE!</v>
      </c>
      <c r="BI124" s="16" t="e">
        <f aca="false">MatchData[rough terrain scored crossings]*5</f>
        <v>#VALUE!</v>
      </c>
      <c r="BJ124" s="16" t="e">
        <f aca="false">MatchData[low bar scored crossings]*5</f>
        <v>#VALUE!</v>
      </c>
      <c r="BK124" s="16" t="e">
        <f aca="false">SUM(MatchData[[#this row],[low bar teleop crossings]:[rough terrain scored crossings]])</f>
        <v>#VALUE!</v>
      </c>
      <c r="BL124" s="16" t="e">
        <f aca="false">IFERROR(IF(OR(MatchData[[#this row],[challenge flag]],MatchData[[#this row],[climb flag]]),1,0),0)</f>
        <v>#VALUE!</v>
      </c>
      <c r="BM124" s="16" t="e">
        <f aca="false">MatchData[auto high goals]*10+MatchData[teleop high goals]*5</f>
        <v>#VALUE!</v>
      </c>
      <c r="BN124" s="16" t="e">
        <f aca="false">MatchData[auto low goals]*5+MatchData[teleop low goals]*2</f>
        <v>#VALUE!</v>
      </c>
      <c r="BO124" s="16" t="e">
        <f aca="false">MatchData[high goal score]+MatchData[low goal score]</f>
        <v>#VALUE!</v>
      </c>
      <c r="BP124" s="16" t="e">
        <f aca="false">MatchData[teleop high goals]+MatchData[teleop low goals]</f>
        <v>#VALUE!</v>
      </c>
      <c r="BQ124" s="16" t="e">
        <f aca="false">MatchData[[#this row],[auto reach flag]]*2+SUM(MatchData[[#this row],[portcullis auto crossings]:[low bar auto crossings]])*10+MatchData[[#this row],[auto low goals]]*5+MatchData[auto high goals]*10</f>
        <v>#VALUE!</v>
      </c>
      <c r="BR124" s="16" t="e">
        <f aca="false">SUM(MatchData[[#this row],[cheval teleop crossing score]:[low bar teleop crossing score]])</f>
        <v>#VALUE!</v>
      </c>
      <c r="BS124" s="16" t="e">
        <f aca="false">SUMIF(MatchData[team],MatchData[[#this row],[team]],MatchData[total auto score])/MatchData[match count]</f>
        <v>#VALUE!</v>
      </c>
      <c r="BT124" s="16" t="e">
        <f aca="false">MatchData[challenge flag]*5</f>
        <v>#VALUE!</v>
      </c>
      <c r="BU124" s="16" t="e">
        <f aca="false">MatchData[climb flag]*15</f>
        <v>#VALUE!</v>
      </c>
      <c r="BV124" s="16" t="e">
        <f aca="false">SUM(MatchData[[#this row],[total goal score]],MatchData[[#this row],[crossing score]],MatchData[[#this row],[challenge score]],MatchData[[#this row],[climb score]],MatchData[[#this row],[total auto score]])</f>
        <v>#VALUE!</v>
      </c>
      <c r="BW124" s="16" t="e">
        <f aca="false">ROUND(SUMIF(MatchData[team],MatchData[[#this row],[team]],MatchData[teleop low goals])/COUNTIF(MatchData[team],MatchData[[#this row],[team]]),2)</f>
        <v>#VALUE!</v>
      </c>
      <c r="BX124" s="16" t="e">
        <f aca="false">ROUND(SUMIF(MatchData[team],MatchData[[#this row],[team]],MatchData[teleop high goals])/COUNTIF(MatchData[team],MatchData[[#this row],[team]]),2)</f>
        <v>#VALUE!</v>
      </c>
      <c r="BY124" s="16" t="e">
        <f aca="false">COUNTIF(MatchData[team],MatchData[[#this row],[team]])</f>
        <v>#VALUE!</v>
      </c>
      <c r="BZ124" s="16" t="e">
        <f aca="false">SUMIF(MatchData[team],MatchData[[#this row],[team]],MatchData[portcullis available])</f>
        <v>#VALUE!</v>
      </c>
      <c r="CA124" s="16" t="e">
        <f aca="false">SUMIF(MatchData[team],MatchData[[#this row],[team]],MatchData[cheval available])</f>
        <v>#VALUE!</v>
      </c>
      <c r="CB124" s="16" t="e">
        <f aca="false">SUMIF(MatchData[team],MatchData[[#this row],[team]],MatchData[moat available])</f>
        <v>#VALUE!</v>
      </c>
      <c r="CC124" s="16" t="e">
        <f aca="false">SUMIF(MatchData[team],MatchData[[#this row],[team]],MatchData[ramparts available])</f>
        <v>#VALUE!</v>
      </c>
      <c r="CD124" s="16" t="e">
        <f aca="false">SUMIF(MatchData[team],MatchData[[#this row],[team]],MatchData[drawbridge available])</f>
        <v>#VALUE!</v>
      </c>
      <c r="CE124" s="16" t="e">
        <f aca="false">SUMIF(MatchData[team],MatchData[[#this row],[team]],MatchData[sally port available])</f>
        <v>#VALUE!</v>
      </c>
      <c r="CF124" s="16" t="e">
        <f aca="false">SUMIF(MatchData[team],MatchData[[#this row],[team]],MatchData[rock wall available])</f>
        <v>#VALUE!</v>
      </c>
      <c r="CG124" s="16" t="e">
        <f aca="false">SUMIF(MatchData[team],MatchData[[#this row],[team]],MatchData[rough terrain available])</f>
        <v>#VALUE!</v>
      </c>
      <c r="CH124" s="16" t="e">
        <f aca="false">SUMIF(MatchData[team],MatchData[[#this row],[team]],MatchData[low bar available])</f>
        <v>#VALUE!</v>
      </c>
      <c r="CI124" s="16" t="e">
        <f aca="false">SUMIF(MatchData[team],MatchData[[#this row],[team]],MatchData[portcullis teleop crossings]:MatchData[portcullis scored crossings])</f>
        <v>#VALUE!</v>
      </c>
      <c r="CJ124" s="16" t="e">
        <f aca="false">SUMIF(MatchData[team],MatchData[[#this row],[team]],MatchData[cheval teleop crossings])+SUMIF(MatchData[team],MatchData[[#this row],[team]],MatchData[cheval scored crossings])</f>
        <v>#VALUE!</v>
      </c>
      <c r="CK124" s="16" t="e">
        <f aca="false">SUMIF(MatchData[team],MatchData[[#this row],[team]],MatchData[moat teleop crossings])+SUMIF(MatchData[team],MatchData[[#this row],[team]],MatchData[moat scored crosings])</f>
        <v>#VALUE!</v>
      </c>
      <c r="CL124" s="16" t="e">
        <f aca="false">SUMIF(MatchData[team],MatchData[[#this row],[team]],MatchData[ramparts teleop crossings])+SUMIF(MatchData[team],MatchData[[#this row],[team]],MatchData[ramparts scored crossings])</f>
        <v>#VALUE!</v>
      </c>
      <c r="CM124" s="16" t="e">
        <f aca="false">SUMIF(MatchData[team],MatchData[[#this row],[team]],MatchData[drawbridge teleop crossings])+SUMIF(MatchData[team],MatchData[[#this row],[team]],MatchData[drawbridge scored crossings])</f>
        <v>#VALUE!</v>
      </c>
      <c r="CN124" s="16" t="e">
        <f aca="false">SUMIF(MatchData[team],MatchData[[#this row],[team]],MatchData[sally port teleop crossings])+SUMIF(MatchData[team],MatchData[[#this row],[team]],MatchData[sally port scored crossings])</f>
        <v>#VALUE!</v>
      </c>
      <c r="CO124" s="16" t="e">
        <f aca="false">SUMIF(MatchData[team],MatchData[[#this row],[team]],MatchData[rock wall teleop crossings])+SUMIF(MatchData[team],MatchData[[#this row],[team]],MatchData[rock wall scored crossings])</f>
        <v>#VALUE!</v>
      </c>
      <c r="CP124" s="16" t="e">
        <f aca="false">SUMIF(MatchData[team],MatchData[[#this row],[team]],MatchData[rough terrain teleop crossings])+SUMIF(MatchData[team],MatchData[[#this row],[team]],MatchData[rough terrain scored crossings])</f>
        <v>#VALUE!</v>
      </c>
      <c r="CQ124" s="16" t="e">
        <f aca="false">SUMIF(MatchData[team],MatchData[[#this row],[team]],MatchData[low bar teleop crossings])+SUMIF(MatchData[team],MatchData[[#this row],[team]],MatchData[low bar scored crossings])</f>
        <v>#VALUE!</v>
      </c>
      <c r="CR124" s="16" t="e">
        <f aca="false">IFERROR(ROUND(MatchData[[#this row],[portcullis sum]]/MatchData[[#this row],[portcullis avail count]],2),0)</f>
        <v>#VALUE!</v>
      </c>
      <c r="CS124" s="16" t="e">
        <f aca="false">IFERROR(ROUND(MatchData[[#this row],[cheval sum]]/MatchData[[#this row],[cheval avail count]],2),0)</f>
        <v>#VALUE!</v>
      </c>
      <c r="CT124" s="16" t="e">
        <f aca="false">IFERROR(ROUND(MatchData[[#this row],[moat sum]]/MatchData[[#this row],[moat avail count]],2),0)</f>
        <v>#VALUE!</v>
      </c>
      <c r="CU124" s="16" t="e">
        <f aca="false">IFERROR(ROUND(MatchData[[#this row],[ramparts sum]]/MatchData[[#this row],[ramparts avail count]],2),0)</f>
        <v>#VALUE!</v>
      </c>
      <c r="CV124" s="16" t="e">
        <f aca="false">IFERROR(ROUND(MatchData[[#this row],[drawbridge sum]]/MatchData[[#this row],[drawbridge avail countigh6]],2),0)</f>
        <v>#VALUE!</v>
      </c>
      <c r="CW124" s="16" t="e">
        <f aca="false">IFERROR(ROUND(MatchData[[#this row],[sally port sum]]/MatchData[[#this row],[sally port avail count]],2),0)</f>
        <v>#VALUE!</v>
      </c>
      <c r="CX124" s="5" t="e">
        <f aca="false">IFERROR(ROUND(MatchData[[#this row],[rock wall sum]]/MatchData[[#this row],[rock wall avail count]],2),0)</f>
        <v>#VALUE!</v>
      </c>
      <c r="CY124" s="5" t="e">
        <f aca="false">IFERROR(ROUND(MatchData[[#this row],[rough terrain sum]]/MatchData[[#this row],[rough terrain avail count]],2),0)</f>
        <v>#VALUE!</v>
      </c>
      <c r="CZ124" s="5" t="e">
        <f aca="false">IFERROR(ROUND(MatchData[[#this row],[low bar sum]]/MatchData[[#this row],[low bar avail count]],2),0)</f>
        <v>#VALUE!</v>
      </c>
      <c r="DA124" s="16" t="e">
        <f aca="false">SUM(MatchData[[#this row],[cheval sum]:[low bar sum]])/MatchData[match count]</f>
        <v>#VALUE!</v>
      </c>
      <c r="DB124" s="16" t="n">
        <f aca="false">MAX(IF(C$2:C$74=C124,BP$2:BP$74))</f>
        <v>-1.79769313486232E+308</v>
      </c>
      <c r="DC124" s="16" t="e">
        <f aca="false">AVERAGEIF(MatchData[team],MatchData[[#this row],[team]],MatchData[total score])</f>
        <v>#VALUE!</v>
      </c>
      <c r="DD124" s="16" t="e">
        <f aca="false">ROUND(AVERAGEIF(MatchData[team],MatchData[team],MatchData[climb or challenge flag]),2)</f>
        <v>#VALUE!</v>
      </c>
    </row>
    <row r="125" customFormat="false" ht="14.5" hidden="false" customHeight="false" outlineLevel="0" collapsed="false">
      <c r="A125" s="13" t="s">
        <v>108</v>
      </c>
      <c r="B125" s="14" t="n">
        <v>21</v>
      </c>
      <c r="C125" s="15" t="n">
        <v>1540</v>
      </c>
      <c r="D125" s="5" t="s">
        <v>113</v>
      </c>
      <c r="E125" s="5" t="s">
        <v>128</v>
      </c>
      <c r="G125" s="16"/>
      <c r="I125" s="16"/>
      <c r="J125" s="5" t="n">
        <v>1</v>
      </c>
      <c r="K125" s="16" t="n">
        <v>1</v>
      </c>
      <c r="N125" s="5" t="n">
        <v>1</v>
      </c>
      <c r="O125" s="5" t="n">
        <v>1</v>
      </c>
      <c r="P125" s="0"/>
      <c r="Q125" s="0"/>
      <c r="R125" s="5" t="n">
        <v>1</v>
      </c>
      <c r="S125" s="16"/>
      <c r="T125" s="0"/>
      <c r="U125" s="16"/>
      <c r="V125" s="16"/>
      <c r="W125" s="0"/>
      <c r="X125" s="0"/>
      <c r="AA125" s="5" t="n">
        <v>1</v>
      </c>
      <c r="AD125" s="16" t="n">
        <v>2</v>
      </c>
      <c r="AE125" s="5"/>
      <c r="AF125" s="16" t="n">
        <v>2</v>
      </c>
      <c r="AG125" s="16"/>
      <c r="AH125" s="16"/>
      <c r="AJ125" s="16"/>
      <c r="AL125" s="16" t="n">
        <v>2</v>
      </c>
      <c r="AN125" s="16"/>
      <c r="AP125" s="16"/>
      <c r="AR125" s="16"/>
      <c r="AT125" s="16" t="n">
        <v>1</v>
      </c>
      <c r="AU125" s="16"/>
      <c r="AV125" s="16"/>
      <c r="AW125" s="16" t="n">
        <v>1</v>
      </c>
      <c r="AX125" s="16"/>
      <c r="AY125" s="16"/>
      <c r="AZ125" s="16"/>
      <c r="BB125" s="16" t="n">
        <v>1</v>
      </c>
      <c r="BC125" s="16" t="e">
        <f aca="false">MatchData[cheval scored crossings]*5</f>
        <v>#VALUE!</v>
      </c>
      <c r="BD125" s="16" t="e">
        <f aca="false">MatchData[moat scored crosings]*5</f>
        <v>#VALUE!</v>
      </c>
      <c r="BE125" s="16" t="e">
        <f aca="false">MatchData[ramparts scored crossings]*5</f>
        <v>#VALUE!</v>
      </c>
      <c r="BF125" s="16" t="e">
        <f aca="false">MatchData[drawbridge scored crossings]*5</f>
        <v>#VALUE!</v>
      </c>
      <c r="BG125" s="16" t="e">
        <f aca="false">MatchData[sally port scored crossings]*5</f>
        <v>#VALUE!</v>
      </c>
      <c r="BH125" s="16" t="e">
        <f aca="false">MatchData[rock wall scored crossings]*5</f>
        <v>#VALUE!</v>
      </c>
      <c r="BI125" s="16" t="e">
        <f aca="false">MatchData[rough terrain scored crossings]*5</f>
        <v>#VALUE!</v>
      </c>
      <c r="BJ125" s="16" t="e">
        <f aca="false">MatchData[low bar scored crossings]*5</f>
        <v>#VALUE!</v>
      </c>
      <c r="BK125" s="16" t="e">
        <f aca="false">SUM(MatchData[[#this row],[low bar teleop crossings]:[rough terrain scored crossings]])</f>
        <v>#VALUE!</v>
      </c>
      <c r="BL125" s="16" t="e">
        <f aca="false">IFERROR(IF(OR(MatchData[[#this row],[challenge flag]],MatchData[[#this row],[climb flag]]),1,0),0)</f>
        <v>#VALUE!</v>
      </c>
      <c r="BM125" s="16" t="e">
        <f aca="false">MatchData[auto high goals]*10+MatchData[teleop high goals]*5</f>
        <v>#VALUE!</v>
      </c>
      <c r="BN125" s="16" t="e">
        <f aca="false">MatchData[auto low goals]*5+MatchData[teleop low goals]*2</f>
        <v>#VALUE!</v>
      </c>
      <c r="BO125" s="16" t="e">
        <f aca="false">MatchData[high goal score]+MatchData[low goal score]</f>
        <v>#VALUE!</v>
      </c>
      <c r="BP125" s="16" t="e">
        <f aca="false">MatchData[teleop high goals]+MatchData[teleop low goals]</f>
        <v>#VALUE!</v>
      </c>
      <c r="BQ125" s="16" t="e">
        <f aca="false">MatchData[[#this row],[auto reach flag]]*2+SUM(MatchData[[#this row],[portcullis auto crossings]:[low bar auto crossings]])*10+MatchData[[#this row],[auto low goals]]*5+MatchData[auto high goals]*10</f>
        <v>#VALUE!</v>
      </c>
      <c r="BR125" s="16" t="e">
        <f aca="false">SUM(MatchData[[#this row],[cheval teleop crossing score]:[low bar teleop crossing score]])</f>
        <v>#VALUE!</v>
      </c>
      <c r="BS125" s="16" t="e">
        <f aca="false">SUMIF(MatchData[team],MatchData[[#this row],[team]],MatchData[total auto score])/MatchData[match count]</f>
        <v>#VALUE!</v>
      </c>
      <c r="BT125" s="16" t="e">
        <f aca="false">MatchData[challenge flag]*5</f>
        <v>#VALUE!</v>
      </c>
      <c r="BU125" s="16" t="e">
        <f aca="false">MatchData[climb flag]*15</f>
        <v>#VALUE!</v>
      </c>
      <c r="BV125" s="16" t="e">
        <f aca="false">SUM(MatchData[[#this row],[total goal score]],MatchData[[#this row],[crossing score]],MatchData[[#this row],[challenge score]],MatchData[[#this row],[climb score]],MatchData[[#this row],[total auto score]])</f>
        <v>#VALUE!</v>
      </c>
      <c r="BW125" s="16" t="e">
        <f aca="false">ROUND(SUMIF(MatchData[team],MatchData[[#this row],[team]],MatchData[teleop low goals])/COUNTIF(MatchData[team],MatchData[[#this row],[team]]),2)</f>
        <v>#VALUE!</v>
      </c>
      <c r="BX125" s="16" t="e">
        <f aca="false">ROUND(SUMIF(MatchData[team],MatchData[[#this row],[team]],MatchData[teleop high goals])/COUNTIF(MatchData[team],MatchData[[#this row],[team]]),2)</f>
        <v>#VALUE!</v>
      </c>
      <c r="BY125" s="16" t="e">
        <f aca="false">COUNTIF(MatchData[team],MatchData[[#this row],[team]])</f>
        <v>#VALUE!</v>
      </c>
      <c r="BZ125" s="16" t="e">
        <f aca="false">SUMIF(MatchData[team],MatchData[[#this row],[team]],MatchData[portcullis available])</f>
        <v>#VALUE!</v>
      </c>
      <c r="CA125" s="16" t="e">
        <f aca="false">SUMIF(MatchData[team],MatchData[[#this row],[team]],MatchData[cheval available])</f>
        <v>#VALUE!</v>
      </c>
      <c r="CB125" s="16" t="e">
        <f aca="false">SUMIF(MatchData[team],MatchData[[#this row],[team]],MatchData[moat available])</f>
        <v>#VALUE!</v>
      </c>
      <c r="CC125" s="16" t="e">
        <f aca="false">SUMIF(MatchData[team],MatchData[[#this row],[team]],MatchData[ramparts available])</f>
        <v>#VALUE!</v>
      </c>
      <c r="CD125" s="16" t="e">
        <f aca="false">SUMIF(MatchData[team],MatchData[[#this row],[team]],MatchData[drawbridge available])</f>
        <v>#VALUE!</v>
      </c>
      <c r="CE125" s="16" t="e">
        <f aca="false">SUMIF(MatchData[team],MatchData[[#this row],[team]],MatchData[sally port available])</f>
        <v>#VALUE!</v>
      </c>
      <c r="CF125" s="16" t="e">
        <f aca="false">SUMIF(MatchData[team],MatchData[[#this row],[team]],MatchData[rock wall available])</f>
        <v>#VALUE!</v>
      </c>
      <c r="CG125" s="16" t="e">
        <f aca="false">SUMIF(MatchData[team],MatchData[[#this row],[team]],MatchData[rough terrain available])</f>
        <v>#VALUE!</v>
      </c>
      <c r="CH125" s="16" t="e">
        <f aca="false">SUMIF(MatchData[team],MatchData[[#this row],[team]],MatchData[low bar available])</f>
        <v>#VALUE!</v>
      </c>
      <c r="CI125" s="16" t="e">
        <f aca="false">SUMIF(MatchData[team],MatchData[[#this row],[team]],MatchData[portcullis teleop crossings]:MatchData[portcullis scored crossings])</f>
        <v>#VALUE!</v>
      </c>
      <c r="CJ125" s="16" t="e">
        <f aca="false">SUMIF(MatchData[team],MatchData[[#this row],[team]],MatchData[cheval teleop crossings])+SUMIF(MatchData[team],MatchData[[#this row],[team]],MatchData[cheval scored crossings])</f>
        <v>#VALUE!</v>
      </c>
      <c r="CK125" s="16" t="e">
        <f aca="false">SUMIF(MatchData[team],MatchData[[#this row],[team]],MatchData[moat teleop crossings])+SUMIF(MatchData[team],MatchData[[#this row],[team]],MatchData[moat scored crosings])</f>
        <v>#VALUE!</v>
      </c>
      <c r="CL125" s="16" t="e">
        <f aca="false">SUMIF(MatchData[team],MatchData[[#this row],[team]],MatchData[ramparts teleop crossings])+SUMIF(MatchData[team],MatchData[[#this row],[team]],MatchData[ramparts scored crossings])</f>
        <v>#VALUE!</v>
      </c>
      <c r="CM125" s="16" t="e">
        <f aca="false">SUMIF(MatchData[team],MatchData[[#this row],[team]],MatchData[drawbridge teleop crossings])+SUMIF(MatchData[team],MatchData[[#this row],[team]],MatchData[drawbridge scored crossings])</f>
        <v>#VALUE!</v>
      </c>
      <c r="CN125" s="16" t="e">
        <f aca="false">SUMIF(MatchData[team],MatchData[[#this row],[team]],MatchData[sally port teleop crossings])+SUMIF(MatchData[team],MatchData[[#this row],[team]],MatchData[sally port scored crossings])</f>
        <v>#VALUE!</v>
      </c>
      <c r="CO125" s="16" t="e">
        <f aca="false">SUMIF(MatchData[team],MatchData[[#this row],[team]],MatchData[rock wall teleop crossings])+SUMIF(MatchData[team],MatchData[[#this row],[team]],MatchData[rock wall scored crossings])</f>
        <v>#VALUE!</v>
      </c>
      <c r="CP125" s="16" t="e">
        <f aca="false">SUMIF(MatchData[team],MatchData[[#this row],[team]],MatchData[rough terrain teleop crossings])+SUMIF(MatchData[team],MatchData[[#this row],[team]],MatchData[rough terrain scored crossings])</f>
        <v>#VALUE!</v>
      </c>
      <c r="CQ125" s="16" t="e">
        <f aca="false">SUMIF(MatchData[team],MatchData[[#this row],[team]],MatchData[low bar teleop crossings])+SUMIF(MatchData[team],MatchData[[#this row],[team]],MatchData[low bar scored crossings])</f>
        <v>#VALUE!</v>
      </c>
      <c r="CR125" s="16" t="e">
        <f aca="false">IFERROR(ROUND(MatchData[[#this row],[portcullis sum]]/MatchData[[#this row],[portcullis avail count]],2),0)</f>
        <v>#VALUE!</v>
      </c>
      <c r="CS125" s="16" t="e">
        <f aca="false">IFERROR(ROUND(MatchData[[#this row],[cheval sum]]/MatchData[[#this row],[cheval avail count]],2),0)</f>
        <v>#VALUE!</v>
      </c>
      <c r="CT125" s="16" t="e">
        <f aca="false">IFERROR(ROUND(MatchData[[#this row],[moat sum]]/MatchData[[#this row],[moat avail count]],2),0)</f>
        <v>#VALUE!</v>
      </c>
      <c r="CU125" s="16" t="e">
        <f aca="false">IFERROR(ROUND(MatchData[[#this row],[ramparts sum]]/MatchData[[#this row],[ramparts avail count]],2),0)</f>
        <v>#VALUE!</v>
      </c>
      <c r="CV125" s="16" t="e">
        <f aca="false">IFERROR(ROUND(MatchData[[#this row],[drawbridge sum]]/MatchData[[#this row],[drawbridge avail countigh6]],2),0)</f>
        <v>#VALUE!</v>
      </c>
      <c r="CW125" s="16" t="e">
        <f aca="false">IFERROR(ROUND(MatchData[[#this row],[sally port sum]]/MatchData[[#this row],[sally port avail count]],2),0)</f>
        <v>#VALUE!</v>
      </c>
      <c r="CX125" s="5" t="e">
        <f aca="false">IFERROR(ROUND(MatchData[[#this row],[rock wall sum]]/MatchData[[#this row],[rock wall avail count]],2),0)</f>
        <v>#VALUE!</v>
      </c>
      <c r="CY125" s="5" t="e">
        <f aca="false">IFERROR(ROUND(MatchData[[#this row],[rough terrain sum]]/MatchData[[#this row],[rough terrain avail count]],2),0)</f>
        <v>#VALUE!</v>
      </c>
      <c r="CZ125" s="5" t="e">
        <f aca="false">IFERROR(ROUND(MatchData[[#this row],[low bar sum]]/MatchData[[#this row],[low bar avail count]],2),0)</f>
        <v>#VALUE!</v>
      </c>
      <c r="DA125" s="16" t="e">
        <f aca="false">SUM(MatchData[[#this row],[cheval sum]:[low bar sum]])/MatchData[match count]</f>
        <v>#VALUE!</v>
      </c>
      <c r="DB125" s="16" t="n">
        <f aca="false">MAX(IF(C$2:C$74=C125,BP$2:BP$74))</f>
        <v>-1.79769313486232E+308</v>
      </c>
      <c r="DC125" s="16" t="e">
        <f aca="false">AVERAGEIF(MatchData[team],MatchData[[#this row],[team]],MatchData[total score])</f>
        <v>#VALUE!</v>
      </c>
      <c r="DD125" s="16" t="e">
        <f aca="false">ROUND(AVERAGEIF(MatchData[team],MatchData[team],MatchData[climb or challenge flag]),2)</f>
        <v>#VALUE!</v>
      </c>
    </row>
    <row r="126" customFormat="false" ht="14.5" hidden="false" customHeight="false" outlineLevel="0" collapsed="false">
      <c r="A126" s="13" t="s">
        <v>108</v>
      </c>
      <c r="B126" s="14" t="n">
        <v>21</v>
      </c>
      <c r="C126" s="15" t="n">
        <v>3192</v>
      </c>
      <c r="D126" s="5" t="s">
        <v>113</v>
      </c>
      <c r="E126" s="5" t="s">
        <v>148</v>
      </c>
      <c r="G126" s="16"/>
      <c r="I126" s="16"/>
      <c r="J126" s="5" t="n">
        <v>1</v>
      </c>
      <c r="K126" s="16" t="n">
        <v>1</v>
      </c>
      <c r="N126" s="5" t="n">
        <v>1</v>
      </c>
      <c r="O126" s="5" t="n">
        <v>1</v>
      </c>
      <c r="P126" s="0"/>
      <c r="Q126" s="0"/>
      <c r="R126" s="5" t="n">
        <v>1</v>
      </c>
      <c r="S126" s="16"/>
      <c r="T126" s="0"/>
      <c r="U126" s="16"/>
      <c r="V126" s="16"/>
      <c r="W126" s="0"/>
      <c r="X126" s="0"/>
      <c r="AD126" s="16"/>
      <c r="AE126" s="5"/>
      <c r="AF126" s="16"/>
      <c r="AG126" s="16"/>
      <c r="AH126" s="16"/>
      <c r="AJ126" s="16"/>
      <c r="AL126" s="16"/>
      <c r="AN126" s="16"/>
      <c r="AP126" s="16"/>
      <c r="AR126" s="16"/>
      <c r="AT126" s="16"/>
      <c r="AU126" s="16"/>
      <c r="AV126" s="16"/>
      <c r="AW126" s="16" t="n">
        <v>1</v>
      </c>
      <c r="AX126" s="16"/>
      <c r="AY126" s="16"/>
      <c r="AZ126" s="16" t="n">
        <v>1</v>
      </c>
      <c r="BB126" s="16" t="n">
        <v>1</v>
      </c>
      <c r="BC126" s="16" t="e">
        <f aca="false">MatchData[cheval scored crossings]*5</f>
        <v>#VALUE!</v>
      </c>
      <c r="BD126" s="16" t="e">
        <f aca="false">MatchData[moat scored crosings]*5</f>
        <v>#VALUE!</v>
      </c>
      <c r="BE126" s="16" t="e">
        <f aca="false">MatchData[ramparts scored crossings]*5</f>
        <v>#VALUE!</v>
      </c>
      <c r="BF126" s="16" t="e">
        <f aca="false">MatchData[drawbridge scored crossings]*5</f>
        <v>#VALUE!</v>
      </c>
      <c r="BG126" s="16" t="e">
        <f aca="false">MatchData[sally port scored crossings]*5</f>
        <v>#VALUE!</v>
      </c>
      <c r="BH126" s="16" t="e">
        <f aca="false">MatchData[rock wall scored crossings]*5</f>
        <v>#VALUE!</v>
      </c>
      <c r="BI126" s="16" t="e">
        <f aca="false">MatchData[rough terrain scored crossings]*5</f>
        <v>#VALUE!</v>
      </c>
      <c r="BJ126" s="16" t="e">
        <f aca="false">MatchData[low bar scored crossings]*5</f>
        <v>#VALUE!</v>
      </c>
      <c r="BK126" s="16" t="e">
        <f aca="false">SUM(MatchData[[#this row],[low bar teleop crossings]:[rough terrain scored crossings]])</f>
        <v>#VALUE!</v>
      </c>
      <c r="BL126" s="16" t="e">
        <f aca="false">IFERROR(IF(OR(MatchData[[#this row],[challenge flag]],MatchData[[#this row],[climb flag]]),1,0),0)</f>
        <v>#VALUE!</v>
      </c>
      <c r="BM126" s="16" t="e">
        <f aca="false">MatchData[auto high goals]*10+MatchData[teleop high goals]*5</f>
        <v>#VALUE!</v>
      </c>
      <c r="BN126" s="16" t="e">
        <f aca="false">MatchData[auto low goals]*5+MatchData[teleop low goals]*2</f>
        <v>#VALUE!</v>
      </c>
      <c r="BO126" s="16" t="e">
        <f aca="false">MatchData[high goal score]+MatchData[low goal score]</f>
        <v>#VALUE!</v>
      </c>
      <c r="BP126" s="16" t="e">
        <f aca="false">MatchData[teleop high goals]+MatchData[teleop low goals]</f>
        <v>#VALUE!</v>
      </c>
      <c r="BQ126" s="16" t="e">
        <f aca="false">MatchData[[#this row],[auto reach flag]]*2+SUM(MatchData[[#this row],[portcullis auto crossings]:[low bar auto crossings]])*10+MatchData[[#this row],[auto low goals]]*5+MatchData[auto high goals]*10</f>
        <v>#VALUE!</v>
      </c>
      <c r="BR126" s="16" t="e">
        <f aca="false">SUM(MatchData[[#this row],[cheval teleop crossing score]:[low bar teleop crossing score]])</f>
        <v>#VALUE!</v>
      </c>
      <c r="BS126" s="16" t="e">
        <f aca="false">SUMIF(MatchData[team],MatchData[[#this row],[team]],MatchData[total auto score])/MatchData[match count]</f>
        <v>#VALUE!</v>
      </c>
      <c r="BT126" s="16" t="e">
        <f aca="false">MatchData[challenge flag]*5</f>
        <v>#VALUE!</v>
      </c>
      <c r="BU126" s="16" t="e">
        <f aca="false">MatchData[climb flag]*15</f>
        <v>#VALUE!</v>
      </c>
      <c r="BV126" s="16" t="e">
        <f aca="false">SUM(MatchData[[#this row],[total goal score]],MatchData[[#this row],[crossing score]],MatchData[[#this row],[challenge score]],MatchData[[#this row],[climb score]],MatchData[[#this row],[total auto score]])</f>
        <v>#VALUE!</v>
      </c>
      <c r="BW126" s="16" t="e">
        <f aca="false">ROUND(SUMIF(MatchData[team],MatchData[[#this row],[team]],MatchData[teleop low goals])/COUNTIF(MatchData[team],MatchData[[#this row],[team]]),2)</f>
        <v>#VALUE!</v>
      </c>
      <c r="BX126" s="16" t="e">
        <f aca="false">ROUND(SUMIF(MatchData[team],MatchData[[#this row],[team]],MatchData[teleop high goals])/COUNTIF(MatchData[team],MatchData[[#this row],[team]]),2)</f>
        <v>#VALUE!</v>
      </c>
      <c r="BY126" s="16" t="e">
        <f aca="false">COUNTIF(MatchData[team],MatchData[[#this row],[team]])</f>
        <v>#VALUE!</v>
      </c>
      <c r="BZ126" s="16" t="e">
        <f aca="false">SUMIF(MatchData[team],MatchData[[#this row],[team]],MatchData[portcullis available])</f>
        <v>#VALUE!</v>
      </c>
      <c r="CA126" s="16" t="e">
        <f aca="false">SUMIF(MatchData[team],MatchData[[#this row],[team]],MatchData[cheval available])</f>
        <v>#VALUE!</v>
      </c>
      <c r="CB126" s="16" t="e">
        <f aca="false">SUMIF(MatchData[team],MatchData[[#this row],[team]],MatchData[moat available])</f>
        <v>#VALUE!</v>
      </c>
      <c r="CC126" s="16" t="e">
        <f aca="false">SUMIF(MatchData[team],MatchData[[#this row],[team]],MatchData[ramparts available])</f>
        <v>#VALUE!</v>
      </c>
      <c r="CD126" s="16" t="e">
        <f aca="false">SUMIF(MatchData[team],MatchData[[#this row],[team]],MatchData[drawbridge available])</f>
        <v>#VALUE!</v>
      </c>
      <c r="CE126" s="16" t="e">
        <f aca="false">SUMIF(MatchData[team],MatchData[[#this row],[team]],MatchData[sally port available])</f>
        <v>#VALUE!</v>
      </c>
      <c r="CF126" s="16" t="e">
        <f aca="false">SUMIF(MatchData[team],MatchData[[#this row],[team]],MatchData[rock wall available])</f>
        <v>#VALUE!</v>
      </c>
      <c r="CG126" s="16" t="e">
        <f aca="false">SUMIF(MatchData[team],MatchData[[#this row],[team]],MatchData[rough terrain available])</f>
        <v>#VALUE!</v>
      </c>
      <c r="CH126" s="16" t="e">
        <f aca="false">SUMIF(MatchData[team],MatchData[[#this row],[team]],MatchData[low bar available])</f>
        <v>#VALUE!</v>
      </c>
      <c r="CI126" s="16" t="e">
        <f aca="false">SUMIF(MatchData[team],MatchData[[#this row],[team]],MatchData[portcullis teleop crossings]:MatchData[portcullis scored crossings])</f>
        <v>#VALUE!</v>
      </c>
      <c r="CJ126" s="16" t="e">
        <f aca="false">SUMIF(MatchData[team],MatchData[[#this row],[team]],MatchData[cheval teleop crossings])+SUMIF(MatchData[team],MatchData[[#this row],[team]],MatchData[cheval scored crossings])</f>
        <v>#VALUE!</v>
      </c>
      <c r="CK126" s="16" t="e">
        <f aca="false">SUMIF(MatchData[team],MatchData[[#this row],[team]],MatchData[moat teleop crossings])+SUMIF(MatchData[team],MatchData[[#this row],[team]],MatchData[moat scored crosings])</f>
        <v>#VALUE!</v>
      </c>
      <c r="CL126" s="16" t="e">
        <f aca="false">SUMIF(MatchData[team],MatchData[[#this row],[team]],MatchData[ramparts teleop crossings])+SUMIF(MatchData[team],MatchData[[#this row],[team]],MatchData[ramparts scored crossings])</f>
        <v>#VALUE!</v>
      </c>
      <c r="CM126" s="16" t="e">
        <f aca="false">SUMIF(MatchData[team],MatchData[[#this row],[team]],MatchData[drawbridge teleop crossings])+SUMIF(MatchData[team],MatchData[[#this row],[team]],MatchData[drawbridge scored crossings])</f>
        <v>#VALUE!</v>
      </c>
      <c r="CN126" s="16" t="e">
        <f aca="false">SUMIF(MatchData[team],MatchData[[#this row],[team]],MatchData[sally port teleop crossings])+SUMIF(MatchData[team],MatchData[[#this row],[team]],MatchData[sally port scored crossings])</f>
        <v>#VALUE!</v>
      </c>
      <c r="CO126" s="16" t="e">
        <f aca="false">SUMIF(MatchData[team],MatchData[[#this row],[team]],MatchData[rock wall teleop crossings])+SUMIF(MatchData[team],MatchData[[#this row],[team]],MatchData[rock wall scored crossings])</f>
        <v>#VALUE!</v>
      </c>
      <c r="CP126" s="16" t="e">
        <f aca="false">SUMIF(MatchData[team],MatchData[[#this row],[team]],MatchData[rough terrain teleop crossings])+SUMIF(MatchData[team],MatchData[[#this row],[team]],MatchData[rough terrain scored crossings])</f>
        <v>#VALUE!</v>
      </c>
      <c r="CQ126" s="16" t="e">
        <f aca="false">SUMIF(MatchData[team],MatchData[[#this row],[team]],MatchData[low bar teleop crossings])+SUMIF(MatchData[team],MatchData[[#this row],[team]],MatchData[low bar scored crossings])</f>
        <v>#VALUE!</v>
      </c>
      <c r="CR126" s="16" t="e">
        <f aca="false">IFERROR(ROUND(MatchData[[#this row],[portcullis sum]]/MatchData[[#this row],[portcullis avail count]],2),0)</f>
        <v>#VALUE!</v>
      </c>
      <c r="CS126" s="16" t="e">
        <f aca="false">IFERROR(ROUND(MatchData[[#this row],[cheval sum]]/MatchData[[#this row],[cheval avail count]],2),0)</f>
        <v>#VALUE!</v>
      </c>
      <c r="CT126" s="16" t="e">
        <f aca="false">IFERROR(ROUND(MatchData[[#this row],[moat sum]]/MatchData[[#this row],[moat avail count]],2),0)</f>
        <v>#VALUE!</v>
      </c>
      <c r="CU126" s="16" t="e">
        <f aca="false">IFERROR(ROUND(MatchData[[#this row],[ramparts sum]]/MatchData[[#this row],[ramparts avail count]],2),0)</f>
        <v>#VALUE!</v>
      </c>
      <c r="CV126" s="16" t="e">
        <f aca="false">IFERROR(ROUND(MatchData[[#this row],[drawbridge sum]]/MatchData[[#this row],[drawbridge avail countigh6]],2),0)</f>
        <v>#VALUE!</v>
      </c>
      <c r="CW126" s="16" t="e">
        <f aca="false">IFERROR(ROUND(MatchData[[#this row],[sally port sum]]/MatchData[[#this row],[sally port avail count]],2),0)</f>
        <v>#VALUE!</v>
      </c>
      <c r="CX126" s="5" t="e">
        <f aca="false">IFERROR(ROUND(MatchData[[#this row],[rock wall sum]]/MatchData[[#this row],[rock wall avail count]],2),0)</f>
        <v>#VALUE!</v>
      </c>
      <c r="CY126" s="5" t="e">
        <f aca="false">IFERROR(ROUND(MatchData[[#this row],[rough terrain sum]]/MatchData[[#this row],[rough terrain avail count]],2),0)</f>
        <v>#VALUE!</v>
      </c>
      <c r="CZ126" s="5" t="e">
        <f aca="false">IFERROR(ROUND(MatchData[[#this row],[low bar sum]]/MatchData[[#this row],[low bar avail count]],2),0)</f>
        <v>#VALUE!</v>
      </c>
      <c r="DA126" s="16" t="e">
        <f aca="false">SUM(MatchData[[#this row],[cheval sum]:[low bar sum]])/MatchData[match count]</f>
        <v>#VALUE!</v>
      </c>
      <c r="DB126" s="16" t="n">
        <f aca="false">MAX(IF(C$2:C$74=C126,BP$2:BP$74))</f>
        <v>-1.79769313486232E+308</v>
      </c>
      <c r="DC126" s="16" t="e">
        <f aca="false">AVERAGEIF(MatchData[team],MatchData[[#this row],[team]],MatchData[total score])</f>
        <v>#VALUE!</v>
      </c>
      <c r="DD126" s="16" t="e">
        <f aca="false">ROUND(AVERAGEIF(MatchData[team],MatchData[team],MatchData[climb or challenge flag]),2)</f>
        <v>#VALUE!</v>
      </c>
    </row>
    <row r="127" customFormat="false" ht="14.5" hidden="false" customHeight="false" outlineLevel="0" collapsed="false">
      <c r="A127" s="17" t="s">
        <v>108</v>
      </c>
      <c r="B127" s="18" t="n">
        <v>21</v>
      </c>
      <c r="C127" s="15" t="n">
        <v>4127</v>
      </c>
      <c r="D127" s="5" t="s">
        <v>113</v>
      </c>
      <c r="E127" s="5" t="s">
        <v>119</v>
      </c>
      <c r="G127" s="16"/>
      <c r="I127" s="16"/>
      <c r="J127" s="5" t="n">
        <v>1</v>
      </c>
      <c r="K127" s="16" t="n">
        <v>1</v>
      </c>
      <c r="N127" s="5" t="n">
        <v>1</v>
      </c>
      <c r="O127" s="5" t="n">
        <v>1</v>
      </c>
      <c r="P127" s="0"/>
      <c r="Q127" s="0"/>
      <c r="R127" s="5" t="n">
        <v>1</v>
      </c>
      <c r="S127" s="16"/>
      <c r="T127" s="0"/>
      <c r="U127" s="16"/>
      <c r="V127" s="16"/>
      <c r="W127" s="0"/>
      <c r="X127" s="0"/>
      <c r="AD127" s="16"/>
      <c r="AE127" s="5"/>
      <c r="AF127" s="16"/>
      <c r="AG127" s="16"/>
      <c r="AH127" s="16"/>
      <c r="AJ127" s="16"/>
      <c r="AL127" s="16"/>
      <c r="AN127" s="16"/>
      <c r="AP127" s="16"/>
      <c r="AR127" s="16"/>
      <c r="AT127" s="16"/>
      <c r="AU127" s="16"/>
      <c r="AV127" s="16"/>
      <c r="AW127" s="16"/>
      <c r="AX127" s="16"/>
      <c r="AY127" s="16"/>
      <c r="AZ127" s="16"/>
      <c r="BB127" s="16"/>
      <c r="BC127" s="16" t="e">
        <f aca="false">MatchData[cheval scored crossings]*5</f>
        <v>#VALUE!</v>
      </c>
      <c r="BD127" s="16" t="e">
        <f aca="false">MatchData[moat scored crosings]*5</f>
        <v>#VALUE!</v>
      </c>
      <c r="BE127" s="16" t="e">
        <f aca="false">MatchData[ramparts scored crossings]*5</f>
        <v>#VALUE!</v>
      </c>
      <c r="BF127" s="16" t="e">
        <f aca="false">MatchData[drawbridge scored crossings]*5</f>
        <v>#VALUE!</v>
      </c>
      <c r="BG127" s="16" t="e">
        <f aca="false">MatchData[sally port scored crossings]*5</f>
        <v>#VALUE!</v>
      </c>
      <c r="BH127" s="16" t="e">
        <f aca="false">MatchData[rock wall scored crossings]*5</f>
        <v>#VALUE!</v>
      </c>
      <c r="BI127" s="16" t="e">
        <f aca="false">MatchData[rough terrain scored crossings]*5</f>
        <v>#VALUE!</v>
      </c>
      <c r="BJ127" s="16" t="e">
        <f aca="false">MatchData[low bar scored crossings]*5</f>
        <v>#VALUE!</v>
      </c>
      <c r="BK127" s="16" t="e">
        <f aca="false">SUM(MatchData[[#this row],[low bar teleop crossings]:[rough terrain scored crossings]])</f>
        <v>#VALUE!</v>
      </c>
      <c r="BL127" s="16" t="e">
        <f aca="false">IFERROR(IF(OR(MatchData[[#this row],[challenge flag]],MatchData[[#this row],[climb flag]]),1,0),0)</f>
        <v>#VALUE!</v>
      </c>
      <c r="BM127" s="16" t="e">
        <f aca="false">MatchData[auto high goals]*10+MatchData[teleop high goals]*5</f>
        <v>#VALUE!</v>
      </c>
      <c r="BN127" s="16" t="e">
        <f aca="false">MatchData[auto low goals]*5+MatchData[teleop low goals]*2</f>
        <v>#VALUE!</v>
      </c>
      <c r="BO127" s="16" t="e">
        <f aca="false">MatchData[high goal score]+MatchData[low goal score]</f>
        <v>#VALUE!</v>
      </c>
      <c r="BP127" s="16" t="e">
        <f aca="false">MatchData[teleop high goals]+MatchData[teleop low goals]</f>
        <v>#VALUE!</v>
      </c>
      <c r="BQ127" s="16" t="e">
        <f aca="false">MatchData[[#this row],[auto reach flag]]*2+SUM(MatchData[[#this row],[portcullis auto crossings]:[low bar auto crossings]])*10+MatchData[[#this row],[auto low goals]]*5+MatchData[auto high goals]*10</f>
        <v>#VALUE!</v>
      </c>
      <c r="BR127" s="16" t="e">
        <f aca="false">SUM(MatchData[[#this row],[cheval teleop crossing score]:[low bar teleop crossing score]])</f>
        <v>#VALUE!</v>
      </c>
      <c r="BS127" s="16" t="e">
        <f aca="false">SUMIF(MatchData[team],MatchData[[#this row],[team]],MatchData[total auto score])/MatchData[match count]</f>
        <v>#VALUE!</v>
      </c>
      <c r="BT127" s="16" t="e">
        <f aca="false">MatchData[challenge flag]*5</f>
        <v>#VALUE!</v>
      </c>
      <c r="BU127" s="16" t="e">
        <f aca="false">MatchData[climb flag]*15</f>
        <v>#VALUE!</v>
      </c>
      <c r="BV127" s="16" t="e">
        <f aca="false">SUM(MatchData[[#this row],[total goal score]],MatchData[[#this row],[crossing score]],MatchData[[#this row],[challenge score]],MatchData[[#this row],[climb score]],MatchData[[#this row],[total auto score]])</f>
        <v>#VALUE!</v>
      </c>
      <c r="BW127" s="16" t="e">
        <f aca="false">ROUND(SUMIF(MatchData[team],MatchData[[#this row],[team]],MatchData[teleop low goals])/COUNTIF(MatchData[team],MatchData[[#this row],[team]]),2)</f>
        <v>#VALUE!</v>
      </c>
      <c r="BX127" s="16" t="e">
        <f aca="false">ROUND(SUMIF(MatchData[team],MatchData[[#this row],[team]],MatchData[teleop high goals])/COUNTIF(MatchData[team],MatchData[[#this row],[team]]),2)</f>
        <v>#VALUE!</v>
      </c>
      <c r="BY127" s="16" t="e">
        <f aca="false">COUNTIF(MatchData[team],MatchData[[#this row],[team]])</f>
        <v>#VALUE!</v>
      </c>
      <c r="BZ127" s="16" t="e">
        <f aca="false">SUMIF(MatchData[team],MatchData[[#this row],[team]],MatchData[portcullis available])</f>
        <v>#VALUE!</v>
      </c>
      <c r="CA127" s="16" t="e">
        <f aca="false">SUMIF(MatchData[team],MatchData[[#this row],[team]],MatchData[cheval available])</f>
        <v>#VALUE!</v>
      </c>
      <c r="CB127" s="16" t="e">
        <f aca="false">SUMIF(MatchData[team],MatchData[[#this row],[team]],MatchData[moat available])</f>
        <v>#VALUE!</v>
      </c>
      <c r="CC127" s="16" t="e">
        <f aca="false">SUMIF(MatchData[team],MatchData[[#this row],[team]],MatchData[ramparts available])</f>
        <v>#VALUE!</v>
      </c>
      <c r="CD127" s="16" t="e">
        <f aca="false">SUMIF(MatchData[team],MatchData[[#this row],[team]],MatchData[drawbridge available])</f>
        <v>#VALUE!</v>
      </c>
      <c r="CE127" s="16" t="e">
        <f aca="false">SUMIF(MatchData[team],MatchData[[#this row],[team]],MatchData[sally port available])</f>
        <v>#VALUE!</v>
      </c>
      <c r="CF127" s="16" t="e">
        <f aca="false">SUMIF(MatchData[team],MatchData[[#this row],[team]],MatchData[rock wall available])</f>
        <v>#VALUE!</v>
      </c>
      <c r="CG127" s="16" t="e">
        <f aca="false">SUMIF(MatchData[team],MatchData[[#this row],[team]],MatchData[rough terrain available])</f>
        <v>#VALUE!</v>
      </c>
      <c r="CH127" s="16" t="e">
        <f aca="false">SUMIF(MatchData[team],MatchData[[#this row],[team]],MatchData[low bar available])</f>
        <v>#VALUE!</v>
      </c>
      <c r="CI127" s="16" t="e">
        <f aca="false">SUMIF(MatchData[team],MatchData[[#this row],[team]],MatchData[portcullis teleop crossings]:MatchData[portcullis scored crossings])</f>
        <v>#VALUE!</v>
      </c>
      <c r="CJ127" s="16" t="e">
        <f aca="false">SUMIF(MatchData[team],MatchData[[#this row],[team]],MatchData[cheval teleop crossings])+SUMIF(MatchData[team],MatchData[[#this row],[team]],MatchData[cheval scored crossings])</f>
        <v>#VALUE!</v>
      </c>
      <c r="CK127" s="16" t="e">
        <f aca="false">SUMIF(MatchData[team],MatchData[[#this row],[team]],MatchData[moat teleop crossings])+SUMIF(MatchData[team],MatchData[[#this row],[team]],MatchData[moat scored crosings])</f>
        <v>#VALUE!</v>
      </c>
      <c r="CL127" s="16" t="e">
        <f aca="false">SUMIF(MatchData[team],MatchData[[#this row],[team]],MatchData[ramparts teleop crossings])+SUMIF(MatchData[team],MatchData[[#this row],[team]],MatchData[ramparts scored crossings])</f>
        <v>#VALUE!</v>
      </c>
      <c r="CM127" s="16" t="e">
        <f aca="false">SUMIF(MatchData[team],MatchData[[#this row],[team]],MatchData[drawbridge teleop crossings])+SUMIF(MatchData[team],MatchData[[#this row],[team]],MatchData[drawbridge scored crossings])</f>
        <v>#VALUE!</v>
      </c>
      <c r="CN127" s="16" t="e">
        <f aca="false">SUMIF(MatchData[team],MatchData[[#this row],[team]],MatchData[sally port teleop crossings])+SUMIF(MatchData[team],MatchData[[#this row],[team]],MatchData[sally port scored crossings])</f>
        <v>#VALUE!</v>
      </c>
      <c r="CO127" s="16" t="e">
        <f aca="false">SUMIF(MatchData[team],MatchData[[#this row],[team]],MatchData[rock wall teleop crossings])+SUMIF(MatchData[team],MatchData[[#this row],[team]],MatchData[rock wall scored crossings])</f>
        <v>#VALUE!</v>
      </c>
      <c r="CP127" s="16" t="e">
        <f aca="false">SUMIF(MatchData[team],MatchData[[#this row],[team]],MatchData[rough terrain teleop crossings])+SUMIF(MatchData[team],MatchData[[#this row],[team]],MatchData[rough terrain scored crossings])</f>
        <v>#VALUE!</v>
      </c>
      <c r="CQ127" s="16" t="e">
        <f aca="false">SUMIF(MatchData[team],MatchData[[#this row],[team]],MatchData[low bar teleop crossings])+SUMIF(MatchData[team],MatchData[[#this row],[team]],MatchData[low bar scored crossings])</f>
        <v>#VALUE!</v>
      </c>
      <c r="CR127" s="16" t="e">
        <f aca="false">IFERROR(ROUND(MatchData[[#this row],[portcullis sum]]/MatchData[[#this row],[portcullis avail count]],2),0)</f>
        <v>#VALUE!</v>
      </c>
      <c r="CS127" s="16" t="e">
        <f aca="false">IFERROR(ROUND(MatchData[[#this row],[cheval sum]]/MatchData[[#this row],[cheval avail count]],2),0)</f>
        <v>#VALUE!</v>
      </c>
      <c r="CT127" s="16" t="e">
        <f aca="false">IFERROR(ROUND(MatchData[[#this row],[moat sum]]/MatchData[[#this row],[moat avail count]],2),0)</f>
        <v>#VALUE!</v>
      </c>
      <c r="CU127" s="16" t="e">
        <f aca="false">IFERROR(ROUND(MatchData[[#this row],[ramparts sum]]/MatchData[[#this row],[ramparts avail count]],2),0)</f>
        <v>#VALUE!</v>
      </c>
      <c r="CV127" s="16" t="e">
        <f aca="false">IFERROR(ROUND(MatchData[[#this row],[drawbridge sum]]/MatchData[[#this row],[drawbridge avail countigh6]],2),0)</f>
        <v>#VALUE!</v>
      </c>
      <c r="CW127" s="16" t="e">
        <f aca="false">IFERROR(ROUND(MatchData[[#this row],[sally port sum]]/MatchData[[#this row],[sally port avail count]],2),0)</f>
        <v>#VALUE!</v>
      </c>
      <c r="CX127" s="5" t="e">
        <f aca="false">IFERROR(ROUND(MatchData[[#this row],[rock wall sum]]/MatchData[[#this row],[rock wall avail count]],2),0)</f>
        <v>#VALUE!</v>
      </c>
      <c r="CY127" s="5" t="e">
        <f aca="false">IFERROR(ROUND(MatchData[[#this row],[rough terrain sum]]/MatchData[[#this row],[rough terrain avail count]],2),0)</f>
        <v>#VALUE!</v>
      </c>
      <c r="CZ127" s="5" t="e">
        <f aca="false">IFERROR(ROUND(MatchData[[#this row],[low bar sum]]/MatchData[[#this row],[low bar avail count]],2),0)</f>
        <v>#VALUE!</v>
      </c>
      <c r="DA127" s="16" t="e">
        <f aca="false">SUM(MatchData[[#this row],[cheval sum]:[low bar sum]])/MatchData[match count]</f>
        <v>#VALUE!</v>
      </c>
      <c r="DB127" s="16" t="n">
        <f aca="false">MAX(IF(C$2:C$74=C127,BP$2:BP$74))</f>
        <v>-1.79769313486232E+308</v>
      </c>
      <c r="DC127" s="16" t="e">
        <f aca="false">AVERAGEIF(MatchData[team],MatchData[[#this row],[team]],MatchData[total score])</f>
        <v>#VALUE!</v>
      </c>
      <c r="DD127" s="16" t="e">
        <f aca="false">ROUND(AVERAGEIF(MatchData[team],MatchData[team],MatchData[climb or challenge flag]),2)</f>
        <v>#VALUE!</v>
      </c>
    </row>
    <row r="128" customFormat="false" ht="14.5" hidden="false" customHeight="false" outlineLevel="0" collapsed="false">
      <c r="A128" s="13" t="s">
        <v>108</v>
      </c>
      <c r="B128" s="14" t="n">
        <v>22</v>
      </c>
      <c r="C128" s="15" t="n">
        <v>753</v>
      </c>
      <c r="D128" s="5" t="s">
        <v>109</v>
      </c>
      <c r="E128" s="5" t="s">
        <v>119</v>
      </c>
      <c r="G128" s="16"/>
      <c r="I128" s="16"/>
      <c r="J128" s="5" t="n">
        <v>1</v>
      </c>
      <c r="K128" s="16"/>
      <c r="L128" s="5" t="n">
        <v>1</v>
      </c>
      <c r="N128" s="0"/>
      <c r="O128" s="0"/>
      <c r="P128" s="0"/>
      <c r="Q128" s="0"/>
      <c r="R128" s="5" t="n">
        <v>1</v>
      </c>
      <c r="S128" s="16"/>
      <c r="T128" s="0"/>
      <c r="U128" s="16"/>
      <c r="V128" s="16" t="n">
        <v>1</v>
      </c>
      <c r="W128" s="0"/>
      <c r="X128" s="5" t="n">
        <v>1</v>
      </c>
      <c r="AD128" s="16" t="n">
        <v>2</v>
      </c>
      <c r="AE128" s="5"/>
      <c r="AF128" s="16"/>
      <c r="AG128" s="16"/>
      <c r="AH128" s="16"/>
      <c r="AJ128" s="16"/>
      <c r="AL128" s="16"/>
      <c r="AN128" s="16"/>
      <c r="AP128" s="16"/>
      <c r="AR128" s="16"/>
      <c r="AT128" s="16"/>
      <c r="AU128" s="16"/>
      <c r="AV128" s="16"/>
      <c r="AW128" s="16" t="n">
        <v>1</v>
      </c>
      <c r="AX128" s="16"/>
      <c r="AY128" s="16"/>
      <c r="AZ128" s="16"/>
      <c r="BB128" s="16"/>
      <c r="BC128" s="16" t="e">
        <f aca="false">MatchData[cheval scored crossings]*5</f>
        <v>#VALUE!</v>
      </c>
      <c r="BD128" s="16" t="e">
        <f aca="false">MatchData[moat scored crosings]*5</f>
        <v>#VALUE!</v>
      </c>
      <c r="BE128" s="16" t="e">
        <f aca="false">MatchData[ramparts scored crossings]*5</f>
        <v>#VALUE!</v>
      </c>
      <c r="BF128" s="16" t="e">
        <f aca="false">MatchData[drawbridge scored crossings]*5</f>
        <v>#VALUE!</v>
      </c>
      <c r="BG128" s="16" t="e">
        <f aca="false">MatchData[sally port scored crossings]*5</f>
        <v>#VALUE!</v>
      </c>
      <c r="BH128" s="16" t="e">
        <f aca="false">MatchData[rock wall scored crossings]*5</f>
        <v>#VALUE!</v>
      </c>
      <c r="BI128" s="16" t="e">
        <f aca="false">MatchData[rough terrain scored crossings]*5</f>
        <v>#VALUE!</v>
      </c>
      <c r="BJ128" s="16" t="e">
        <f aca="false">MatchData[low bar scored crossings]*5</f>
        <v>#VALUE!</v>
      </c>
      <c r="BK128" s="16" t="e">
        <f aca="false">SUM(MatchData[[#this row],[low bar teleop crossings]:[rough terrain scored crossings]])</f>
        <v>#VALUE!</v>
      </c>
      <c r="BL128" s="16" t="e">
        <f aca="false">IFERROR(IF(OR(MatchData[[#this row],[challenge flag]],MatchData[[#this row],[climb flag]]),1,0),0)</f>
        <v>#VALUE!</v>
      </c>
      <c r="BM128" s="16" t="e">
        <f aca="false">MatchData[auto high goals]*10+MatchData[teleop high goals]*5</f>
        <v>#VALUE!</v>
      </c>
      <c r="BN128" s="16" t="e">
        <f aca="false">MatchData[auto low goals]*5+MatchData[teleop low goals]*2</f>
        <v>#VALUE!</v>
      </c>
      <c r="BO128" s="16" t="e">
        <f aca="false">MatchData[high goal score]+MatchData[low goal score]</f>
        <v>#VALUE!</v>
      </c>
      <c r="BP128" s="16" t="e">
        <f aca="false">MatchData[teleop high goals]+MatchData[teleop low goals]</f>
        <v>#VALUE!</v>
      </c>
      <c r="BQ128" s="16" t="e">
        <f aca="false">MatchData[[#this row],[auto reach flag]]*2+SUM(MatchData[[#this row],[portcullis auto crossings]:[low bar auto crossings]])*10+MatchData[[#this row],[auto low goals]]*5+MatchData[auto high goals]*10</f>
        <v>#VALUE!</v>
      </c>
      <c r="BR128" s="16" t="e">
        <f aca="false">SUM(MatchData[[#this row],[cheval teleop crossing score]:[low bar teleop crossing score]])</f>
        <v>#VALUE!</v>
      </c>
      <c r="BS128" s="16" t="e">
        <f aca="false">SUMIF(MatchData[team],MatchData[[#this row],[team]],MatchData[total auto score])/MatchData[match count]</f>
        <v>#VALUE!</v>
      </c>
      <c r="BT128" s="16" t="e">
        <f aca="false">MatchData[challenge flag]*5</f>
        <v>#VALUE!</v>
      </c>
      <c r="BU128" s="16" t="e">
        <f aca="false">MatchData[climb flag]*15</f>
        <v>#VALUE!</v>
      </c>
      <c r="BV128" s="16" t="e">
        <f aca="false">SUM(MatchData[[#this row],[total goal score]],MatchData[[#this row],[crossing score]],MatchData[[#this row],[challenge score]],MatchData[[#this row],[climb score]],MatchData[[#this row],[total auto score]])</f>
        <v>#VALUE!</v>
      </c>
      <c r="BW128" s="16" t="e">
        <f aca="false">ROUND(SUMIF(MatchData[team],MatchData[[#this row],[team]],MatchData[teleop low goals])/COUNTIF(MatchData[team],MatchData[[#this row],[team]]),2)</f>
        <v>#VALUE!</v>
      </c>
      <c r="BX128" s="16" t="e">
        <f aca="false">ROUND(SUMIF(MatchData[team],MatchData[[#this row],[team]],MatchData[teleop high goals])/COUNTIF(MatchData[team],MatchData[[#this row],[team]]),2)</f>
        <v>#VALUE!</v>
      </c>
      <c r="BY128" s="16" t="e">
        <f aca="false">COUNTIF(MatchData[team],MatchData[[#this row],[team]])</f>
        <v>#VALUE!</v>
      </c>
      <c r="BZ128" s="16" t="e">
        <f aca="false">SUMIF(MatchData[team],MatchData[[#this row],[team]],MatchData[portcullis available])</f>
        <v>#VALUE!</v>
      </c>
      <c r="CA128" s="16" t="e">
        <f aca="false">SUMIF(MatchData[team],MatchData[[#this row],[team]],MatchData[cheval available])</f>
        <v>#VALUE!</v>
      </c>
      <c r="CB128" s="16" t="e">
        <f aca="false">SUMIF(MatchData[team],MatchData[[#this row],[team]],MatchData[moat available])</f>
        <v>#VALUE!</v>
      </c>
      <c r="CC128" s="16" t="e">
        <f aca="false">SUMIF(MatchData[team],MatchData[[#this row],[team]],MatchData[ramparts available])</f>
        <v>#VALUE!</v>
      </c>
      <c r="CD128" s="16" t="e">
        <f aca="false">SUMIF(MatchData[team],MatchData[[#this row],[team]],MatchData[drawbridge available])</f>
        <v>#VALUE!</v>
      </c>
      <c r="CE128" s="16" t="e">
        <f aca="false">SUMIF(MatchData[team],MatchData[[#this row],[team]],MatchData[sally port available])</f>
        <v>#VALUE!</v>
      </c>
      <c r="CF128" s="16" t="e">
        <f aca="false">SUMIF(MatchData[team],MatchData[[#this row],[team]],MatchData[rock wall available])</f>
        <v>#VALUE!</v>
      </c>
      <c r="CG128" s="16" t="e">
        <f aca="false">SUMIF(MatchData[team],MatchData[[#this row],[team]],MatchData[rough terrain available])</f>
        <v>#VALUE!</v>
      </c>
      <c r="CH128" s="16" t="e">
        <f aca="false">SUMIF(MatchData[team],MatchData[[#this row],[team]],MatchData[low bar available])</f>
        <v>#VALUE!</v>
      </c>
      <c r="CI128" s="16" t="e">
        <f aca="false">SUMIF(MatchData[team],MatchData[[#this row],[team]],MatchData[portcullis teleop crossings]:MatchData[portcullis scored crossings])</f>
        <v>#VALUE!</v>
      </c>
      <c r="CJ128" s="16" t="e">
        <f aca="false">SUMIF(MatchData[team],MatchData[[#this row],[team]],MatchData[cheval teleop crossings])+SUMIF(MatchData[team],MatchData[[#this row],[team]],MatchData[cheval scored crossings])</f>
        <v>#VALUE!</v>
      </c>
      <c r="CK128" s="16" t="e">
        <f aca="false">SUMIF(MatchData[team],MatchData[[#this row],[team]],MatchData[moat teleop crossings])+SUMIF(MatchData[team],MatchData[[#this row],[team]],MatchData[moat scored crosings])</f>
        <v>#VALUE!</v>
      </c>
      <c r="CL128" s="16" t="e">
        <f aca="false">SUMIF(MatchData[team],MatchData[[#this row],[team]],MatchData[ramparts teleop crossings])+SUMIF(MatchData[team],MatchData[[#this row],[team]],MatchData[ramparts scored crossings])</f>
        <v>#VALUE!</v>
      </c>
      <c r="CM128" s="16" t="e">
        <f aca="false">SUMIF(MatchData[team],MatchData[[#this row],[team]],MatchData[drawbridge teleop crossings])+SUMIF(MatchData[team],MatchData[[#this row],[team]],MatchData[drawbridge scored crossings])</f>
        <v>#VALUE!</v>
      </c>
      <c r="CN128" s="16" t="e">
        <f aca="false">SUMIF(MatchData[team],MatchData[[#this row],[team]],MatchData[sally port teleop crossings])+SUMIF(MatchData[team],MatchData[[#this row],[team]],MatchData[sally port scored crossings])</f>
        <v>#VALUE!</v>
      </c>
      <c r="CO128" s="16" t="e">
        <f aca="false">SUMIF(MatchData[team],MatchData[[#this row],[team]],MatchData[rock wall teleop crossings])+SUMIF(MatchData[team],MatchData[[#this row],[team]],MatchData[rock wall scored crossings])</f>
        <v>#VALUE!</v>
      </c>
      <c r="CP128" s="16" t="e">
        <f aca="false">SUMIF(MatchData[team],MatchData[[#this row],[team]],MatchData[rough terrain teleop crossings])+SUMIF(MatchData[team],MatchData[[#this row],[team]],MatchData[rough terrain scored crossings])</f>
        <v>#VALUE!</v>
      </c>
      <c r="CQ128" s="16" t="e">
        <f aca="false">SUMIF(MatchData[team],MatchData[[#this row],[team]],MatchData[low bar teleop crossings])+SUMIF(MatchData[team],MatchData[[#this row],[team]],MatchData[low bar scored crossings])</f>
        <v>#VALUE!</v>
      </c>
      <c r="CR128" s="16" t="e">
        <f aca="false">IFERROR(ROUND(MatchData[[#this row],[portcullis sum]]/MatchData[[#this row],[portcullis avail count]],2),0)</f>
        <v>#VALUE!</v>
      </c>
      <c r="CS128" s="16" t="e">
        <f aca="false">IFERROR(ROUND(MatchData[[#this row],[cheval sum]]/MatchData[[#this row],[cheval avail count]],2),0)</f>
        <v>#VALUE!</v>
      </c>
      <c r="CT128" s="16" t="e">
        <f aca="false">IFERROR(ROUND(MatchData[[#this row],[moat sum]]/MatchData[[#this row],[moat avail count]],2),0)</f>
        <v>#VALUE!</v>
      </c>
      <c r="CU128" s="16" t="e">
        <f aca="false">IFERROR(ROUND(MatchData[[#this row],[ramparts sum]]/MatchData[[#this row],[ramparts avail count]],2),0)</f>
        <v>#VALUE!</v>
      </c>
      <c r="CV128" s="16" t="e">
        <f aca="false">IFERROR(ROUND(MatchData[[#this row],[drawbridge sum]]/MatchData[[#this row],[drawbridge avail countigh6]],2),0)</f>
        <v>#VALUE!</v>
      </c>
      <c r="CW128" s="16" t="e">
        <f aca="false">IFERROR(ROUND(MatchData[[#this row],[sally port sum]]/MatchData[[#this row],[sally port avail count]],2),0)</f>
        <v>#VALUE!</v>
      </c>
      <c r="CX128" s="5" t="e">
        <f aca="false">IFERROR(ROUND(MatchData[[#this row],[rock wall sum]]/MatchData[[#this row],[rock wall avail count]],2),0)</f>
        <v>#VALUE!</v>
      </c>
      <c r="CY128" s="5" t="e">
        <f aca="false">IFERROR(ROUND(MatchData[[#this row],[rough terrain sum]]/MatchData[[#this row],[rough terrain avail count]],2),0)</f>
        <v>#VALUE!</v>
      </c>
      <c r="CZ128" s="5" t="e">
        <f aca="false">IFERROR(ROUND(MatchData[[#this row],[low bar sum]]/MatchData[[#this row],[low bar avail count]],2),0)</f>
        <v>#VALUE!</v>
      </c>
      <c r="DA128" s="16" t="e">
        <f aca="false">SUM(MatchData[[#this row],[cheval sum]:[low bar sum]])/MatchData[match count]</f>
        <v>#VALUE!</v>
      </c>
      <c r="DB128" s="16" t="n">
        <f aca="false">MAX(IF(C$2:C$74=C128,BP$2:BP$74))</f>
        <v>-1.79769313486232E+308</v>
      </c>
      <c r="DC128" s="16" t="e">
        <f aca="false">AVERAGEIF(MatchData[team],MatchData[[#this row],[team]],MatchData[total score])</f>
        <v>#VALUE!</v>
      </c>
      <c r="DD128" s="16" t="e">
        <f aca="false">ROUND(AVERAGEIF(MatchData[team],MatchData[team],MatchData[climb or challenge flag]),2)</f>
        <v>#VALUE!</v>
      </c>
    </row>
    <row r="129" customFormat="false" ht="14.5" hidden="false" customHeight="false" outlineLevel="0" collapsed="false">
      <c r="A129" s="13" t="s">
        <v>108</v>
      </c>
      <c r="B129" s="14" t="n">
        <v>22</v>
      </c>
      <c r="C129" s="15" t="n">
        <v>2521</v>
      </c>
      <c r="D129" s="5" t="s">
        <v>109</v>
      </c>
      <c r="E129" s="5" t="s">
        <v>117</v>
      </c>
      <c r="G129" s="16"/>
      <c r="I129" s="16"/>
      <c r="J129" s="5" t="n">
        <v>1</v>
      </c>
      <c r="K129" s="16"/>
      <c r="L129" s="5" t="n">
        <v>1</v>
      </c>
      <c r="M129" s="5" t="n">
        <v>1</v>
      </c>
      <c r="N129" s="0"/>
      <c r="O129" s="5" t="n">
        <v>1</v>
      </c>
      <c r="P129" s="0"/>
      <c r="Q129" s="0"/>
      <c r="R129" s="5" t="n">
        <v>1</v>
      </c>
      <c r="S129" s="16"/>
      <c r="T129" s="0"/>
      <c r="U129" s="16"/>
      <c r="V129" s="16" t="n">
        <v>1</v>
      </c>
      <c r="W129" s="0"/>
      <c r="AD129" s="16"/>
      <c r="AE129" s="5"/>
      <c r="AF129" s="16"/>
      <c r="AG129" s="16"/>
      <c r="AH129" s="16"/>
      <c r="AJ129" s="16" t="n">
        <v>2</v>
      </c>
      <c r="AL129" s="16"/>
      <c r="AN129" s="16"/>
      <c r="AP129" s="16"/>
      <c r="AR129" s="16"/>
      <c r="AT129" s="16"/>
      <c r="AU129" s="16"/>
      <c r="AV129" s="16"/>
      <c r="AW129" s="16" t="n">
        <v>1</v>
      </c>
      <c r="AX129" s="16"/>
      <c r="AY129" s="16"/>
      <c r="AZ129" s="16"/>
      <c r="BB129" s="16"/>
      <c r="BC129" s="16" t="e">
        <f aca="false">MatchData[cheval scored crossings]*5</f>
        <v>#VALUE!</v>
      </c>
      <c r="BD129" s="16" t="e">
        <f aca="false">MatchData[moat scored crosings]*5</f>
        <v>#VALUE!</v>
      </c>
      <c r="BE129" s="16" t="e">
        <f aca="false">MatchData[ramparts scored crossings]*5</f>
        <v>#VALUE!</v>
      </c>
      <c r="BF129" s="16" t="e">
        <f aca="false">MatchData[drawbridge scored crossings]*5</f>
        <v>#VALUE!</v>
      </c>
      <c r="BG129" s="16" t="e">
        <f aca="false">MatchData[sally port scored crossings]*5</f>
        <v>#VALUE!</v>
      </c>
      <c r="BH129" s="16" t="e">
        <f aca="false">MatchData[rock wall scored crossings]*5</f>
        <v>#VALUE!</v>
      </c>
      <c r="BI129" s="16" t="e">
        <f aca="false">MatchData[rough terrain scored crossings]*5</f>
        <v>#VALUE!</v>
      </c>
      <c r="BJ129" s="16" t="e">
        <f aca="false">MatchData[low bar scored crossings]*5</f>
        <v>#VALUE!</v>
      </c>
      <c r="BK129" s="16" t="e">
        <f aca="false">SUM(MatchData[[#this row],[low bar teleop crossings]:[rough terrain scored crossings]])</f>
        <v>#VALUE!</v>
      </c>
      <c r="BL129" s="16" t="e">
        <f aca="false">IFERROR(IF(OR(MatchData[[#this row],[challenge flag]],MatchData[[#this row],[climb flag]]),1,0),0)</f>
        <v>#VALUE!</v>
      </c>
      <c r="BM129" s="16" t="e">
        <f aca="false">MatchData[auto high goals]*10+MatchData[teleop high goals]*5</f>
        <v>#VALUE!</v>
      </c>
      <c r="BN129" s="16" t="e">
        <f aca="false">MatchData[auto low goals]*5+MatchData[teleop low goals]*2</f>
        <v>#VALUE!</v>
      </c>
      <c r="BO129" s="16" t="e">
        <f aca="false">MatchData[high goal score]+MatchData[low goal score]</f>
        <v>#VALUE!</v>
      </c>
      <c r="BP129" s="16" t="e">
        <f aca="false">MatchData[teleop high goals]+MatchData[teleop low goals]</f>
        <v>#VALUE!</v>
      </c>
      <c r="BQ129" s="16" t="e">
        <f aca="false">MatchData[[#this row],[auto reach flag]]*2+SUM(MatchData[[#this row],[portcullis auto crossings]:[low bar auto crossings]])*10+MatchData[[#this row],[auto low goals]]*5+MatchData[auto high goals]*10</f>
        <v>#VALUE!</v>
      </c>
      <c r="BR129" s="16" t="e">
        <f aca="false">SUM(MatchData[[#this row],[cheval teleop crossing score]:[low bar teleop crossing score]])</f>
        <v>#VALUE!</v>
      </c>
      <c r="BS129" s="16" t="e">
        <f aca="false">SUMIF(MatchData[team],MatchData[[#this row],[team]],MatchData[total auto score])/MatchData[match count]</f>
        <v>#VALUE!</v>
      </c>
      <c r="BT129" s="16" t="e">
        <f aca="false">MatchData[challenge flag]*5</f>
        <v>#VALUE!</v>
      </c>
      <c r="BU129" s="16" t="e">
        <f aca="false">MatchData[climb flag]*15</f>
        <v>#VALUE!</v>
      </c>
      <c r="BV129" s="16" t="e">
        <f aca="false">SUM(MatchData[[#this row],[total goal score]],MatchData[[#this row],[crossing score]],MatchData[[#this row],[challenge score]],MatchData[[#this row],[climb score]],MatchData[[#this row],[total auto score]])</f>
        <v>#VALUE!</v>
      </c>
      <c r="BW129" s="16" t="e">
        <f aca="false">ROUND(SUMIF(MatchData[team],MatchData[[#this row],[team]],MatchData[teleop low goals])/COUNTIF(MatchData[team],MatchData[[#this row],[team]]),2)</f>
        <v>#VALUE!</v>
      </c>
      <c r="BX129" s="16" t="e">
        <f aca="false">ROUND(SUMIF(MatchData[team],MatchData[[#this row],[team]],MatchData[teleop high goals])/COUNTIF(MatchData[team],MatchData[[#this row],[team]]),2)</f>
        <v>#VALUE!</v>
      </c>
      <c r="BY129" s="16" t="e">
        <f aca="false">COUNTIF(MatchData[team],MatchData[[#this row],[team]])</f>
        <v>#VALUE!</v>
      </c>
      <c r="BZ129" s="16" t="e">
        <f aca="false">SUMIF(MatchData[team],MatchData[[#this row],[team]],MatchData[portcullis available])</f>
        <v>#VALUE!</v>
      </c>
      <c r="CA129" s="16" t="e">
        <f aca="false">SUMIF(MatchData[team],MatchData[[#this row],[team]],MatchData[cheval available])</f>
        <v>#VALUE!</v>
      </c>
      <c r="CB129" s="16" t="e">
        <f aca="false">SUMIF(MatchData[team],MatchData[[#this row],[team]],MatchData[moat available])</f>
        <v>#VALUE!</v>
      </c>
      <c r="CC129" s="16" t="e">
        <f aca="false">SUMIF(MatchData[team],MatchData[[#this row],[team]],MatchData[ramparts available])</f>
        <v>#VALUE!</v>
      </c>
      <c r="CD129" s="16" t="e">
        <f aca="false">SUMIF(MatchData[team],MatchData[[#this row],[team]],MatchData[drawbridge available])</f>
        <v>#VALUE!</v>
      </c>
      <c r="CE129" s="16" t="e">
        <f aca="false">SUMIF(MatchData[team],MatchData[[#this row],[team]],MatchData[sally port available])</f>
        <v>#VALUE!</v>
      </c>
      <c r="CF129" s="16" t="e">
        <f aca="false">SUMIF(MatchData[team],MatchData[[#this row],[team]],MatchData[rock wall available])</f>
        <v>#VALUE!</v>
      </c>
      <c r="CG129" s="16" t="e">
        <f aca="false">SUMIF(MatchData[team],MatchData[[#this row],[team]],MatchData[rough terrain available])</f>
        <v>#VALUE!</v>
      </c>
      <c r="CH129" s="16" t="e">
        <f aca="false">SUMIF(MatchData[team],MatchData[[#this row],[team]],MatchData[low bar available])</f>
        <v>#VALUE!</v>
      </c>
      <c r="CI129" s="16" t="e">
        <f aca="false">SUMIF(MatchData[team],MatchData[[#this row],[team]],MatchData[portcullis teleop crossings]:MatchData[portcullis scored crossings])</f>
        <v>#VALUE!</v>
      </c>
      <c r="CJ129" s="16" t="e">
        <f aca="false">SUMIF(MatchData[team],MatchData[[#this row],[team]],MatchData[cheval teleop crossings])+SUMIF(MatchData[team],MatchData[[#this row],[team]],MatchData[cheval scored crossings])</f>
        <v>#VALUE!</v>
      </c>
      <c r="CK129" s="16" t="e">
        <f aca="false">SUMIF(MatchData[team],MatchData[[#this row],[team]],MatchData[moat teleop crossings])+SUMIF(MatchData[team],MatchData[[#this row],[team]],MatchData[moat scored crosings])</f>
        <v>#VALUE!</v>
      </c>
      <c r="CL129" s="16" t="e">
        <f aca="false">SUMIF(MatchData[team],MatchData[[#this row],[team]],MatchData[ramparts teleop crossings])+SUMIF(MatchData[team],MatchData[[#this row],[team]],MatchData[ramparts scored crossings])</f>
        <v>#VALUE!</v>
      </c>
      <c r="CM129" s="16" t="e">
        <f aca="false">SUMIF(MatchData[team],MatchData[[#this row],[team]],MatchData[drawbridge teleop crossings])+SUMIF(MatchData[team],MatchData[[#this row],[team]],MatchData[drawbridge scored crossings])</f>
        <v>#VALUE!</v>
      </c>
      <c r="CN129" s="16" t="e">
        <f aca="false">SUMIF(MatchData[team],MatchData[[#this row],[team]],MatchData[sally port teleop crossings])+SUMIF(MatchData[team],MatchData[[#this row],[team]],MatchData[sally port scored crossings])</f>
        <v>#VALUE!</v>
      </c>
      <c r="CO129" s="16" t="e">
        <f aca="false">SUMIF(MatchData[team],MatchData[[#this row],[team]],MatchData[rock wall teleop crossings])+SUMIF(MatchData[team],MatchData[[#this row],[team]],MatchData[rock wall scored crossings])</f>
        <v>#VALUE!</v>
      </c>
      <c r="CP129" s="16" t="e">
        <f aca="false">SUMIF(MatchData[team],MatchData[[#this row],[team]],MatchData[rough terrain teleop crossings])+SUMIF(MatchData[team],MatchData[[#this row],[team]],MatchData[rough terrain scored crossings])</f>
        <v>#VALUE!</v>
      </c>
      <c r="CQ129" s="16" t="e">
        <f aca="false">SUMIF(MatchData[team],MatchData[[#this row],[team]],MatchData[low bar teleop crossings])+SUMIF(MatchData[team],MatchData[[#this row],[team]],MatchData[low bar scored crossings])</f>
        <v>#VALUE!</v>
      </c>
      <c r="CR129" s="16" t="e">
        <f aca="false">IFERROR(ROUND(MatchData[[#this row],[portcullis sum]]/MatchData[[#this row],[portcullis avail count]],2),0)</f>
        <v>#VALUE!</v>
      </c>
      <c r="CS129" s="16" t="e">
        <f aca="false">IFERROR(ROUND(MatchData[[#this row],[cheval sum]]/MatchData[[#this row],[cheval avail count]],2),0)</f>
        <v>#VALUE!</v>
      </c>
      <c r="CT129" s="16" t="e">
        <f aca="false">IFERROR(ROUND(MatchData[[#this row],[moat sum]]/MatchData[[#this row],[moat avail count]],2),0)</f>
        <v>#VALUE!</v>
      </c>
      <c r="CU129" s="16" t="e">
        <f aca="false">IFERROR(ROUND(MatchData[[#this row],[ramparts sum]]/MatchData[[#this row],[ramparts avail count]],2),0)</f>
        <v>#VALUE!</v>
      </c>
      <c r="CV129" s="16" t="e">
        <f aca="false">IFERROR(ROUND(MatchData[[#this row],[drawbridge sum]]/MatchData[[#this row],[drawbridge avail countigh6]],2),0)</f>
        <v>#VALUE!</v>
      </c>
      <c r="CW129" s="16" t="e">
        <f aca="false">IFERROR(ROUND(MatchData[[#this row],[sally port sum]]/MatchData[[#this row],[sally port avail count]],2),0)</f>
        <v>#VALUE!</v>
      </c>
      <c r="CX129" s="5" t="e">
        <f aca="false">IFERROR(ROUND(MatchData[[#this row],[rock wall sum]]/MatchData[[#this row],[rock wall avail count]],2),0)</f>
        <v>#VALUE!</v>
      </c>
      <c r="CY129" s="5" t="e">
        <f aca="false">IFERROR(ROUND(MatchData[[#this row],[rough terrain sum]]/MatchData[[#this row],[rough terrain avail count]],2),0)</f>
        <v>#VALUE!</v>
      </c>
      <c r="CZ129" s="5" t="e">
        <f aca="false">IFERROR(ROUND(MatchData[[#this row],[low bar sum]]/MatchData[[#this row],[low bar avail count]],2),0)</f>
        <v>#VALUE!</v>
      </c>
      <c r="DA129" s="16" t="e">
        <f aca="false">SUM(MatchData[[#this row],[cheval sum]:[low bar sum]])/MatchData[match count]</f>
        <v>#VALUE!</v>
      </c>
      <c r="DB129" s="16" t="n">
        <f aca="false">MAX(IF(C$2:C$74=C129,BP$2:BP$74))</f>
        <v>-1.79769313486232E+308</v>
      </c>
      <c r="DC129" s="16" t="e">
        <f aca="false">AVERAGEIF(MatchData[team],MatchData[[#this row],[team]],MatchData[total score])</f>
        <v>#VALUE!</v>
      </c>
      <c r="DD129" s="16" t="e">
        <f aca="false">ROUND(AVERAGEIF(MatchData[team],MatchData[team],MatchData[climb or challenge flag]),2)</f>
        <v>#VALUE!</v>
      </c>
    </row>
    <row r="130" customFormat="false" ht="14.5" hidden="false" customHeight="false" outlineLevel="0" collapsed="false">
      <c r="A130" s="13" t="s">
        <v>108</v>
      </c>
      <c r="B130" s="14" t="n">
        <v>22</v>
      </c>
      <c r="C130" s="15" t="n">
        <v>3673</v>
      </c>
      <c r="D130" s="5" t="s">
        <v>109</v>
      </c>
      <c r="E130" s="5" t="s">
        <v>128</v>
      </c>
      <c r="G130" s="16"/>
      <c r="I130" s="16"/>
      <c r="J130" s="5" t="n">
        <v>1</v>
      </c>
      <c r="K130" s="16"/>
      <c r="L130" s="5" t="n">
        <v>1</v>
      </c>
      <c r="M130" s="5" t="n">
        <v>1</v>
      </c>
      <c r="N130" s="0"/>
      <c r="O130" s="5" t="n">
        <v>1</v>
      </c>
      <c r="P130" s="0"/>
      <c r="Q130" s="0"/>
      <c r="R130" s="5" t="n">
        <v>1</v>
      </c>
      <c r="S130" s="16"/>
      <c r="T130" s="0"/>
      <c r="U130" s="16"/>
      <c r="V130" s="16"/>
      <c r="W130" s="0"/>
      <c r="AD130" s="16"/>
      <c r="AE130" s="5"/>
      <c r="AF130" s="16"/>
      <c r="AG130" s="16"/>
      <c r="AH130" s="16"/>
      <c r="AJ130" s="16"/>
      <c r="AL130" s="16"/>
      <c r="AN130" s="16"/>
      <c r="AP130" s="16"/>
      <c r="AR130" s="16"/>
      <c r="AT130" s="16" t="n">
        <v>2</v>
      </c>
      <c r="AU130" s="16"/>
      <c r="AV130" s="16"/>
      <c r="AW130" s="16" t="n">
        <v>1</v>
      </c>
      <c r="AX130" s="16"/>
      <c r="AY130" s="16"/>
      <c r="AZ130" s="16"/>
      <c r="BB130" s="16"/>
      <c r="BC130" s="16" t="e">
        <f aca="false">MatchData[cheval scored crossings]*5</f>
        <v>#VALUE!</v>
      </c>
      <c r="BD130" s="16" t="e">
        <f aca="false">MatchData[moat scored crosings]*5</f>
        <v>#VALUE!</v>
      </c>
      <c r="BE130" s="16" t="e">
        <f aca="false">MatchData[ramparts scored crossings]*5</f>
        <v>#VALUE!</v>
      </c>
      <c r="BF130" s="16" t="e">
        <f aca="false">MatchData[drawbridge scored crossings]*5</f>
        <v>#VALUE!</v>
      </c>
      <c r="BG130" s="16" t="e">
        <f aca="false">MatchData[sally port scored crossings]*5</f>
        <v>#VALUE!</v>
      </c>
      <c r="BH130" s="16" t="e">
        <f aca="false">MatchData[rock wall scored crossings]*5</f>
        <v>#VALUE!</v>
      </c>
      <c r="BI130" s="16" t="e">
        <f aca="false">MatchData[rough terrain scored crossings]*5</f>
        <v>#VALUE!</v>
      </c>
      <c r="BJ130" s="16" t="e">
        <f aca="false">MatchData[low bar scored crossings]*5</f>
        <v>#VALUE!</v>
      </c>
      <c r="BK130" s="16" t="e">
        <f aca="false">SUM(MatchData[[#this row],[low bar teleop crossings]:[rough terrain scored crossings]])</f>
        <v>#VALUE!</v>
      </c>
      <c r="BL130" s="16" t="e">
        <f aca="false">IFERROR(IF(OR(MatchData[[#this row],[challenge flag]],MatchData[[#this row],[climb flag]]),1,0),0)</f>
        <v>#VALUE!</v>
      </c>
      <c r="BM130" s="16" t="e">
        <f aca="false">MatchData[auto high goals]*10+MatchData[teleop high goals]*5</f>
        <v>#VALUE!</v>
      </c>
      <c r="BN130" s="16" t="e">
        <f aca="false">MatchData[auto low goals]*5+MatchData[teleop low goals]*2</f>
        <v>#VALUE!</v>
      </c>
      <c r="BO130" s="16" t="e">
        <f aca="false">MatchData[high goal score]+MatchData[low goal score]</f>
        <v>#VALUE!</v>
      </c>
      <c r="BP130" s="16" t="e">
        <f aca="false">MatchData[teleop high goals]+MatchData[teleop low goals]</f>
        <v>#VALUE!</v>
      </c>
      <c r="BQ130" s="16" t="e">
        <f aca="false">MatchData[[#this row],[auto reach flag]]*2+SUM(MatchData[[#this row],[portcullis auto crossings]:[low bar auto crossings]])*10+MatchData[[#this row],[auto low goals]]*5+MatchData[auto high goals]*10</f>
        <v>#VALUE!</v>
      </c>
      <c r="BR130" s="16" t="e">
        <f aca="false">SUM(MatchData[[#this row],[cheval teleop crossing score]:[low bar teleop crossing score]])</f>
        <v>#VALUE!</v>
      </c>
      <c r="BS130" s="16" t="e">
        <f aca="false">SUMIF(MatchData[team],MatchData[[#this row],[team]],MatchData[total auto score])/MatchData[match count]</f>
        <v>#VALUE!</v>
      </c>
      <c r="BT130" s="16" t="e">
        <f aca="false">MatchData[challenge flag]*5</f>
        <v>#VALUE!</v>
      </c>
      <c r="BU130" s="16" t="e">
        <f aca="false">MatchData[climb flag]*15</f>
        <v>#VALUE!</v>
      </c>
      <c r="BV130" s="16" t="e">
        <f aca="false">SUM(MatchData[[#this row],[total goal score]],MatchData[[#this row],[crossing score]],MatchData[[#this row],[challenge score]],MatchData[[#this row],[climb score]],MatchData[[#this row],[total auto score]])</f>
        <v>#VALUE!</v>
      </c>
      <c r="BW130" s="16" t="e">
        <f aca="false">ROUND(SUMIF(MatchData[team],MatchData[[#this row],[team]],MatchData[teleop low goals])/COUNTIF(MatchData[team],MatchData[[#this row],[team]]),2)</f>
        <v>#VALUE!</v>
      </c>
      <c r="BX130" s="16" t="e">
        <f aca="false">ROUND(SUMIF(MatchData[team],MatchData[[#this row],[team]],MatchData[teleop high goals])/COUNTIF(MatchData[team],MatchData[[#this row],[team]]),2)</f>
        <v>#VALUE!</v>
      </c>
      <c r="BY130" s="16" t="e">
        <f aca="false">COUNTIF(MatchData[team],MatchData[[#this row],[team]])</f>
        <v>#VALUE!</v>
      </c>
      <c r="BZ130" s="16" t="e">
        <f aca="false">SUMIF(MatchData[team],MatchData[[#this row],[team]],MatchData[portcullis available])</f>
        <v>#VALUE!</v>
      </c>
      <c r="CA130" s="16" t="e">
        <f aca="false">SUMIF(MatchData[team],MatchData[[#this row],[team]],MatchData[cheval available])</f>
        <v>#VALUE!</v>
      </c>
      <c r="CB130" s="16" t="e">
        <f aca="false">SUMIF(MatchData[team],MatchData[[#this row],[team]],MatchData[moat available])</f>
        <v>#VALUE!</v>
      </c>
      <c r="CC130" s="16" t="e">
        <f aca="false">SUMIF(MatchData[team],MatchData[[#this row],[team]],MatchData[ramparts available])</f>
        <v>#VALUE!</v>
      </c>
      <c r="CD130" s="16" t="e">
        <f aca="false">SUMIF(MatchData[team],MatchData[[#this row],[team]],MatchData[drawbridge available])</f>
        <v>#VALUE!</v>
      </c>
      <c r="CE130" s="16" t="e">
        <f aca="false">SUMIF(MatchData[team],MatchData[[#this row],[team]],MatchData[sally port available])</f>
        <v>#VALUE!</v>
      </c>
      <c r="CF130" s="16" t="e">
        <f aca="false">SUMIF(MatchData[team],MatchData[[#this row],[team]],MatchData[rock wall available])</f>
        <v>#VALUE!</v>
      </c>
      <c r="CG130" s="16" t="e">
        <f aca="false">SUMIF(MatchData[team],MatchData[[#this row],[team]],MatchData[rough terrain available])</f>
        <v>#VALUE!</v>
      </c>
      <c r="CH130" s="16" t="e">
        <f aca="false">SUMIF(MatchData[team],MatchData[[#this row],[team]],MatchData[low bar available])</f>
        <v>#VALUE!</v>
      </c>
      <c r="CI130" s="16" t="e">
        <f aca="false">SUMIF(MatchData[team],MatchData[[#this row],[team]],MatchData[portcullis teleop crossings]:MatchData[portcullis scored crossings])</f>
        <v>#VALUE!</v>
      </c>
      <c r="CJ130" s="16" t="e">
        <f aca="false">SUMIF(MatchData[team],MatchData[[#this row],[team]],MatchData[cheval teleop crossings])+SUMIF(MatchData[team],MatchData[[#this row],[team]],MatchData[cheval scored crossings])</f>
        <v>#VALUE!</v>
      </c>
      <c r="CK130" s="16" t="e">
        <f aca="false">SUMIF(MatchData[team],MatchData[[#this row],[team]],MatchData[moat teleop crossings])+SUMIF(MatchData[team],MatchData[[#this row],[team]],MatchData[moat scored crosings])</f>
        <v>#VALUE!</v>
      </c>
      <c r="CL130" s="16" t="e">
        <f aca="false">SUMIF(MatchData[team],MatchData[[#this row],[team]],MatchData[ramparts teleop crossings])+SUMIF(MatchData[team],MatchData[[#this row],[team]],MatchData[ramparts scored crossings])</f>
        <v>#VALUE!</v>
      </c>
      <c r="CM130" s="16" t="e">
        <f aca="false">SUMIF(MatchData[team],MatchData[[#this row],[team]],MatchData[drawbridge teleop crossings])+SUMIF(MatchData[team],MatchData[[#this row],[team]],MatchData[drawbridge scored crossings])</f>
        <v>#VALUE!</v>
      </c>
      <c r="CN130" s="16" t="e">
        <f aca="false">SUMIF(MatchData[team],MatchData[[#this row],[team]],MatchData[sally port teleop crossings])+SUMIF(MatchData[team],MatchData[[#this row],[team]],MatchData[sally port scored crossings])</f>
        <v>#VALUE!</v>
      </c>
      <c r="CO130" s="16" t="e">
        <f aca="false">SUMIF(MatchData[team],MatchData[[#this row],[team]],MatchData[rock wall teleop crossings])+SUMIF(MatchData[team],MatchData[[#this row],[team]],MatchData[rock wall scored crossings])</f>
        <v>#VALUE!</v>
      </c>
      <c r="CP130" s="16" t="e">
        <f aca="false">SUMIF(MatchData[team],MatchData[[#this row],[team]],MatchData[rough terrain teleop crossings])+SUMIF(MatchData[team],MatchData[[#this row],[team]],MatchData[rough terrain scored crossings])</f>
        <v>#VALUE!</v>
      </c>
      <c r="CQ130" s="16" t="e">
        <f aca="false">SUMIF(MatchData[team],MatchData[[#this row],[team]],MatchData[low bar teleop crossings])+SUMIF(MatchData[team],MatchData[[#this row],[team]],MatchData[low bar scored crossings])</f>
        <v>#VALUE!</v>
      </c>
      <c r="CR130" s="16" t="e">
        <f aca="false">IFERROR(ROUND(MatchData[[#this row],[portcullis sum]]/MatchData[[#this row],[portcullis avail count]],2),0)</f>
        <v>#VALUE!</v>
      </c>
      <c r="CS130" s="16" t="e">
        <f aca="false">IFERROR(ROUND(MatchData[[#this row],[cheval sum]]/MatchData[[#this row],[cheval avail count]],2),0)</f>
        <v>#VALUE!</v>
      </c>
      <c r="CT130" s="16" t="e">
        <f aca="false">IFERROR(ROUND(MatchData[[#this row],[moat sum]]/MatchData[[#this row],[moat avail count]],2),0)</f>
        <v>#VALUE!</v>
      </c>
      <c r="CU130" s="16" t="e">
        <f aca="false">IFERROR(ROUND(MatchData[[#this row],[ramparts sum]]/MatchData[[#this row],[ramparts avail count]],2),0)</f>
        <v>#VALUE!</v>
      </c>
      <c r="CV130" s="16" t="e">
        <f aca="false">IFERROR(ROUND(MatchData[[#this row],[drawbridge sum]]/MatchData[[#this row],[drawbridge avail countigh6]],2),0)</f>
        <v>#VALUE!</v>
      </c>
      <c r="CW130" s="16" t="e">
        <f aca="false">IFERROR(ROUND(MatchData[[#this row],[sally port sum]]/MatchData[[#this row],[sally port avail count]],2),0)</f>
        <v>#VALUE!</v>
      </c>
      <c r="CX130" s="5" t="e">
        <f aca="false">IFERROR(ROUND(MatchData[[#this row],[rock wall sum]]/MatchData[[#this row],[rock wall avail count]],2),0)</f>
        <v>#VALUE!</v>
      </c>
      <c r="CY130" s="5" t="e">
        <f aca="false">IFERROR(ROUND(MatchData[[#this row],[rough terrain sum]]/MatchData[[#this row],[rough terrain avail count]],2),0)</f>
        <v>#VALUE!</v>
      </c>
      <c r="CZ130" s="5" t="e">
        <f aca="false">IFERROR(ROUND(MatchData[[#this row],[low bar sum]]/MatchData[[#this row],[low bar avail count]],2),0)</f>
        <v>#VALUE!</v>
      </c>
      <c r="DA130" s="16" t="e">
        <f aca="false">SUM(MatchData[[#this row],[cheval sum]:[low bar sum]])/MatchData[match count]</f>
        <v>#VALUE!</v>
      </c>
      <c r="DB130" s="16" t="n">
        <f aca="false">MAX(IF(C$2:C$74=C130,BP$2:BP$74))</f>
        <v>-1.79769313486232E+308</v>
      </c>
      <c r="DC130" s="16" t="e">
        <f aca="false">AVERAGEIF(MatchData[team],MatchData[[#this row],[team]],MatchData[total score])</f>
        <v>#VALUE!</v>
      </c>
      <c r="DD130" s="16" t="e">
        <f aca="false">ROUND(AVERAGEIF(MatchData[team],MatchData[team],MatchData[climb or challenge flag]),2)</f>
        <v>#VALUE!</v>
      </c>
    </row>
    <row r="131" customFormat="false" ht="14.5" hidden="false" customHeight="false" outlineLevel="0" collapsed="false">
      <c r="A131" s="17" t="s">
        <v>108</v>
      </c>
      <c r="B131" s="18" t="n">
        <v>22</v>
      </c>
      <c r="C131" s="15" t="n">
        <v>3812</v>
      </c>
      <c r="D131" s="5" t="s">
        <v>113</v>
      </c>
      <c r="E131" s="5" t="s">
        <v>125</v>
      </c>
      <c r="G131" s="16"/>
      <c r="I131" s="16"/>
      <c r="J131" s="5" t="n">
        <v>1</v>
      </c>
      <c r="K131" s="16"/>
      <c r="L131" s="5" t="n">
        <v>1</v>
      </c>
      <c r="M131" s="5" t="n">
        <v>1</v>
      </c>
      <c r="N131" s="0"/>
      <c r="O131" s="0"/>
      <c r="P131" s="5" t="n">
        <v>1</v>
      </c>
      <c r="Q131" s="0"/>
      <c r="R131" s="5" t="n">
        <v>1</v>
      </c>
      <c r="S131" s="16"/>
      <c r="T131" s="0"/>
      <c r="U131" s="16"/>
      <c r="V131" s="16"/>
      <c r="W131" s="0"/>
      <c r="AD131" s="16"/>
      <c r="AE131" s="5"/>
      <c r="AF131" s="16"/>
      <c r="AG131" s="16"/>
      <c r="AH131" s="16"/>
      <c r="AJ131" s="16" t="n">
        <v>2</v>
      </c>
      <c r="AL131" s="16"/>
      <c r="AN131" s="16"/>
      <c r="AP131" s="16"/>
      <c r="AR131" s="16"/>
      <c r="AT131" s="16"/>
      <c r="AU131" s="16"/>
      <c r="AV131" s="16"/>
      <c r="AW131" s="16"/>
      <c r="AX131" s="16"/>
      <c r="AY131" s="16"/>
      <c r="AZ131" s="16"/>
      <c r="BB131" s="16"/>
      <c r="BC131" s="16" t="e">
        <f aca="false">MatchData[cheval scored crossings]*5</f>
        <v>#VALUE!</v>
      </c>
      <c r="BD131" s="16" t="e">
        <f aca="false">MatchData[moat scored crosings]*5</f>
        <v>#VALUE!</v>
      </c>
      <c r="BE131" s="16" t="e">
        <f aca="false">MatchData[ramparts scored crossings]*5</f>
        <v>#VALUE!</v>
      </c>
      <c r="BF131" s="16" t="e">
        <f aca="false">MatchData[drawbridge scored crossings]*5</f>
        <v>#VALUE!</v>
      </c>
      <c r="BG131" s="16" t="e">
        <f aca="false">MatchData[sally port scored crossings]*5</f>
        <v>#VALUE!</v>
      </c>
      <c r="BH131" s="16" t="e">
        <f aca="false">MatchData[rock wall scored crossings]*5</f>
        <v>#VALUE!</v>
      </c>
      <c r="BI131" s="16" t="e">
        <f aca="false">MatchData[rough terrain scored crossings]*5</f>
        <v>#VALUE!</v>
      </c>
      <c r="BJ131" s="16" t="e">
        <f aca="false">MatchData[low bar scored crossings]*5</f>
        <v>#VALUE!</v>
      </c>
      <c r="BK131" s="16" t="e">
        <f aca="false">SUM(MatchData[[#this row],[low bar teleop crossings]:[rough terrain scored crossings]])</f>
        <v>#VALUE!</v>
      </c>
      <c r="BL131" s="16" t="e">
        <f aca="false">IFERROR(IF(OR(MatchData[[#this row],[challenge flag]],MatchData[[#this row],[climb flag]]),1,0),0)</f>
        <v>#VALUE!</v>
      </c>
      <c r="BM131" s="16" t="e">
        <f aca="false">MatchData[auto high goals]*10+MatchData[teleop high goals]*5</f>
        <v>#VALUE!</v>
      </c>
      <c r="BN131" s="16" t="e">
        <f aca="false">MatchData[auto low goals]*5+MatchData[teleop low goals]*2</f>
        <v>#VALUE!</v>
      </c>
      <c r="BO131" s="16" t="e">
        <f aca="false">MatchData[high goal score]+MatchData[low goal score]</f>
        <v>#VALUE!</v>
      </c>
      <c r="BP131" s="16" t="e">
        <f aca="false">MatchData[teleop high goals]+MatchData[teleop low goals]</f>
        <v>#VALUE!</v>
      </c>
      <c r="BQ131" s="16" t="e">
        <f aca="false">MatchData[[#this row],[auto reach flag]]*2+SUM(MatchData[[#this row],[portcullis auto crossings]:[low bar auto crossings]])*10+MatchData[[#this row],[auto low goals]]*5+MatchData[auto high goals]*10</f>
        <v>#VALUE!</v>
      </c>
      <c r="BR131" s="16" t="e">
        <f aca="false">SUM(MatchData[[#this row],[cheval teleop crossing score]:[low bar teleop crossing score]])</f>
        <v>#VALUE!</v>
      </c>
      <c r="BS131" s="16" t="e">
        <f aca="false">SUMIF(MatchData[team],MatchData[[#this row],[team]],MatchData[total auto score])/MatchData[match count]</f>
        <v>#VALUE!</v>
      </c>
      <c r="BT131" s="16" t="e">
        <f aca="false">MatchData[challenge flag]*5</f>
        <v>#VALUE!</v>
      </c>
      <c r="BU131" s="16" t="e">
        <f aca="false">MatchData[climb flag]*15</f>
        <v>#VALUE!</v>
      </c>
      <c r="BV131" s="16" t="e">
        <f aca="false">SUM(MatchData[[#this row],[total goal score]],MatchData[[#this row],[crossing score]],MatchData[[#this row],[challenge score]],MatchData[[#this row],[climb score]],MatchData[[#this row],[total auto score]])</f>
        <v>#VALUE!</v>
      </c>
      <c r="BW131" s="16" t="e">
        <f aca="false">ROUND(SUMIF(MatchData[team],MatchData[[#this row],[team]],MatchData[teleop low goals])/COUNTIF(MatchData[team],MatchData[[#this row],[team]]),2)</f>
        <v>#VALUE!</v>
      </c>
      <c r="BX131" s="16" t="e">
        <f aca="false">ROUND(SUMIF(MatchData[team],MatchData[[#this row],[team]],MatchData[teleop high goals])/COUNTIF(MatchData[team],MatchData[[#this row],[team]]),2)</f>
        <v>#VALUE!</v>
      </c>
      <c r="BY131" s="16" t="e">
        <f aca="false">COUNTIF(MatchData[team],MatchData[[#this row],[team]])</f>
        <v>#VALUE!</v>
      </c>
      <c r="BZ131" s="16" t="e">
        <f aca="false">SUMIF(MatchData[team],MatchData[[#this row],[team]],MatchData[portcullis available])</f>
        <v>#VALUE!</v>
      </c>
      <c r="CA131" s="16" t="e">
        <f aca="false">SUMIF(MatchData[team],MatchData[[#this row],[team]],MatchData[cheval available])</f>
        <v>#VALUE!</v>
      </c>
      <c r="CB131" s="16" t="e">
        <f aca="false">SUMIF(MatchData[team],MatchData[[#this row],[team]],MatchData[moat available])</f>
        <v>#VALUE!</v>
      </c>
      <c r="CC131" s="16" t="e">
        <f aca="false">SUMIF(MatchData[team],MatchData[[#this row],[team]],MatchData[ramparts available])</f>
        <v>#VALUE!</v>
      </c>
      <c r="CD131" s="16" t="e">
        <f aca="false">SUMIF(MatchData[team],MatchData[[#this row],[team]],MatchData[drawbridge available])</f>
        <v>#VALUE!</v>
      </c>
      <c r="CE131" s="16" t="e">
        <f aca="false">SUMIF(MatchData[team],MatchData[[#this row],[team]],MatchData[sally port available])</f>
        <v>#VALUE!</v>
      </c>
      <c r="CF131" s="16" t="e">
        <f aca="false">SUMIF(MatchData[team],MatchData[[#this row],[team]],MatchData[rock wall available])</f>
        <v>#VALUE!</v>
      </c>
      <c r="CG131" s="16" t="e">
        <f aca="false">SUMIF(MatchData[team],MatchData[[#this row],[team]],MatchData[rough terrain available])</f>
        <v>#VALUE!</v>
      </c>
      <c r="CH131" s="16" t="e">
        <f aca="false">SUMIF(MatchData[team],MatchData[[#this row],[team]],MatchData[low bar available])</f>
        <v>#VALUE!</v>
      </c>
      <c r="CI131" s="16" t="e">
        <f aca="false">SUMIF(MatchData[team],MatchData[[#this row],[team]],MatchData[portcullis teleop crossings]:MatchData[portcullis scored crossings])</f>
        <v>#VALUE!</v>
      </c>
      <c r="CJ131" s="16" t="e">
        <f aca="false">SUMIF(MatchData[team],MatchData[[#this row],[team]],MatchData[cheval teleop crossings])+SUMIF(MatchData[team],MatchData[[#this row],[team]],MatchData[cheval scored crossings])</f>
        <v>#VALUE!</v>
      </c>
      <c r="CK131" s="16" t="e">
        <f aca="false">SUMIF(MatchData[team],MatchData[[#this row],[team]],MatchData[moat teleop crossings])+SUMIF(MatchData[team],MatchData[[#this row],[team]],MatchData[moat scored crosings])</f>
        <v>#VALUE!</v>
      </c>
      <c r="CL131" s="16" t="e">
        <f aca="false">SUMIF(MatchData[team],MatchData[[#this row],[team]],MatchData[ramparts teleop crossings])+SUMIF(MatchData[team],MatchData[[#this row],[team]],MatchData[ramparts scored crossings])</f>
        <v>#VALUE!</v>
      </c>
      <c r="CM131" s="16" t="e">
        <f aca="false">SUMIF(MatchData[team],MatchData[[#this row],[team]],MatchData[drawbridge teleop crossings])+SUMIF(MatchData[team],MatchData[[#this row],[team]],MatchData[drawbridge scored crossings])</f>
        <v>#VALUE!</v>
      </c>
      <c r="CN131" s="16" t="e">
        <f aca="false">SUMIF(MatchData[team],MatchData[[#this row],[team]],MatchData[sally port teleop crossings])+SUMIF(MatchData[team],MatchData[[#this row],[team]],MatchData[sally port scored crossings])</f>
        <v>#VALUE!</v>
      </c>
      <c r="CO131" s="16" t="e">
        <f aca="false">SUMIF(MatchData[team],MatchData[[#this row],[team]],MatchData[rock wall teleop crossings])+SUMIF(MatchData[team],MatchData[[#this row],[team]],MatchData[rock wall scored crossings])</f>
        <v>#VALUE!</v>
      </c>
      <c r="CP131" s="16" t="e">
        <f aca="false">SUMIF(MatchData[team],MatchData[[#this row],[team]],MatchData[rough terrain teleop crossings])+SUMIF(MatchData[team],MatchData[[#this row],[team]],MatchData[rough terrain scored crossings])</f>
        <v>#VALUE!</v>
      </c>
      <c r="CQ131" s="16" t="e">
        <f aca="false">SUMIF(MatchData[team],MatchData[[#this row],[team]],MatchData[low bar teleop crossings])+SUMIF(MatchData[team],MatchData[[#this row],[team]],MatchData[low bar scored crossings])</f>
        <v>#VALUE!</v>
      </c>
      <c r="CR131" s="16" t="e">
        <f aca="false">IFERROR(ROUND(MatchData[[#this row],[portcullis sum]]/MatchData[[#this row],[portcullis avail count]],2),0)</f>
        <v>#VALUE!</v>
      </c>
      <c r="CS131" s="16" t="e">
        <f aca="false">IFERROR(ROUND(MatchData[[#this row],[cheval sum]]/MatchData[[#this row],[cheval avail count]],2),0)</f>
        <v>#VALUE!</v>
      </c>
      <c r="CT131" s="16" t="e">
        <f aca="false">IFERROR(ROUND(MatchData[[#this row],[moat sum]]/MatchData[[#this row],[moat avail count]],2),0)</f>
        <v>#VALUE!</v>
      </c>
      <c r="CU131" s="16" t="e">
        <f aca="false">IFERROR(ROUND(MatchData[[#this row],[ramparts sum]]/MatchData[[#this row],[ramparts avail count]],2),0)</f>
        <v>#VALUE!</v>
      </c>
      <c r="CV131" s="16" t="e">
        <f aca="false">IFERROR(ROUND(MatchData[[#this row],[drawbridge sum]]/MatchData[[#this row],[drawbridge avail countigh6]],2),0)</f>
        <v>#VALUE!</v>
      </c>
      <c r="CW131" s="16" t="e">
        <f aca="false">IFERROR(ROUND(MatchData[[#this row],[sally port sum]]/MatchData[[#this row],[sally port avail count]],2),0)</f>
        <v>#VALUE!</v>
      </c>
      <c r="CX131" s="5" t="e">
        <f aca="false">IFERROR(ROUND(MatchData[[#this row],[rock wall sum]]/MatchData[[#this row],[rock wall avail count]],2),0)</f>
        <v>#VALUE!</v>
      </c>
      <c r="CY131" s="5" t="e">
        <f aca="false">IFERROR(ROUND(MatchData[[#this row],[rough terrain sum]]/MatchData[[#this row],[rough terrain avail count]],2),0)</f>
        <v>#VALUE!</v>
      </c>
      <c r="CZ131" s="5" t="e">
        <f aca="false">IFERROR(ROUND(MatchData[[#this row],[low bar sum]]/MatchData[[#this row],[low bar avail count]],2),0)</f>
        <v>#VALUE!</v>
      </c>
      <c r="DA131" s="16" t="e">
        <f aca="false">SUM(MatchData[[#this row],[cheval sum]:[low bar sum]])/MatchData[match count]</f>
        <v>#VALUE!</v>
      </c>
      <c r="DB131" s="16" t="n">
        <f aca="false">MAX(IF(C$2:C$74=C131,BP$2:BP$74))</f>
        <v>-1.79769313486232E+308</v>
      </c>
      <c r="DC131" s="16" t="e">
        <f aca="false">AVERAGEIF(MatchData[team],MatchData[[#this row],[team]],MatchData[total score])</f>
        <v>#VALUE!</v>
      </c>
      <c r="DD131" s="16" t="e">
        <f aca="false">ROUND(AVERAGEIF(MatchData[team],MatchData[team],MatchData[climb or challenge flag]),2)</f>
        <v>#VALUE!</v>
      </c>
    </row>
    <row r="132" customFormat="false" ht="14.5" hidden="false" customHeight="false" outlineLevel="0" collapsed="false">
      <c r="A132" s="17" t="s">
        <v>108</v>
      </c>
      <c r="B132" s="18" t="n">
        <v>22</v>
      </c>
      <c r="C132" s="15" t="n">
        <v>5198</v>
      </c>
      <c r="D132" s="5" t="s">
        <v>113</v>
      </c>
      <c r="E132" s="5" t="s">
        <v>149</v>
      </c>
      <c r="G132" s="16"/>
      <c r="I132" s="16"/>
      <c r="J132" s="5" t="n">
        <v>1</v>
      </c>
      <c r="K132" s="16"/>
      <c r="L132" s="5" t="n">
        <v>1</v>
      </c>
      <c r="M132" s="5" t="n">
        <v>1</v>
      </c>
      <c r="N132" s="0"/>
      <c r="O132" s="0"/>
      <c r="P132" s="5" t="n">
        <v>1</v>
      </c>
      <c r="Q132" s="0"/>
      <c r="R132" s="5" t="n">
        <v>1</v>
      </c>
      <c r="S132" s="16"/>
      <c r="T132" s="0"/>
      <c r="U132" s="16"/>
      <c r="V132" s="16"/>
      <c r="W132" s="0"/>
      <c r="AA132" s="5" t="n">
        <v>1</v>
      </c>
      <c r="AD132" s="16"/>
      <c r="AE132" s="5"/>
      <c r="AF132" s="16"/>
      <c r="AG132" s="16"/>
      <c r="AH132" s="16"/>
      <c r="AJ132" s="16"/>
      <c r="AL132" s="16"/>
      <c r="AN132" s="16"/>
      <c r="AP132" s="16"/>
      <c r="AR132" s="16"/>
      <c r="AT132" s="16" t="n">
        <v>2</v>
      </c>
      <c r="AU132" s="16"/>
      <c r="AV132" s="16"/>
      <c r="AW132" s="16"/>
      <c r="AX132" s="16"/>
      <c r="AY132" s="16"/>
      <c r="AZ132" s="16"/>
      <c r="BB132" s="16"/>
      <c r="BC132" s="16" t="e">
        <f aca="false">MatchData[cheval scored crossings]*5</f>
        <v>#VALUE!</v>
      </c>
      <c r="BD132" s="16" t="e">
        <f aca="false">MatchData[moat scored crosings]*5</f>
        <v>#VALUE!</v>
      </c>
      <c r="BE132" s="16" t="e">
        <f aca="false">MatchData[ramparts scored crossings]*5</f>
        <v>#VALUE!</v>
      </c>
      <c r="BF132" s="16" t="e">
        <f aca="false">MatchData[drawbridge scored crossings]*5</f>
        <v>#VALUE!</v>
      </c>
      <c r="BG132" s="16" t="e">
        <f aca="false">MatchData[sally port scored crossings]*5</f>
        <v>#VALUE!</v>
      </c>
      <c r="BH132" s="16" t="e">
        <f aca="false">MatchData[rock wall scored crossings]*5</f>
        <v>#VALUE!</v>
      </c>
      <c r="BI132" s="16" t="e">
        <f aca="false">MatchData[rough terrain scored crossings]*5</f>
        <v>#VALUE!</v>
      </c>
      <c r="BJ132" s="16" t="e">
        <f aca="false">MatchData[low bar scored crossings]*5</f>
        <v>#VALUE!</v>
      </c>
      <c r="BK132" s="16" t="e">
        <f aca="false">SUM(MatchData[[#this row],[low bar teleop crossings]:[rough terrain scored crossings]])</f>
        <v>#VALUE!</v>
      </c>
      <c r="BL132" s="16" t="e">
        <f aca="false">IFERROR(IF(OR(MatchData[[#this row],[challenge flag]],MatchData[[#this row],[climb flag]]),1,0),0)</f>
        <v>#VALUE!</v>
      </c>
      <c r="BM132" s="16" t="e">
        <f aca="false">MatchData[auto high goals]*10+MatchData[teleop high goals]*5</f>
        <v>#VALUE!</v>
      </c>
      <c r="BN132" s="16" t="e">
        <f aca="false">MatchData[auto low goals]*5+MatchData[teleop low goals]*2</f>
        <v>#VALUE!</v>
      </c>
      <c r="BO132" s="16" t="e">
        <f aca="false">MatchData[high goal score]+MatchData[low goal score]</f>
        <v>#VALUE!</v>
      </c>
      <c r="BP132" s="16" t="e">
        <f aca="false">MatchData[teleop high goals]+MatchData[teleop low goals]</f>
        <v>#VALUE!</v>
      </c>
      <c r="BQ132" s="16" t="e">
        <f aca="false">MatchData[[#this row],[auto reach flag]]*2+SUM(MatchData[[#this row],[portcullis auto crossings]:[low bar auto crossings]])*10+MatchData[[#this row],[auto low goals]]*5+MatchData[auto high goals]*10</f>
        <v>#VALUE!</v>
      </c>
      <c r="BR132" s="16" t="e">
        <f aca="false">SUM(MatchData[[#this row],[cheval teleop crossing score]:[low bar teleop crossing score]])</f>
        <v>#VALUE!</v>
      </c>
      <c r="BS132" s="16" t="e">
        <f aca="false">SUMIF(MatchData[team],MatchData[[#this row],[team]],MatchData[total auto score])/MatchData[match count]</f>
        <v>#VALUE!</v>
      </c>
      <c r="BT132" s="16" t="e">
        <f aca="false">MatchData[challenge flag]*5</f>
        <v>#VALUE!</v>
      </c>
      <c r="BU132" s="16" t="e">
        <f aca="false">MatchData[climb flag]*15</f>
        <v>#VALUE!</v>
      </c>
      <c r="BV132" s="16" t="e">
        <f aca="false">SUM(MatchData[[#this row],[total goal score]],MatchData[[#this row],[crossing score]],MatchData[[#this row],[challenge score]],MatchData[[#this row],[climb score]],MatchData[[#this row],[total auto score]])</f>
        <v>#VALUE!</v>
      </c>
      <c r="BW132" s="16" t="e">
        <f aca="false">ROUND(SUMIF(MatchData[team],MatchData[[#this row],[team]],MatchData[teleop low goals])/COUNTIF(MatchData[team],MatchData[[#this row],[team]]),2)</f>
        <v>#VALUE!</v>
      </c>
      <c r="BX132" s="16" t="e">
        <f aca="false">ROUND(SUMIF(MatchData[team],MatchData[[#this row],[team]],MatchData[teleop high goals])/COUNTIF(MatchData[team],MatchData[[#this row],[team]]),2)</f>
        <v>#VALUE!</v>
      </c>
      <c r="BY132" s="16" t="e">
        <f aca="false">COUNTIF(MatchData[team],MatchData[[#this row],[team]])</f>
        <v>#VALUE!</v>
      </c>
      <c r="BZ132" s="16" t="e">
        <f aca="false">SUMIF(MatchData[team],MatchData[[#this row],[team]],MatchData[portcullis available])</f>
        <v>#VALUE!</v>
      </c>
      <c r="CA132" s="16" t="e">
        <f aca="false">SUMIF(MatchData[team],MatchData[[#this row],[team]],MatchData[cheval available])</f>
        <v>#VALUE!</v>
      </c>
      <c r="CB132" s="16" t="e">
        <f aca="false">SUMIF(MatchData[team],MatchData[[#this row],[team]],MatchData[moat available])</f>
        <v>#VALUE!</v>
      </c>
      <c r="CC132" s="16" t="e">
        <f aca="false">SUMIF(MatchData[team],MatchData[[#this row],[team]],MatchData[ramparts available])</f>
        <v>#VALUE!</v>
      </c>
      <c r="CD132" s="16" t="e">
        <f aca="false">SUMIF(MatchData[team],MatchData[[#this row],[team]],MatchData[drawbridge available])</f>
        <v>#VALUE!</v>
      </c>
      <c r="CE132" s="16" t="e">
        <f aca="false">SUMIF(MatchData[team],MatchData[[#this row],[team]],MatchData[sally port available])</f>
        <v>#VALUE!</v>
      </c>
      <c r="CF132" s="16" t="e">
        <f aca="false">SUMIF(MatchData[team],MatchData[[#this row],[team]],MatchData[rock wall available])</f>
        <v>#VALUE!</v>
      </c>
      <c r="CG132" s="16" t="e">
        <f aca="false">SUMIF(MatchData[team],MatchData[[#this row],[team]],MatchData[rough terrain available])</f>
        <v>#VALUE!</v>
      </c>
      <c r="CH132" s="16" t="e">
        <f aca="false">SUMIF(MatchData[team],MatchData[[#this row],[team]],MatchData[low bar available])</f>
        <v>#VALUE!</v>
      </c>
      <c r="CI132" s="16" t="e">
        <f aca="false">SUMIF(MatchData[team],MatchData[[#this row],[team]],MatchData[portcullis teleop crossings]:MatchData[portcullis scored crossings])</f>
        <v>#VALUE!</v>
      </c>
      <c r="CJ132" s="16" t="e">
        <f aca="false">SUMIF(MatchData[team],MatchData[[#this row],[team]],MatchData[cheval teleop crossings])+SUMIF(MatchData[team],MatchData[[#this row],[team]],MatchData[cheval scored crossings])</f>
        <v>#VALUE!</v>
      </c>
      <c r="CK132" s="16" t="e">
        <f aca="false">SUMIF(MatchData[team],MatchData[[#this row],[team]],MatchData[moat teleop crossings])+SUMIF(MatchData[team],MatchData[[#this row],[team]],MatchData[moat scored crosings])</f>
        <v>#VALUE!</v>
      </c>
      <c r="CL132" s="16" t="e">
        <f aca="false">SUMIF(MatchData[team],MatchData[[#this row],[team]],MatchData[ramparts teleop crossings])+SUMIF(MatchData[team],MatchData[[#this row],[team]],MatchData[ramparts scored crossings])</f>
        <v>#VALUE!</v>
      </c>
      <c r="CM132" s="16" t="e">
        <f aca="false">SUMIF(MatchData[team],MatchData[[#this row],[team]],MatchData[drawbridge teleop crossings])+SUMIF(MatchData[team],MatchData[[#this row],[team]],MatchData[drawbridge scored crossings])</f>
        <v>#VALUE!</v>
      </c>
      <c r="CN132" s="16" t="e">
        <f aca="false">SUMIF(MatchData[team],MatchData[[#this row],[team]],MatchData[sally port teleop crossings])+SUMIF(MatchData[team],MatchData[[#this row],[team]],MatchData[sally port scored crossings])</f>
        <v>#VALUE!</v>
      </c>
      <c r="CO132" s="16" t="e">
        <f aca="false">SUMIF(MatchData[team],MatchData[[#this row],[team]],MatchData[rock wall teleop crossings])+SUMIF(MatchData[team],MatchData[[#this row],[team]],MatchData[rock wall scored crossings])</f>
        <v>#VALUE!</v>
      </c>
      <c r="CP132" s="16" t="e">
        <f aca="false">SUMIF(MatchData[team],MatchData[[#this row],[team]],MatchData[rough terrain teleop crossings])+SUMIF(MatchData[team],MatchData[[#this row],[team]],MatchData[rough terrain scored crossings])</f>
        <v>#VALUE!</v>
      </c>
      <c r="CQ132" s="16" t="e">
        <f aca="false">SUMIF(MatchData[team],MatchData[[#this row],[team]],MatchData[low bar teleop crossings])+SUMIF(MatchData[team],MatchData[[#this row],[team]],MatchData[low bar scored crossings])</f>
        <v>#VALUE!</v>
      </c>
      <c r="CR132" s="16" t="e">
        <f aca="false">IFERROR(ROUND(MatchData[[#this row],[portcullis sum]]/MatchData[[#this row],[portcullis avail count]],2),0)</f>
        <v>#VALUE!</v>
      </c>
      <c r="CS132" s="16" t="e">
        <f aca="false">IFERROR(ROUND(MatchData[[#this row],[cheval sum]]/MatchData[[#this row],[cheval avail count]],2),0)</f>
        <v>#VALUE!</v>
      </c>
      <c r="CT132" s="16" t="e">
        <f aca="false">IFERROR(ROUND(MatchData[[#this row],[moat sum]]/MatchData[[#this row],[moat avail count]],2),0)</f>
        <v>#VALUE!</v>
      </c>
      <c r="CU132" s="16" t="e">
        <f aca="false">IFERROR(ROUND(MatchData[[#this row],[ramparts sum]]/MatchData[[#this row],[ramparts avail count]],2),0)</f>
        <v>#VALUE!</v>
      </c>
      <c r="CV132" s="16" t="e">
        <f aca="false">IFERROR(ROUND(MatchData[[#this row],[drawbridge sum]]/MatchData[[#this row],[drawbridge avail countigh6]],2),0)</f>
        <v>#VALUE!</v>
      </c>
      <c r="CW132" s="16" t="e">
        <f aca="false">IFERROR(ROUND(MatchData[[#this row],[sally port sum]]/MatchData[[#this row],[sally port avail count]],2),0)</f>
        <v>#VALUE!</v>
      </c>
      <c r="CX132" s="5" t="e">
        <f aca="false">IFERROR(ROUND(MatchData[[#this row],[rock wall sum]]/MatchData[[#this row],[rock wall avail count]],2),0)</f>
        <v>#VALUE!</v>
      </c>
      <c r="CY132" s="5" t="e">
        <f aca="false">IFERROR(ROUND(MatchData[[#this row],[rough terrain sum]]/MatchData[[#this row],[rough terrain avail count]],2),0)</f>
        <v>#VALUE!</v>
      </c>
      <c r="CZ132" s="5" t="e">
        <f aca="false">IFERROR(ROUND(MatchData[[#this row],[low bar sum]]/MatchData[[#this row],[low bar avail count]],2),0)</f>
        <v>#VALUE!</v>
      </c>
      <c r="DA132" s="16" t="e">
        <f aca="false">SUM(MatchData[[#this row],[cheval sum]:[low bar sum]])/MatchData[match count]</f>
        <v>#VALUE!</v>
      </c>
      <c r="DB132" s="16" t="n">
        <f aca="false">MAX(IF(C$2:C$74=C132,BP$2:BP$74))</f>
        <v>-1.79769313486232E+308</v>
      </c>
      <c r="DC132" s="16" t="e">
        <f aca="false">AVERAGEIF(MatchData[team],MatchData[[#this row],[team]],MatchData[total score])</f>
        <v>#VALUE!</v>
      </c>
      <c r="DD132" s="16" t="e">
        <f aca="false">ROUND(AVERAGEIF(MatchData[team],MatchData[team],MatchData[climb or challenge flag]),2)</f>
        <v>#VALUE!</v>
      </c>
    </row>
    <row r="133" customFormat="false" ht="14.5" hidden="false" customHeight="false" outlineLevel="0" collapsed="false">
      <c r="A133" s="17" t="s">
        <v>108</v>
      </c>
      <c r="B133" s="14" t="n">
        <v>22</v>
      </c>
      <c r="C133" s="15" t="n">
        <v>5970</v>
      </c>
      <c r="D133" s="5" t="s">
        <v>113</v>
      </c>
      <c r="E133" s="5" t="s">
        <v>120</v>
      </c>
      <c r="G133" s="16"/>
      <c r="I133" s="16"/>
      <c r="J133" s="5" t="n">
        <v>1</v>
      </c>
      <c r="K133" s="16"/>
      <c r="L133" s="5" t="n">
        <v>1</v>
      </c>
      <c r="M133" s="5" t="n">
        <v>1</v>
      </c>
      <c r="N133" s="0"/>
      <c r="O133" s="0"/>
      <c r="P133" s="5" t="n">
        <v>1</v>
      </c>
      <c r="Q133" s="0"/>
      <c r="R133" s="5" t="n">
        <v>1</v>
      </c>
      <c r="S133" s="16"/>
      <c r="T133" s="0"/>
      <c r="U133" s="16"/>
      <c r="V133" s="16"/>
      <c r="W133" s="0"/>
      <c r="AB133" s="5" t="n">
        <v>1</v>
      </c>
      <c r="AD133" s="16" t="n">
        <v>1</v>
      </c>
      <c r="AE133" s="5"/>
      <c r="AF133" s="16"/>
      <c r="AG133" s="16"/>
      <c r="AH133" s="16" t="n">
        <v>2</v>
      </c>
      <c r="AJ133" s="16"/>
      <c r="AL133" s="16"/>
      <c r="AN133" s="16"/>
      <c r="AP133" s="16"/>
      <c r="AR133" s="16"/>
      <c r="AT133" s="16"/>
      <c r="AU133" s="16"/>
      <c r="AV133" s="16"/>
      <c r="AW133" s="16"/>
      <c r="AX133" s="16"/>
      <c r="AY133" s="16"/>
      <c r="AZ133" s="16"/>
      <c r="BB133" s="16"/>
      <c r="BC133" s="16" t="e">
        <f aca="false">MatchData[cheval scored crossings]*5</f>
        <v>#VALUE!</v>
      </c>
      <c r="BD133" s="16" t="e">
        <f aca="false">MatchData[moat scored crosings]*5</f>
        <v>#VALUE!</v>
      </c>
      <c r="BE133" s="16" t="e">
        <f aca="false">MatchData[ramparts scored crossings]*5</f>
        <v>#VALUE!</v>
      </c>
      <c r="BF133" s="16" t="e">
        <f aca="false">MatchData[drawbridge scored crossings]*5</f>
        <v>#VALUE!</v>
      </c>
      <c r="BG133" s="16" t="e">
        <f aca="false">MatchData[sally port scored crossings]*5</f>
        <v>#VALUE!</v>
      </c>
      <c r="BH133" s="16" t="e">
        <f aca="false">MatchData[rock wall scored crossings]*5</f>
        <v>#VALUE!</v>
      </c>
      <c r="BI133" s="16" t="e">
        <f aca="false">MatchData[rough terrain scored crossings]*5</f>
        <v>#VALUE!</v>
      </c>
      <c r="BJ133" s="16" t="e">
        <f aca="false">MatchData[low bar scored crossings]*5</f>
        <v>#VALUE!</v>
      </c>
      <c r="BK133" s="16" t="e">
        <f aca="false">SUM(MatchData[[#this row],[low bar teleop crossings]:[rough terrain scored crossings]])</f>
        <v>#VALUE!</v>
      </c>
      <c r="BL133" s="16" t="e">
        <f aca="false">IFERROR(IF(OR(MatchData[[#this row],[challenge flag]],MatchData[[#this row],[climb flag]]),1,0),0)</f>
        <v>#VALUE!</v>
      </c>
      <c r="BM133" s="16" t="e">
        <f aca="false">MatchData[auto high goals]*10+MatchData[teleop high goals]*5</f>
        <v>#VALUE!</v>
      </c>
      <c r="BN133" s="16" t="e">
        <f aca="false">MatchData[auto low goals]*5+MatchData[teleop low goals]*2</f>
        <v>#VALUE!</v>
      </c>
      <c r="BO133" s="16" t="e">
        <f aca="false">MatchData[high goal score]+MatchData[low goal score]</f>
        <v>#VALUE!</v>
      </c>
      <c r="BP133" s="16" t="e">
        <f aca="false">MatchData[teleop high goals]+MatchData[teleop low goals]</f>
        <v>#VALUE!</v>
      </c>
      <c r="BQ133" s="16" t="e">
        <f aca="false">MatchData[[#this row],[auto reach flag]]*2+SUM(MatchData[[#this row],[portcullis auto crossings]:[low bar auto crossings]])*10+MatchData[[#this row],[auto low goals]]*5+MatchData[auto high goals]*10</f>
        <v>#VALUE!</v>
      </c>
      <c r="BR133" s="16" t="e">
        <f aca="false">SUM(MatchData[[#this row],[cheval teleop crossing score]:[low bar teleop crossing score]])</f>
        <v>#VALUE!</v>
      </c>
      <c r="BS133" s="16" t="e">
        <f aca="false">SUMIF(MatchData[team],MatchData[[#this row],[team]],MatchData[total auto score])/MatchData[match count]</f>
        <v>#VALUE!</v>
      </c>
      <c r="BT133" s="16" t="e">
        <f aca="false">MatchData[challenge flag]*5</f>
        <v>#VALUE!</v>
      </c>
      <c r="BU133" s="16" t="e">
        <f aca="false">MatchData[climb flag]*15</f>
        <v>#VALUE!</v>
      </c>
      <c r="BV133" s="16" t="e">
        <f aca="false">SUM(MatchData[[#this row],[total goal score]],MatchData[[#this row],[crossing score]],MatchData[[#this row],[challenge score]],MatchData[[#this row],[climb score]],MatchData[[#this row],[total auto score]])</f>
        <v>#VALUE!</v>
      </c>
      <c r="BW133" s="16" t="e">
        <f aca="false">ROUND(SUMIF(MatchData[team],MatchData[[#this row],[team]],MatchData[teleop low goals])/COUNTIF(MatchData[team],MatchData[[#this row],[team]]),2)</f>
        <v>#VALUE!</v>
      </c>
      <c r="BX133" s="16" t="e">
        <f aca="false">ROUND(SUMIF(MatchData[team],MatchData[[#this row],[team]],MatchData[teleop high goals])/COUNTIF(MatchData[team],MatchData[[#this row],[team]]),2)</f>
        <v>#VALUE!</v>
      </c>
      <c r="BY133" s="16" t="e">
        <f aca="false">COUNTIF(MatchData[team],MatchData[[#this row],[team]])</f>
        <v>#VALUE!</v>
      </c>
      <c r="BZ133" s="16" t="e">
        <f aca="false">SUMIF(MatchData[team],MatchData[[#this row],[team]],MatchData[portcullis available])</f>
        <v>#VALUE!</v>
      </c>
      <c r="CA133" s="16" t="e">
        <f aca="false">SUMIF(MatchData[team],MatchData[[#this row],[team]],MatchData[cheval available])</f>
        <v>#VALUE!</v>
      </c>
      <c r="CB133" s="16" t="e">
        <f aca="false">SUMIF(MatchData[team],MatchData[[#this row],[team]],MatchData[moat available])</f>
        <v>#VALUE!</v>
      </c>
      <c r="CC133" s="16" t="e">
        <f aca="false">SUMIF(MatchData[team],MatchData[[#this row],[team]],MatchData[ramparts available])</f>
        <v>#VALUE!</v>
      </c>
      <c r="CD133" s="16" t="e">
        <f aca="false">SUMIF(MatchData[team],MatchData[[#this row],[team]],MatchData[drawbridge available])</f>
        <v>#VALUE!</v>
      </c>
      <c r="CE133" s="16" t="e">
        <f aca="false">SUMIF(MatchData[team],MatchData[[#this row],[team]],MatchData[sally port available])</f>
        <v>#VALUE!</v>
      </c>
      <c r="CF133" s="16" t="e">
        <f aca="false">SUMIF(MatchData[team],MatchData[[#this row],[team]],MatchData[rock wall available])</f>
        <v>#VALUE!</v>
      </c>
      <c r="CG133" s="16" t="e">
        <f aca="false">SUMIF(MatchData[team],MatchData[[#this row],[team]],MatchData[rough terrain available])</f>
        <v>#VALUE!</v>
      </c>
      <c r="CH133" s="16" t="e">
        <f aca="false">SUMIF(MatchData[team],MatchData[[#this row],[team]],MatchData[low bar available])</f>
        <v>#VALUE!</v>
      </c>
      <c r="CI133" s="16" t="e">
        <f aca="false">SUMIF(MatchData[team],MatchData[[#this row],[team]],MatchData[portcullis teleop crossings]:MatchData[portcullis scored crossings])</f>
        <v>#VALUE!</v>
      </c>
      <c r="CJ133" s="16" t="e">
        <f aca="false">SUMIF(MatchData[team],MatchData[[#this row],[team]],MatchData[cheval teleop crossings])+SUMIF(MatchData[team],MatchData[[#this row],[team]],MatchData[cheval scored crossings])</f>
        <v>#VALUE!</v>
      </c>
      <c r="CK133" s="16" t="e">
        <f aca="false">SUMIF(MatchData[team],MatchData[[#this row],[team]],MatchData[moat teleop crossings])+SUMIF(MatchData[team],MatchData[[#this row],[team]],MatchData[moat scored crosings])</f>
        <v>#VALUE!</v>
      </c>
      <c r="CL133" s="16" t="e">
        <f aca="false">SUMIF(MatchData[team],MatchData[[#this row],[team]],MatchData[ramparts teleop crossings])+SUMIF(MatchData[team],MatchData[[#this row],[team]],MatchData[ramparts scored crossings])</f>
        <v>#VALUE!</v>
      </c>
      <c r="CM133" s="16" t="e">
        <f aca="false">SUMIF(MatchData[team],MatchData[[#this row],[team]],MatchData[drawbridge teleop crossings])+SUMIF(MatchData[team],MatchData[[#this row],[team]],MatchData[drawbridge scored crossings])</f>
        <v>#VALUE!</v>
      </c>
      <c r="CN133" s="16" t="e">
        <f aca="false">SUMIF(MatchData[team],MatchData[[#this row],[team]],MatchData[sally port teleop crossings])+SUMIF(MatchData[team],MatchData[[#this row],[team]],MatchData[sally port scored crossings])</f>
        <v>#VALUE!</v>
      </c>
      <c r="CO133" s="16" t="e">
        <f aca="false">SUMIF(MatchData[team],MatchData[[#this row],[team]],MatchData[rock wall teleop crossings])+SUMIF(MatchData[team],MatchData[[#this row],[team]],MatchData[rock wall scored crossings])</f>
        <v>#VALUE!</v>
      </c>
      <c r="CP133" s="16" t="e">
        <f aca="false">SUMIF(MatchData[team],MatchData[[#this row],[team]],MatchData[rough terrain teleop crossings])+SUMIF(MatchData[team],MatchData[[#this row],[team]],MatchData[rough terrain scored crossings])</f>
        <v>#VALUE!</v>
      </c>
      <c r="CQ133" s="16" t="e">
        <f aca="false">SUMIF(MatchData[team],MatchData[[#this row],[team]],MatchData[low bar teleop crossings])+SUMIF(MatchData[team],MatchData[[#this row],[team]],MatchData[low bar scored crossings])</f>
        <v>#VALUE!</v>
      </c>
      <c r="CR133" s="16" t="e">
        <f aca="false">IFERROR(ROUND(MatchData[[#this row],[portcullis sum]]/MatchData[[#this row],[portcullis avail count]],2),0)</f>
        <v>#VALUE!</v>
      </c>
      <c r="CS133" s="16" t="e">
        <f aca="false">IFERROR(ROUND(MatchData[[#this row],[cheval sum]]/MatchData[[#this row],[cheval avail count]],2),0)</f>
        <v>#VALUE!</v>
      </c>
      <c r="CT133" s="16" t="e">
        <f aca="false">IFERROR(ROUND(MatchData[[#this row],[moat sum]]/MatchData[[#this row],[moat avail count]],2),0)</f>
        <v>#VALUE!</v>
      </c>
      <c r="CU133" s="16" t="e">
        <f aca="false">IFERROR(ROUND(MatchData[[#this row],[ramparts sum]]/MatchData[[#this row],[ramparts avail count]],2),0)</f>
        <v>#VALUE!</v>
      </c>
      <c r="CV133" s="16" t="e">
        <f aca="false">IFERROR(ROUND(MatchData[[#this row],[drawbridge sum]]/MatchData[[#this row],[drawbridge avail countigh6]],2),0)</f>
        <v>#VALUE!</v>
      </c>
      <c r="CW133" s="16" t="e">
        <f aca="false">IFERROR(ROUND(MatchData[[#this row],[sally port sum]]/MatchData[[#this row],[sally port avail count]],2),0)</f>
        <v>#VALUE!</v>
      </c>
      <c r="CX133" s="5" t="e">
        <f aca="false">IFERROR(ROUND(MatchData[[#this row],[rock wall sum]]/MatchData[[#this row],[rock wall avail count]],2),0)</f>
        <v>#VALUE!</v>
      </c>
      <c r="CY133" s="5" t="e">
        <f aca="false">IFERROR(ROUND(MatchData[[#this row],[rough terrain sum]]/MatchData[[#this row],[rough terrain avail count]],2),0)</f>
        <v>#VALUE!</v>
      </c>
      <c r="CZ133" s="5" t="e">
        <f aca="false">IFERROR(ROUND(MatchData[[#this row],[low bar sum]]/MatchData[[#this row],[low bar avail count]],2),0)</f>
        <v>#VALUE!</v>
      </c>
      <c r="DA133" s="16" t="e">
        <f aca="false">SUM(MatchData[[#this row],[cheval sum]:[low bar sum]])/MatchData[match count]</f>
        <v>#VALUE!</v>
      </c>
      <c r="DB133" s="16" t="n">
        <f aca="false">MAX(IF(C$2:C$74=C133,BP$2:BP$74))</f>
        <v>-1.79769313486232E+308</v>
      </c>
      <c r="DC133" s="16" t="e">
        <f aca="false">AVERAGEIF(MatchData[team],MatchData[[#this row],[team]],MatchData[total score])</f>
        <v>#VALUE!</v>
      </c>
      <c r="DD133" s="16" t="e">
        <f aca="false">ROUND(AVERAGEIF(MatchData[team],MatchData[team],MatchData[climb or challenge flag]),2)</f>
        <v>#VALUE!</v>
      </c>
    </row>
    <row r="134" customFormat="false" ht="14.5" hidden="false" customHeight="false" outlineLevel="0" collapsed="false">
      <c r="A134" s="13" t="s">
        <v>108</v>
      </c>
      <c r="B134" s="14" t="n">
        <v>23</v>
      </c>
      <c r="C134" s="15" t="n">
        <v>2915</v>
      </c>
      <c r="D134" s="5" t="s">
        <v>109</v>
      </c>
      <c r="E134" s="5" t="s">
        <v>117</v>
      </c>
      <c r="G134" s="16"/>
      <c r="I134" s="16"/>
      <c r="J134" s="5" t="n">
        <v>1</v>
      </c>
      <c r="K134" s="16" t="n">
        <v>1</v>
      </c>
      <c r="N134" s="5" t="n">
        <v>1</v>
      </c>
      <c r="O134" s="0"/>
      <c r="P134" s="5" t="n">
        <v>1</v>
      </c>
      <c r="Q134" s="0"/>
      <c r="R134" s="5" t="n">
        <v>1</v>
      </c>
      <c r="S134" s="16"/>
      <c r="T134" s="0"/>
      <c r="U134" s="16"/>
      <c r="V134" s="16"/>
      <c r="W134" s="0"/>
      <c r="AD134" s="16"/>
      <c r="AE134" s="5"/>
      <c r="AF134" s="16"/>
      <c r="AG134" s="16"/>
      <c r="AH134" s="16"/>
      <c r="AJ134" s="16"/>
      <c r="AL134" s="16"/>
      <c r="AN134" s="16"/>
      <c r="AP134" s="16" t="n">
        <v>1</v>
      </c>
      <c r="AR134" s="16"/>
      <c r="AT134" s="16" t="n">
        <v>1</v>
      </c>
      <c r="AU134" s="16"/>
      <c r="AV134" s="16"/>
      <c r="AW134" s="16" t="n">
        <v>1</v>
      </c>
      <c r="AX134" s="16"/>
      <c r="AY134" s="16"/>
      <c r="AZ134" s="16"/>
      <c r="BB134" s="16"/>
      <c r="BC134" s="16" t="e">
        <f aca="false">MatchData[cheval scored crossings]*5</f>
        <v>#VALUE!</v>
      </c>
      <c r="BD134" s="16" t="e">
        <f aca="false">MatchData[moat scored crosings]*5</f>
        <v>#VALUE!</v>
      </c>
      <c r="BE134" s="16" t="e">
        <f aca="false">MatchData[ramparts scored crossings]*5</f>
        <v>#VALUE!</v>
      </c>
      <c r="BF134" s="16" t="e">
        <f aca="false">MatchData[drawbridge scored crossings]*5</f>
        <v>#VALUE!</v>
      </c>
      <c r="BG134" s="16" t="e">
        <f aca="false">MatchData[sally port scored crossings]*5</f>
        <v>#VALUE!</v>
      </c>
      <c r="BH134" s="16" t="e">
        <f aca="false">MatchData[rock wall scored crossings]*5</f>
        <v>#VALUE!</v>
      </c>
      <c r="BI134" s="16" t="e">
        <f aca="false">MatchData[rough terrain scored crossings]*5</f>
        <v>#VALUE!</v>
      </c>
      <c r="BJ134" s="16" t="e">
        <f aca="false">MatchData[low bar scored crossings]*5</f>
        <v>#VALUE!</v>
      </c>
      <c r="BK134" s="16" t="e">
        <f aca="false">SUM(MatchData[[#this row],[low bar teleop crossings]:[rough terrain scored crossings]])</f>
        <v>#VALUE!</v>
      </c>
      <c r="BL134" s="16" t="e">
        <f aca="false">IFERROR(IF(OR(MatchData[[#this row],[challenge flag]],MatchData[[#this row],[climb flag]]),1,0),0)</f>
        <v>#VALUE!</v>
      </c>
      <c r="BM134" s="16" t="e">
        <f aca="false">MatchData[auto high goals]*10+MatchData[teleop high goals]*5</f>
        <v>#VALUE!</v>
      </c>
      <c r="BN134" s="16" t="e">
        <f aca="false">MatchData[auto low goals]*5+MatchData[teleop low goals]*2</f>
        <v>#VALUE!</v>
      </c>
      <c r="BO134" s="16" t="e">
        <f aca="false">MatchData[high goal score]+MatchData[low goal score]</f>
        <v>#VALUE!</v>
      </c>
      <c r="BP134" s="16" t="e">
        <f aca="false">MatchData[teleop high goals]+MatchData[teleop low goals]</f>
        <v>#VALUE!</v>
      </c>
      <c r="BQ134" s="16" t="e">
        <f aca="false">MatchData[[#this row],[auto reach flag]]*2+SUM(MatchData[[#this row],[portcullis auto crossings]:[low bar auto crossings]])*10+MatchData[[#this row],[auto low goals]]*5+MatchData[auto high goals]*10</f>
        <v>#VALUE!</v>
      </c>
      <c r="BR134" s="16" t="e">
        <f aca="false">SUM(MatchData[[#this row],[cheval teleop crossing score]:[low bar teleop crossing score]])</f>
        <v>#VALUE!</v>
      </c>
      <c r="BS134" s="16" t="e">
        <f aca="false">SUMIF(MatchData[team],MatchData[[#this row],[team]],MatchData[total auto score])/MatchData[match count]</f>
        <v>#VALUE!</v>
      </c>
      <c r="BT134" s="16" t="e">
        <f aca="false">MatchData[challenge flag]*5</f>
        <v>#VALUE!</v>
      </c>
      <c r="BU134" s="16" t="e">
        <f aca="false">MatchData[climb flag]*15</f>
        <v>#VALUE!</v>
      </c>
      <c r="BV134" s="16" t="e">
        <f aca="false">SUM(MatchData[[#this row],[total goal score]],MatchData[[#this row],[crossing score]],MatchData[[#this row],[challenge score]],MatchData[[#this row],[climb score]],MatchData[[#this row],[total auto score]])</f>
        <v>#VALUE!</v>
      </c>
      <c r="BW134" s="16" t="e">
        <f aca="false">ROUND(SUMIF(MatchData[team],MatchData[[#this row],[team]],MatchData[teleop low goals])/COUNTIF(MatchData[team],MatchData[[#this row],[team]]),2)</f>
        <v>#VALUE!</v>
      </c>
      <c r="BX134" s="16" t="e">
        <f aca="false">ROUND(SUMIF(MatchData[team],MatchData[[#this row],[team]],MatchData[teleop high goals])/COUNTIF(MatchData[team],MatchData[[#this row],[team]]),2)</f>
        <v>#VALUE!</v>
      </c>
      <c r="BY134" s="16" t="e">
        <f aca="false">COUNTIF(MatchData[team],MatchData[[#this row],[team]])</f>
        <v>#VALUE!</v>
      </c>
      <c r="BZ134" s="16" t="e">
        <f aca="false">SUMIF(MatchData[team],MatchData[[#this row],[team]],MatchData[portcullis available])</f>
        <v>#VALUE!</v>
      </c>
      <c r="CA134" s="16" t="e">
        <f aca="false">SUMIF(MatchData[team],MatchData[[#this row],[team]],MatchData[cheval available])</f>
        <v>#VALUE!</v>
      </c>
      <c r="CB134" s="16" t="e">
        <f aca="false">SUMIF(MatchData[team],MatchData[[#this row],[team]],MatchData[moat available])</f>
        <v>#VALUE!</v>
      </c>
      <c r="CC134" s="16" t="e">
        <f aca="false">SUMIF(MatchData[team],MatchData[[#this row],[team]],MatchData[ramparts available])</f>
        <v>#VALUE!</v>
      </c>
      <c r="CD134" s="16" t="e">
        <f aca="false">SUMIF(MatchData[team],MatchData[[#this row],[team]],MatchData[drawbridge available])</f>
        <v>#VALUE!</v>
      </c>
      <c r="CE134" s="16" t="e">
        <f aca="false">SUMIF(MatchData[team],MatchData[[#this row],[team]],MatchData[sally port available])</f>
        <v>#VALUE!</v>
      </c>
      <c r="CF134" s="16" t="e">
        <f aca="false">SUMIF(MatchData[team],MatchData[[#this row],[team]],MatchData[rock wall available])</f>
        <v>#VALUE!</v>
      </c>
      <c r="CG134" s="16" t="e">
        <f aca="false">SUMIF(MatchData[team],MatchData[[#this row],[team]],MatchData[rough terrain available])</f>
        <v>#VALUE!</v>
      </c>
      <c r="CH134" s="16" t="e">
        <f aca="false">SUMIF(MatchData[team],MatchData[[#this row],[team]],MatchData[low bar available])</f>
        <v>#VALUE!</v>
      </c>
      <c r="CI134" s="16" t="e">
        <f aca="false">SUMIF(MatchData[team],MatchData[[#this row],[team]],MatchData[portcullis teleop crossings]:MatchData[portcullis scored crossings])</f>
        <v>#VALUE!</v>
      </c>
      <c r="CJ134" s="16" t="e">
        <f aca="false">SUMIF(MatchData[team],MatchData[[#this row],[team]],MatchData[cheval teleop crossings])+SUMIF(MatchData[team],MatchData[[#this row],[team]],MatchData[cheval scored crossings])</f>
        <v>#VALUE!</v>
      </c>
      <c r="CK134" s="16" t="e">
        <f aca="false">SUMIF(MatchData[team],MatchData[[#this row],[team]],MatchData[moat teleop crossings])+SUMIF(MatchData[team],MatchData[[#this row],[team]],MatchData[moat scored crosings])</f>
        <v>#VALUE!</v>
      </c>
      <c r="CL134" s="16" t="e">
        <f aca="false">SUMIF(MatchData[team],MatchData[[#this row],[team]],MatchData[ramparts teleop crossings])+SUMIF(MatchData[team],MatchData[[#this row],[team]],MatchData[ramparts scored crossings])</f>
        <v>#VALUE!</v>
      </c>
      <c r="CM134" s="16" t="e">
        <f aca="false">SUMIF(MatchData[team],MatchData[[#this row],[team]],MatchData[drawbridge teleop crossings])+SUMIF(MatchData[team],MatchData[[#this row],[team]],MatchData[drawbridge scored crossings])</f>
        <v>#VALUE!</v>
      </c>
      <c r="CN134" s="16" t="e">
        <f aca="false">SUMIF(MatchData[team],MatchData[[#this row],[team]],MatchData[sally port teleop crossings])+SUMIF(MatchData[team],MatchData[[#this row],[team]],MatchData[sally port scored crossings])</f>
        <v>#VALUE!</v>
      </c>
      <c r="CO134" s="16" t="e">
        <f aca="false">SUMIF(MatchData[team],MatchData[[#this row],[team]],MatchData[rock wall teleop crossings])+SUMIF(MatchData[team],MatchData[[#this row],[team]],MatchData[rock wall scored crossings])</f>
        <v>#VALUE!</v>
      </c>
      <c r="CP134" s="16" t="e">
        <f aca="false">SUMIF(MatchData[team],MatchData[[#this row],[team]],MatchData[rough terrain teleop crossings])+SUMIF(MatchData[team],MatchData[[#this row],[team]],MatchData[rough terrain scored crossings])</f>
        <v>#VALUE!</v>
      </c>
      <c r="CQ134" s="16" t="e">
        <f aca="false">SUMIF(MatchData[team],MatchData[[#this row],[team]],MatchData[low bar teleop crossings])+SUMIF(MatchData[team],MatchData[[#this row],[team]],MatchData[low bar scored crossings])</f>
        <v>#VALUE!</v>
      </c>
      <c r="CR134" s="16" t="e">
        <f aca="false">IFERROR(ROUND(MatchData[[#this row],[portcullis sum]]/MatchData[[#this row],[portcullis avail count]],2),0)</f>
        <v>#VALUE!</v>
      </c>
      <c r="CS134" s="16" t="e">
        <f aca="false">IFERROR(ROUND(MatchData[[#this row],[cheval sum]]/MatchData[[#this row],[cheval avail count]],2),0)</f>
        <v>#VALUE!</v>
      </c>
      <c r="CT134" s="16" t="e">
        <f aca="false">IFERROR(ROUND(MatchData[[#this row],[moat sum]]/MatchData[[#this row],[moat avail count]],2),0)</f>
        <v>#VALUE!</v>
      </c>
      <c r="CU134" s="16" t="e">
        <f aca="false">IFERROR(ROUND(MatchData[[#this row],[ramparts sum]]/MatchData[[#this row],[ramparts avail count]],2),0)</f>
        <v>#VALUE!</v>
      </c>
      <c r="CV134" s="16" t="e">
        <f aca="false">IFERROR(ROUND(MatchData[[#this row],[drawbridge sum]]/MatchData[[#this row],[drawbridge avail countigh6]],2),0)</f>
        <v>#VALUE!</v>
      </c>
      <c r="CW134" s="16" t="e">
        <f aca="false">IFERROR(ROUND(MatchData[[#this row],[sally port sum]]/MatchData[[#this row],[sally port avail count]],2),0)</f>
        <v>#VALUE!</v>
      </c>
      <c r="CX134" s="5" t="e">
        <f aca="false">IFERROR(ROUND(MatchData[[#this row],[rock wall sum]]/MatchData[[#this row],[rock wall avail count]],2),0)</f>
        <v>#VALUE!</v>
      </c>
      <c r="CY134" s="5" t="e">
        <f aca="false">IFERROR(ROUND(MatchData[[#this row],[rough terrain sum]]/MatchData[[#this row],[rough terrain avail count]],2),0)</f>
        <v>#VALUE!</v>
      </c>
      <c r="CZ134" s="5" t="e">
        <f aca="false">IFERROR(ROUND(MatchData[[#this row],[low bar sum]]/MatchData[[#this row],[low bar avail count]],2),0)</f>
        <v>#VALUE!</v>
      </c>
      <c r="DA134" s="16" t="e">
        <f aca="false">SUM(MatchData[[#this row],[cheval sum]:[low bar sum]])/MatchData[match count]</f>
        <v>#VALUE!</v>
      </c>
      <c r="DB134" s="16" t="n">
        <f aca="false">MAX(IF(C$2:C$74=C134,BP$2:BP$74))</f>
        <v>-1.79769313486232E+308</v>
      </c>
      <c r="DC134" s="16" t="e">
        <f aca="false">AVERAGEIF(MatchData[team],MatchData[[#this row],[team]],MatchData[total score])</f>
        <v>#VALUE!</v>
      </c>
      <c r="DD134" s="16" t="e">
        <f aca="false">ROUND(AVERAGEIF(MatchData[team],MatchData[team],MatchData[climb or challenge flag]),2)</f>
        <v>#VALUE!</v>
      </c>
    </row>
    <row r="135" customFormat="false" ht="14.5" hidden="false" customHeight="false" outlineLevel="0" collapsed="false">
      <c r="A135" s="17" t="s">
        <v>108</v>
      </c>
      <c r="B135" s="18" t="n">
        <v>23</v>
      </c>
      <c r="C135" s="15" t="n">
        <v>3711</v>
      </c>
      <c r="D135" s="5" t="s">
        <v>109</v>
      </c>
      <c r="E135" s="5" t="s">
        <v>119</v>
      </c>
      <c r="G135" s="16"/>
      <c r="I135" s="16"/>
      <c r="J135" s="5" t="n">
        <v>1</v>
      </c>
      <c r="K135" s="16" t="n">
        <v>1</v>
      </c>
      <c r="N135" s="5" t="n">
        <v>1</v>
      </c>
      <c r="O135" s="0"/>
      <c r="P135" s="5" t="n">
        <v>1</v>
      </c>
      <c r="Q135" s="0"/>
      <c r="R135" s="5" t="n">
        <v>1</v>
      </c>
      <c r="S135" s="16"/>
      <c r="T135" s="0"/>
      <c r="U135" s="16"/>
      <c r="V135" s="16"/>
      <c r="W135" s="0"/>
      <c r="AB135" s="5" t="n">
        <v>1</v>
      </c>
      <c r="AD135" s="16" t="n">
        <v>1</v>
      </c>
      <c r="AE135" s="5"/>
      <c r="AF135" s="16" t="n">
        <v>2</v>
      </c>
      <c r="AG135" s="16"/>
      <c r="AH135" s="16"/>
      <c r="AJ135" s="16"/>
      <c r="AL135" s="16" t="n">
        <v>1</v>
      </c>
      <c r="AN135" s="16"/>
      <c r="AP135" s="16"/>
      <c r="AR135" s="16"/>
      <c r="AT135" s="16"/>
      <c r="AU135" s="16"/>
      <c r="AV135" s="16"/>
      <c r="AW135" s="16" t="n">
        <v>1</v>
      </c>
      <c r="AX135" s="16"/>
      <c r="AY135" s="16"/>
      <c r="AZ135" s="16"/>
      <c r="BB135" s="16"/>
      <c r="BC135" s="16" t="e">
        <f aca="false">MatchData[cheval scored crossings]*5</f>
        <v>#VALUE!</v>
      </c>
      <c r="BD135" s="16" t="e">
        <f aca="false">MatchData[moat scored crosings]*5</f>
        <v>#VALUE!</v>
      </c>
      <c r="BE135" s="16" t="e">
        <f aca="false">MatchData[ramparts scored crossings]*5</f>
        <v>#VALUE!</v>
      </c>
      <c r="BF135" s="16" t="e">
        <f aca="false">MatchData[drawbridge scored crossings]*5</f>
        <v>#VALUE!</v>
      </c>
      <c r="BG135" s="16" t="e">
        <f aca="false">MatchData[sally port scored crossings]*5</f>
        <v>#VALUE!</v>
      </c>
      <c r="BH135" s="16" t="e">
        <f aca="false">MatchData[rock wall scored crossings]*5</f>
        <v>#VALUE!</v>
      </c>
      <c r="BI135" s="16" t="e">
        <f aca="false">MatchData[rough terrain scored crossings]*5</f>
        <v>#VALUE!</v>
      </c>
      <c r="BJ135" s="16" t="e">
        <f aca="false">MatchData[low bar scored crossings]*5</f>
        <v>#VALUE!</v>
      </c>
      <c r="BK135" s="16" t="e">
        <f aca="false">SUM(MatchData[[#this row],[low bar teleop crossings]:[rough terrain scored crossings]])</f>
        <v>#VALUE!</v>
      </c>
      <c r="BL135" s="16" t="e">
        <f aca="false">IFERROR(IF(OR(MatchData[[#this row],[challenge flag]],MatchData[[#this row],[climb flag]]),1,0),0)</f>
        <v>#VALUE!</v>
      </c>
      <c r="BM135" s="16" t="e">
        <f aca="false">MatchData[auto high goals]*10+MatchData[teleop high goals]*5</f>
        <v>#VALUE!</v>
      </c>
      <c r="BN135" s="16" t="e">
        <f aca="false">MatchData[auto low goals]*5+MatchData[teleop low goals]*2</f>
        <v>#VALUE!</v>
      </c>
      <c r="BO135" s="16" t="e">
        <f aca="false">MatchData[high goal score]+MatchData[low goal score]</f>
        <v>#VALUE!</v>
      </c>
      <c r="BP135" s="16" t="e">
        <f aca="false">MatchData[teleop high goals]+MatchData[teleop low goals]</f>
        <v>#VALUE!</v>
      </c>
      <c r="BQ135" s="16" t="e">
        <f aca="false">MatchData[[#this row],[auto reach flag]]*2+SUM(MatchData[[#this row],[portcullis auto crossings]:[low bar auto crossings]])*10+MatchData[[#this row],[auto low goals]]*5+MatchData[auto high goals]*10</f>
        <v>#VALUE!</v>
      </c>
      <c r="BR135" s="16" t="e">
        <f aca="false">SUM(MatchData[[#this row],[cheval teleop crossing score]:[low bar teleop crossing score]])</f>
        <v>#VALUE!</v>
      </c>
      <c r="BS135" s="16" t="e">
        <f aca="false">SUMIF(MatchData[team],MatchData[[#this row],[team]],MatchData[total auto score])/MatchData[match count]</f>
        <v>#VALUE!</v>
      </c>
      <c r="BT135" s="16" t="e">
        <f aca="false">MatchData[challenge flag]*5</f>
        <v>#VALUE!</v>
      </c>
      <c r="BU135" s="16" t="e">
        <f aca="false">MatchData[climb flag]*15</f>
        <v>#VALUE!</v>
      </c>
      <c r="BV135" s="16" t="e">
        <f aca="false">SUM(MatchData[[#this row],[total goal score]],MatchData[[#this row],[crossing score]],MatchData[[#this row],[challenge score]],MatchData[[#this row],[climb score]],MatchData[[#this row],[total auto score]])</f>
        <v>#VALUE!</v>
      </c>
      <c r="BW135" s="16" t="e">
        <f aca="false">ROUND(SUMIF(MatchData[team],MatchData[[#this row],[team]],MatchData[teleop low goals])/COUNTIF(MatchData[team],MatchData[[#this row],[team]]),2)</f>
        <v>#VALUE!</v>
      </c>
      <c r="BX135" s="16" t="e">
        <f aca="false">ROUND(SUMIF(MatchData[team],MatchData[[#this row],[team]],MatchData[teleop high goals])/COUNTIF(MatchData[team],MatchData[[#this row],[team]]),2)</f>
        <v>#VALUE!</v>
      </c>
      <c r="BY135" s="16" t="e">
        <f aca="false">COUNTIF(MatchData[team],MatchData[[#this row],[team]])</f>
        <v>#VALUE!</v>
      </c>
      <c r="BZ135" s="16" t="e">
        <f aca="false">SUMIF(MatchData[team],MatchData[[#this row],[team]],MatchData[portcullis available])</f>
        <v>#VALUE!</v>
      </c>
      <c r="CA135" s="16" t="e">
        <f aca="false">SUMIF(MatchData[team],MatchData[[#this row],[team]],MatchData[cheval available])</f>
        <v>#VALUE!</v>
      </c>
      <c r="CB135" s="16" t="e">
        <f aca="false">SUMIF(MatchData[team],MatchData[[#this row],[team]],MatchData[moat available])</f>
        <v>#VALUE!</v>
      </c>
      <c r="CC135" s="16" t="e">
        <f aca="false">SUMIF(MatchData[team],MatchData[[#this row],[team]],MatchData[ramparts available])</f>
        <v>#VALUE!</v>
      </c>
      <c r="CD135" s="16" t="e">
        <f aca="false">SUMIF(MatchData[team],MatchData[[#this row],[team]],MatchData[drawbridge available])</f>
        <v>#VALUE!</v>
      </c>
      <c r="CE135" s="16" t="e">
        <f aca="false">SUMIF(MatchData[team],MatchData[[#this row],[team]],MatchData[sally port available])</f>
        <v>#VALUE!</v>
      </c>
      <c r="CF135" s="16" t="e">
        <f aca="false">SUMIF(MatchData[team],MatchData[[#this row],[team]],MatchData[rock wall available])</f>
        <v>#VALUE!</v>
      </c>
      <c r="CG135" s="16" t="e">
        <f aca="false">SUMIF(MatchData[team],MatchData[[#this row],[team]],MatchData[rough terrain available])</f>
        <v>#VALUE!</v>
      </c>
      <c r="CH135" s="16" t="e">
        <f aca="false">SUMIF(MatchData[team],MatchData[[#this row],[team]],MatchData[low bar available])</f>
        <v>#VALUE!</v>
      </c>
      <c r="CI135" s="16" t="e">
        <f aca="false">SUMIF(MatchData[team],MatchData[[#this row],[team]],MatchData[portcullis teleop crossings]:MatchData[portcullis scored crossings])</f>
        <v>#VALUE!</v>
      </c>
      <c r="CJ135" s="16" t="e">
        <f aca="false">SUMIF(MatchData[team],MatchData[[#this row],[team]],MatchData[cheval teleop crossings])+SUMIF(MatchData[team],MatchData[[#this row],[team]],MatchData[cheval scored crossings])</f>
        <v>#VALUE!</v>
      </c>
      <c r="CK135" s="16" t="e">
        <f aca="false">SUMIF(MatchData[team],MatchData[[#this row],[team]],MatchData[moat teleop crossings])+SUMIF(MatchData[team],MatchData[[#this row],[team]],MatchData[moat scored crosings])</f>
        <v>#VALUE!</v>
      </c>
      <c r="CL135" s="16" t="e">
        <f aca="false">SUMIF(MatchData[team],MatchData[[#this row],[team]],MatchData[ramparts teleop crossings])+SUMIF(MatchData[team],MatchData[[#this row],[team]],MatchData[ramparts scored crossings])</f>
        <v>#VALUE!</v>
      </c>
      <c r="CM135" s="16" t="e">
        <f aca="false">SUMIF(MatchData[team],MatchData[[#this row],[team]],MatchData[drawbridge teleop crossings])+SUMIF(MatchData[team],MatchData[[#this row],[team]],MatchData[drawbridge scored crossings])</f>
        <v>#VALUE!</v>
      </c>
      <c r="CN135" s="16" t="e">
        <f aca="false">SUMIF(MatchData[team],MatchData[[#this row],[team]],MatchData[sally port teleop crossings])+SUMIF(MatchData[team],MatchData[[#this row],[team]],MatchData[sally port scored crossings])</f>
        <v>#VALUE!</v>
      </c>
      <c r="CO135" s="16" t="e">
        <f aca="false">SUMIF(MatchData[team],MatchData[[#this row],[team]],MatchData[rock wall teleop crossings])+SUMIF(MatchData[team],MatchData[[#this row],[team]],MatchData[rock wall scored crossings])</f>
        <v>#VALUE!</v>
      </c>
      <c r="CP135" s="16" t="e">
        <f aca="false">SUMIF(MatchData[team],MatchData[[#this row],[team]],MatchData[rough terrain teleop crossings])+SUMIF(MatchData[team],MatchData[[#this row],[team]],MatchData[rough terrain scored crossings])</f>
        <v>#VALUE!</v>
      </c>
      <c r="CQ135" s="16" t="e">
        <f aca="false">SUMIF(MatchData[team],MatchData[[#this row],[team]],MatchData[low bar teleop crossings])+SUMIF(MatchData[team],MatchData[[#this row],[team]],MatchData[low bar scored crossings])</f>
        <v>#VALUE!</v>
      </c>
      <c r="CR135" s="16" t="e">
        <f aca="false">IFERROR(ROUND(MatchData[[#this row],[portcullis sum]]/MatchData[[#this row],[portcullis avail count]],2),0)</f>
        <v>#VALUE!</v>
      </c>
      <c r="CS135" s="16" t="e">
        <f aca="false">IFERROR(ROUND(MatchData[[#this row],[cheval sum]]/MatchData[[#this row],[cheval avail count]],2),0)</f>
        <v>#VALUE!</v>
      </c>
      <c r="CT135" s="16" t="e">
        <f aca="false">IFERROR(ROUND(MatchData[[#this row],[moat sum]]/MatchData[[#this row],[moat avail count]],2),0)</f>
        <v>#VALUE!</v>
      </c>
      <c r="CU135" s="16" t="e">
        <f aca="false">IFERROR(ROUND(MatchData[[#this row],[ramparts sum]]/MatchData[[#this row],[ramparts avail count]],2),0)</f>
        <v>#VALUE!</v>
      </c>
      <c r="CV135" s="16" t="e">
        <f aca="false">IFERROR(ROUND(MatchData[[#this row],[drawbridge sum]]/MatchData[[#this row],[drawbridge avail countigh6]],2),0)</f>
        <v>#VALUE!</v>
      </c>
      <c r="CW135" s="16" t="e">
        <f aca="false">IFERROR(ROUND(MatchData[[#this row],[sally port sum]]/MatchData[[#this row],[sally port avail count]],2),0)</f>
        <v>#VALUE!</v>
      </c>
      <c r="CX135" s="5" t="e">
        <f aca="false">IFERROR(ROUND(MatchData[[#this row],[rock wall sum]]/MatchData[[#this row],[rock wall avail count]],2),0)</f>
        <v>#VALUE!</v>
      </c>
      <c r="CY135" s="5" t="e">
        <f aca="false">IFERROR(ROUND(MatchData[[#this row],[rough terrain sum]]/MatchData[[#this row],[rough terrain avail count]],2),0)</f>
        <v>#VALUE!</v>
      </c>
      <c r="CZ135" s="5" t="e">
        <f aca="false">IFERROR(ROUND(MatchData[[#this row],[low bar sum]]/MatchData[[#this row],[low bar avail count]],2),0)</f>
        <v>#VALUE!</v>
      </c>
      <c r="DA135" s="16" t="e">
        <f aca="false">SUM(MatchData[[#this row],[cheval sum]:[low bar sum]])/MatchData[match count]</f>
        <v>#VALUE!</v>
      </c>
      <c r="DB135" s="16" t="n">
        <f aca="false">MAX(IF(C$2:C$74=C135,BP$2:BP$74))</f>
        <v>-1.79769313486232E+308</v>
      </c>
      <c r="DC135" s="16" t="e">
        <f aca="false">AVERAGEIF(MatchData[team],MatchData[[#this row],[team]],MatchData[total score])</f>
        <v>#VALUE!</v>
      </c>
      <c r="DD135" s="16" t="e">
        <f aca="false">ROUND(AVERAGEIF(MatchData[team],MatchData[team],MatchData[climb or challenge flag]),2)</f>
        <v>#VALUE!</v>
      </c>
    </row>
    <row r="136" customFormat="false" ht="14.5" hidden="false" customHeight="false" outlineLevel="0" collapsed="false">
      <c r="A136" s="17" t="s">
        <v>108</v>
      </c>
      <c r="B136" s="14" t="n">
        <v>23</v>
      </c>
      <c r="C136" s="15" t="n">
        <v>5977</v>
      </c>
      <c r="D136" s="5" t="s">
        <v>109</v>
      </c>
      <c r="E136" s="5" t="s">
        <v>128</v>
      </c>
      <c r="G136" s="16"/>
      <c r="I136" s="16"/>
      <c r="J136" s="5" t="n">
        <v>1</v>
      </c>
      <c r="K136" s="16" t="n">
        <v>1</v>
      </c>
      <c r="N136" s="5" t="n">
        <v>1</v>
      </c>
      <c r="O136" s="0"/>
      <c r="P136" s="5" t="n">
        <v>1</v>
      </c>
      <c r="Q136" s="0"/>
      <c r="R136" s="5" t="n">
        <v>1</v>
      </c>
      <c r="S136" s="16"/>
      <c r="T136" s="0"/>
      <c r="U136" s="16"/>
      <c r="V136" s="16"/>
      <c r="W136" s="0"/>
      <c r="AD136" s="16"/>
      <c r="AE136" s="5"/>
      <c r="AF136" s="16"/>
      <c r="AG136" s="16"/>
      <c r="AH136" s="16"/>
      <c r="AJ136" s="16"/>
      <c r="AL136" s="16"/>
      <c r="AN136" s="16"/>
      <c r="AP136" s="16"/>
      <c r="AR136" s="16"/>
      <c r="AT136" s="16" t="n">
        <v>1</v>
      </c>
      <c r="AU136" s="16"/>
      <c r="AV136" s="16"/>
      <c r="AW136" s="16"/>
      <c r="AX136" s="16"/>
      <c r="AY136" s="16"/>
      <c r="AZ136" s="16"/>
      <c r="BB136" s="16"/>
      <c r="BC136" s="16" t="e">
        <f aca="false">MatchData[cheval scored crossings]*5</f>
        <v>#VALUE!</v>
      </c>
      <c r="BD136" s="16" t="e">
        <f aca="false">MatchData[moat scored crosings]*5</f>
        <v>#VALUE!</v>
      </c>
      <c r="BE136" s="16" t="e">
        <f aca="false">MatchData[ramparts scored crossings]*5</f>
        <v>#VALUE!</v>
      </c>
      <c r="BF136" s="16" t="e">
        <f aca="false">MatchData[drawbridge scored crossings]*5</f>
        <v>#VALUE!</v>
      </c>
      <c r="BG136" s="16" t="e">
        <f aca="false">MatchData[sally port scored crossings]*5</f>
        <v>#VALUE!</v>
      </c>
      <c r="BH136" s="16" t="e">
        <f aca="false">MatchData[rock wall scored crossings]*5</f>
        <v>#VALUE!</v>
      </c>
      <c r="BI136" s="16" t="e">
        <f aca="false">MatchData[rough terrain scored crossings]*5</f>
        <v>#VALUE!</v>
      </c>
      <c r="BJ136" s="16" t="e">
        <f aca="false">MatchData[low bar scored crossings]*5</f>
        <v>#VALUE!</v>
      </c>
      <c r="BK136" s="16" t="e">
        <f aca="false">SUM(MatchData[[#this row],[low bar teleop crossings]:[rough terrain scored crossings]])</f>
        <v>#VALUE!</v>
      </c>
      <c r="BL136" s="16" t="e">
        <f aca="false">IFERROR(IF(OR(MatchData[[#this row],[challenge flag]],MatchData[[#this row],[climb flag]]),1,0),0)</f>
        <v>#VALUE!</v>
      </c>
      <c r="BM136" s="16" t="e">
        <f aca="false">MatchData[auto high goals]*10+MatchData[teleop high goals]*5</f>
        <v>#VALUE!</v>
      </c>
      <c r="BN136" s="16" t="e">
        <f aca="false">MatchData[auto low goals]*5+MatchData[teleop low goals]*2</f>
        <v>#VALUE!</v>
      </c>
      <c r="BO136" s="16" t="e">
        <f aca="false">MatchData[high goal score]+MatchData[low goal score]</f>
        <v>#VALUE!</v>
      </c>
      <c r="BP136" s="16" t="e">
        <f aca="false">MatchData[teleop high goals]+MatchData[teleop low goals]</f>
        <v>#VALUE!</v>
      </c>
      <c r="BQ136" s="16" t="e">
        <f aca="false">MatchData[[#this row],[auto reach flag]]*2+SUM(MatchData[[#this row],[portcullis auto crossings]:[low bar auto crossings]])*10+MatchData[[#this row],[auto low goals]]*5+MatchData[auto high goals]*10</f>
        <v>#VALUE!</v>
      </c>
      <c r="BR136" s="16" t="e">
        <f aca="false">SUM(MatchData[[#this row],[cheval teleop crossing score]:[low bar teleop crossing score]])</f>
        <v>#VALUE!</v>
      </c>
      <c r="BS136" s="16" t="e">
        <f aca="false">SUMIF(MatchData[team],MatchData[[#this row],[team]],MatchData[total auto score])/MatchData[match count]</f>
        <v>#VALUE!</v>
      </c>
      <c r="BT136" s="16" t="e">
        <f aca="false">MatchData[challenge flag]*5</f>
        <v>#VALUE!</v>
      </c>
      <c r="BU136" s="16" t="e">
        <f aca="false">MatchData[climb flag]*15</f>
        <v>#VALUE!</v>
      </c>
      <c r="BV136" s="16" t="e">
        <f aca="false">SUM(MatchData[[#this row],[total goal score]],MatchData[[#this row],[crossing score]],MatchData[[#this row],[challenge score]],MatchData[[#this row],[climb score]],MatchData[[#this row],[total auto score]])</f>
        <v>#VALUE!</v>
      </c>
      <c r="BW136" s="16" t="e">
        <f aca="false">ROUND(SUMIF(MatchData[team],MatchData[[#this row],[team]],MatchData[teleop low goals])/COUNTIF(MatchData[team],MatchData[[#this row],[team]]),2)</f>
        <v>#VALUE!</v>
      </c>
      <c r="BX136" s="16" t="e">
        <f aca="false">ROUND(SUMIF(MatchData[team],MatchData[[#this row],[team]],MatchData[teleop high goals])/COUNTIF(MatchData[team],MatchData[[#this row],[team]]),2)</f>
        <v>#VALUE!</v>
      </c>
      <c r="BY136" s="16" t="e">
        <f aca="false">COUNTIF(MatchData[team],MatchData[[#this row],[team]])</f>
        <v>#VALUE!</v>
      </c>
      <c r="BZ136" s="16" t="e">
        <f aca="false">SUMIF(MatchData[team],MatchData[[#this row],[team]],MatchData[portcullis available])</f>
        <v>#VALUE!</v>
      </c>
      <c r="CA136" s="16" t="e">
        <f aca="false">SUMIF(MatchData[team],MatchData[[#this row],[team]],MatchData[cheval available])</f>
        <v>#VALUE!</v>
      </c>
      <c r="CB136" s="16" t="e">
        <f aca="false">SUMIF(MatchData[team],MatchData[[#this row],[team]],MatchData[moat available])</f>
        <v>#VALUE!</v>
      </c>
      <c r="CC136" s="16" t="e">
        <f aca="false">SUMIF(MatchData[team],MatchData[[#this row],[team]],MatchData[ramparts available])</f>
        <v>#VALUE!</v>
      </c>
      <c r="CD136" s="16" t="e">
        <f aca="false">SUMIF(MatchData[team],MatchData[[#this row],[team]],MatchData[drawbridge available])</f>
        <v>#VALUE!</v>
      </c>
      <c r="CE136" s="16" t="e">
        <f aca="false">SUMIF(MatchData[team],MatchData[[#this row],[team]],MatchData[sally port available])</f>
        <v>#VALUE!</v>
      </c>
      <c r="CF136" s="16" t="e">
        <f aca="false">SUMIF(MatchData[team],MatchData[[#this row],[team]],MatchData[rock wall available])</f>
        <v>#VALUE!</v>
      </c>
      <c r="CG136" s="16" t="e">
        <f aca="false">SUMIF(MatchData[team],MatchData[[#this row],[team]],MatchData[rough terrain available])</f>
        <v>#VALUE!</v>
      </c>
      <c r="CH136" s="16" t="e">
        <f aca="false">SUMIF(MatchData[team],MatchData[[#this row],[team]],MatchData[low bar available])</f>
        <v>#VALUE!</v>
      </c>
      <c r="CI136" s="16" t="e">
        <f aca="false">SUMIF(MatchData[team],MatchData[[#this row],[team]],MatchData[portcullis teleop crossings]:MatchData[portcullis scored crossings])</f>
        <v>#VALUE!</v>
      </c>
      <c r="CJ136" s="16" t="e">
        <f aca="false">SUMIF(MatchData[team],MatchData[[#this row],[team]],MatchData[cheval teleop crossings])+SUMIF(MatchData[team],MatchData[[#this row],[team]],MatchData[cheval scored crossings])</f>
        <v>#VALUE!</v>
      </c>
      <c r="CK136" s="16" t="e">
        <f aca="false">SUMIF(MatchData[team],MatchData[[#this row],[team]],MatchData[moat teleop crossings])+SUMIF(MatchData[team],MatchData[[#this row],[team]],MatchData[moat scored crosings])</f>
        <v>#VALUE!</v>
      </c>
      <c r="CL136" s="16" t="e">
        <f aca="false">SUMIF(MatchData[team],MatchData[[#this row],[team]],MatchData[ramparts teleop crossings])+SUMIF(MatchData[team],MatchData[[#this row],[team]],MatchData[ramparts scored crossings])</f>
        <v>#VALUE!</v>
      </c>
      <c r="CM136" s="16" t="e">
        <f aca="false">SUMIF(MatchData[team],MatchData[[#this row],[team]],MatchData[drawbridge teleop crossings])+SUMIF(MatchData[team],MatchData[[#this row],[team]],MatchData[drawbridge scored crossings])</f>
        <v>#VALUE!</v>
      </c>
      <c r="CN136" s="16" t="e">
        <f aca="false">SUMIF(MatchData[team],MatchData[[#this row],[team]],MatchData[sally port teleop crossings])+SUMIF(MatchData[team],MatchData[[#this row],[team]],MatchData[sally port scored crossings])</f>
        <v>#VALUE!</v>
      </c>
      <c r="CO136" s="16" t="e">
        <f aca="false">SUMIF(MatchData[team],MatchData[[#this row],[team]],MatchData[rock wall teleop crossings])+SUMIF(MatchData[team],MatchData[[#this row],[team]],MatchData[rock wall scored crossings])</f>
        <v>#VALUE!</v>
      </c>
      <c r="CP136" s="16" t="e">
        <f aca="false">SUMIF(MatchData[team],MatchData[[#this row],[team]],MatchData[rough terrain teleop crossings])+SUMIF(MatchData[team],MatchData[[#this row],[team]],MatchData[rough terrain scored crossings])</f>
        <v>#VALUE!</v>
      </c>
      <c r="CQ136" s="16" t="e">
        <f aca="false">SUMIF(MatchData[team],MatchData[[#this row],[team]],MatchData[low bar teleop crossings])+SUMIF(MatchData[team],MatchData[[#this row],[team]],MatchData[low bar scored crossings])</f>
        <v>#VALUE!</v>
      </c>
      <c r="CR136" s="16" t="e">
        <f aca="false">IFERROR(ROUND(MatchData[[#this row],[portcullis sum]]/MatchData[[#this row],[portcullis avail count]],2),0)</f>
        <v>#VALUE!</v>
      </c>
      <c r="CS136" s="16" t="e">
        <f aca="false">IFERROR(ROUND(MatchData[[#this row],[cheval sum]]/MatchData[[#this row],[cheval avail count]],2),0)</f>
        <v>#VALUE!</v>
      </c>
      <c r="CT136" s="16" t="e">
        <f aca="false">IFERROR(ROUND(MatchData[[#this row],[moat sum]]/MatchData[[#this row],[moat avail count]],2),0)</f>
        <v>#VALUE!</v>
      </c>
      <c r="CU136" s="16" t="e">
        <f aca="false">IFERROR(ROUND(MatchData[[#this row],[ramparts sum]]/MatchData[[#this row],[ramparts avail count]],2),0)</f>
        <v>#VALUE!</v>
      </c>
      <c r="CV136" s="16" t="e">
        <f aca="false">IFERROR(ROUND(MatchData[[#this row],[drawbridge sum]]/MatchData[[#this row],[drawbridge avail countigh6]],2),0)</f>
        <v>#VALUE!</v>
      </c>
      <c r="CW136" s="16" t="e">
        <f aca="false">IFERROR(ROUND(MatchData[[#this row],[sally port sum]]/MatchData[[#this row],[sally port avail count]],2),0)</f>
        <v>#VALUE!</v>
      </c>
      <c r="CX136" s="5" t="e">
        <f aca="false">IFERROR(ROUND(MatchData[[#this row],[rock wall sum]]/MatchData[[#this row],[rock wall avail count]],2),0)</f>
        <v>#VALUE!</v>
      </c>
      <c r="CY136" s="5" t="e">
        <f aca="false">IFERROR(ROUND(MatchData[[#this row],[rough terrain sum]]/MatchData[[#this row],[rough terrain avail count]],2),0)</f>
        <v>#VALUE!</v>
      </c>
      <c r="CZ136" s="5" t="e">
        <f aca="false">IFERROR(ROUND(MatchData[[#this row],[low bar sum]]/MatchData[[#this row],[low bar avail count]],2),0)</f>
        <v>#VALUE!</v>
      </c>
      <c r="DA136" s="16" t="e">
        <f aca="false">SUM(MatchData[[#this row],[cheval sum]:[low bar sum]])/MatchData[match count]</f>
        <v>#VALUE!</v>
      </c>
      <c r="DB136" s="16" t="n">
        <f aca="false">MAX(IF(C$2:C$74=C136,BP$2:BP$74))</f>
        <v>-1.79769313486232E+308</v>
      </c>
      <c r="DC136" s="16" t="e">
        <f aca="false">AVERAGEIF(MatchData[team],MatchData[[#this row],[team]],MatchData[total score])</f>
        <v>#VALUE!</v>
      </c>
      <c r="DD136" s="16" t="e">
        <f aca="false">ROUND(AVERAGEIF(MatchData[team],MatchData[team],MatchData[climb or challenge flag]),2)</f>
        <v>#VALUE!</v>
      </c>
    </row>
    <row r="137" customFormat="false" ht="14.5" hidden="false" customHeight="false" outlineLevel="0" collapsed="false">
      <c r="A137" s="13" t="s">
        <v>108</v>
      </c>
      <c r="B137" s="14" t="n">
        <v>23</v>
      </c>
      <c r="C137" s="15" t="n">
        <v>957</v>
      </c>
      <c r="D137" s="5" t="s">
        <v>113</v>
      </c>
      <c r="E137" s="5" t="s">
        <v>149</v>
      </c>
      <c r="G137" s="16"/>
      <c r="I137" s="16"/>
      <c r="J137" s="5" t="n">
        <v>1</v>
      </c>
      <c r="K137" s="16" t="n">
        <v>1</v>
      </c>
      <c r="M137" s="5" t="n">
        <v>1</v>
      </c>
      <c r="N137" s="0"/>
      <c r="O137" s="0"/>
      <c r="P137" s="5" t="n">
        <v>1</v>
      </c>
      <c r="Q137" s="0"/>
      <c r="R137" s="5" t="n">
        <v>1</v>
      </c>
      <c r="S137" s="16"/>
      <c r="T137" s="0"/>
      <c r="U137" s="16"/>
      <c r="V137" s="16"/>
      <c r="W137" s="0"/>
      <c r="AB137" s="5" t="n">
        <v>1</v>
      </c>
      <c r="AD137" s="16"/>
      <c r="AE137" s="5"/>
      <c r="AF137" s="16"/>
      <c r="AG137" s="16"/>
      <c r="AH137" s="16"/>
      <c r="AJ137" s="16"/>
      <c r="AL137" s="16"/>
      <c r="AN137" s="16"/>
      <c r="AP137" s="16"/>
      <c r="AR137" s="16"/>
      <c r="AT137" s="16"/>
      <c r="AU137" s="16"/>
      <c r="AV137" s="16"/>
      <c r="AW137" s="16"/>
      <c r="AX137" s="16"/>
      <c r="AY137" s="16"/>
      <c r="AZ137" s="16" t="n">
        <v>1</v>
      </c>
      <c r="BB137" s="16" t="n">
        <v>1</v>
      </c>
      <c r="BC137" s="16" t="e">
        <f aca="false">MatchData[cheval scored crossings]*5</f>
        <v>#VALUE!</v>
      </c>
      <c r="BD137" s="16" t="e">
        <f aca="false">MatchData[moat scored crosings]*5</f>
        <v>#VALUE!</v>
      </c>
      <c r="BE137" s="16" t="e">
        <f aca="false">MatchData[ramparts scored crossings]*5</f>
        <v>#VALUE!</v>
      </c>
      <c r="BF137" s="16" t="e">
        <f aca="false">MatchData[drawbridge scored crossings]*5</f>
        <v>#VALUE!</v>
      </c>
      <c r="BG137" s="16" t="e">
        <f aca="false">MatchData[sally port scored crossings]*5</f>
        <v>#VALUE!</v>
      </c>
      <c r="BH137" s="16" t="e">
        <f aca="false">MatchData[rock wall scored crossings]*5</f>
        <v>#VALUE!</v>
      </c>
      <c r="BI137" s="16" t="e">
        <f aca="false">MatchData[rough terrain scored crossings]*5</f>
        <v>#VALUE!</v>
      </c>
      <c r="BJ137" s="16" t="e">
        <f aca="false">MatchData[low bar scored crossings]*5</f>
        <v>#VALUE!</v>
      </c>
      <c r="BK137" s="16" t="e">
        <f aca="false">SUM(MatchData[[#this row],[low bar teleop crossings]:[rough terrain scored crossings]])</f>
        <v>#VALUE!</v>
      </c>
      <c r="BL137" s="16" t="e">
        <f aca="false">IFERROR(IF(OR(MatchData[[#this row],[challenge flag]],MatchData[[#this row],[climb flag]]),1,0),0)</f>
        <v>#VALUE!</v>
      </c>
      <c r="BM137" s="16" t="e">
        <f aca="false">MatchData[auto high goals]*10+MatchData[teleop high goals]*5</f>
        <v>#VALUE!</v>
      </c>
      <c r="BN137" s="16" t="e">
        <f aca="false">MatchData[auto low goals]*5+MatchData[teleop low goals]*2</f>
        <v>#VALUE!</v>
      </c>
      <c r="BO137" s="16" t="e">
        <f aca="false">MatchData[high goal score]+MatchData[low goal score]</f>
        <v>#VALUE!</v>
      </c>
      <c r="BP137" s="16" t="e">
        <f aca="false">MatchData[teleop high goals]+MatchData[teleop low goals]</f>
        <v>#VALUE!</v>
      </c>
      <c r="BQ137" s="16" t="e">
        <f aca="false">MatchData[[#this row],[auto reach flag]]*2+SUM(MatchData[[#this row],[portcullis auto crossings]:[low bar auto crossings]])*10+MatchData[[#this row],[auto low goals]]*5+MatchData[auto high goals]*10</f>
        <v>#VALUE!</v>
      </c>
      <c r="BR137" s="16" t="e">
        <f aca="false">SUM(MatchData[[#this row],[cheval teleop crossing score]:[low bar teleop crossing score]])</f>
        <v>#VALUE!</v>
      </c>
      <c r="BS137" s="16" t="e">
        <f aca="false">SUMIF(MatchData[team],MatchData[[#this row],[team]],MatchData[total auto score])/MatchData[match count]</f>
        <v>#VALUE!</v>
      </c>
      <c r="BT137" s="16" t="e">
        <f aca="false">MatchData[challenge flag]*5</f>
        <v>#VALUE!</v>
      </c>
      <c r="BU137" s="16" t="e">
        <f aca="false">MatchData[climb flag]*15</f>
        <v>#VALUE!</v>
      </c>
      <c r="BV137" s="16" t="e">
        <f aca="false">SUM(MatchData[[#this row],[total goal score]],MatchData[[#this row],[crossing score]],MatchData[[#this row],[challenge score]],MatchData[[#this row],[climb score]],MatchData[[#this row],[total auto score]])</f>
        <v>#VALUE!</v>
      </c>
      <c r="BW137" s="16" t="e">
        <f aca="false">ROUND(SUMIF(MatchData[team],MatchData[[#this row],[team]],MatchData[teleop low goals])/COUNTIF(MatchData[team],MatchData[[#this row],[team]]),2)</f>
        <v>#VALUE!</v>
      </c>
      <c r="BX137" s="16" t="e">
        <f aca="false">ROUND(SUMIF(MatchData[team],MatchData[[#this row],[team]],MatchData[teleop high goals])/COUNTIF(MatchData[team],MatchData[[#this row],[team]]),2)</f>
        <v>#VALUE!</v>
      </c>
      <c r="BY137" s="16" t="e">
        <f aca="false">COUNTIF(MatchData[team],MatchData[[#this row],[team]])</f>
        <v>#VALUE!</v>
      </c>
      <c r="BZ137" s="16" t="e">
        <f aca="false">SUMIF(MatchData[team],MatchData[[#this row],[team]],MatchData[portcullis available])</f>
        <v>#VALUE!</v>
      </c>
      <c r="CA137" s="16" t="e">
        <f aca="false">SUMIF(MatchData[team],MatchData[[#this row],[team]],MatchData[cheval available])</f>
        <v>#VALUE!</v>
      </c>
      <c r="CB137" s="16" t="e">
        <f aca="false">SUMIF(MatchData[team],MatchData[[#this row],[team]],MatchData[moat available])</f>
        <v>#VALUE!</v>
      </c>
      <c r="CC137" s="16" t="e">
        <f aca="false">SUMIF(MatchData[team],MatchData[[#this row],[team]],MatchData[ramparts available])</f>
        <v>#VALUE!</v>
      </c>
      <c r="CD137" s="16" t="e">
        <f aca="false">SUMIF(MatchData[team],MatchData[[#this row],[team]],MatchData[drawbridge available])</f>
        <v>#VALUE!</v>
      </c>
      <c r="CE137" s="16" t="e">
        <f aca="false">SUMIF(MatchData[team],MatchData[[#this row],[team]],MatchData[sally port available])</f>
        <v>#VALUE!</v>
      </c>
      <c r="CF137" s="16" t="e">
        <f aca="false">SUMIF(MatchData[team],MatchData[[#this row],[team]],MatchData[rock wall available])</f>
        <v>#VALUE!</v>
      </c>
      <c r="CG137" s="16" t="e">
        <f aca="false">SUMIF(MatchData[team],MatchData[[#this row],[team]],MatchData[rough terrain available])</f>
        <v>#VALUE!</v>
      </c>
      <c r="CH137" s="16" t="e">
        <f aca="false">SUMIF(MatchData[team],MatchData[[#this row],[team]],MatchData[low bar available])</f>
        <v>#VALUE!</v>
      </c>
      <c r="CI137" s="16" t="e">
        <f aca="false">SUMIF(MatchData[team],MatchData[[#this row],[team]],MatchData[portcullis teleop crossings]:MatchData[portcullis scored crossings])</f>
        <v>#VALUE!</v>
      </c>
      <c r="CJ137" s="16" t="e">
        <f aca="false">SUMIF(MatchData[team],MatchData[[#this row],[team]],MatchData[cheval teleop crossings])+SUMIF(MatchData[team],MatchData[[#this row],[team]],MatchData[cheval scored crossings])</f>
        <v>#VALUE!</v>
      </c>
      <c r="CK137" s="16" t="e">
        <f aca="false">SUMIF(MatchData[team],MatchData[[#this row],[team]],MatchData[moat teleop crossings])+SUMIF(MatchData[team],MatchData[[#this row],[team]],MatchData[moat scored crosings])</f>
        <v>#VALUE!</v>
      </c>
      <c r="CL137" s="16" t="e">
        <f aca="false">SUMIF(MatchData[team],MatchData[[#this row],[team]],MatchData[ramparts teleop crossings])+SUMIF(MatchData[team],MatchData[[#this row],[team]],MatchData[ramparts scored crossings])</f>
        <v>#VALUE!</v>
      </c>
      <c r="CM137" s="16" t="e">
        <f aca="false">SUMIF(MatchData[team],MatchData[[#this row],[team]],MatchData[drawbridge teleop crossings])+SUMIF(MatchData[team],MatchData[[#this row],[team]],MatchData[drawbridge scored crossings])</f>
        <v>#VALUE!</v>
      </c>
      <c r="CN137" s="16" t="e">
        <f aca="false">SUMIF(MatchData[team],MatchData[[#this row],[team]],MatchData[sally port teleop crossings])+SUMIF(MatchData[team],MatchData[[#this row],[team]],MatchData[sally port scored crossings])</f>
        <v>#VALUE!</v>
      </c>
      <c r="CO137" s="16" t="e">
        <f aca="false">SUMIF(MatchData[team],MatchData[[#this row],[team]],MatchData[rock wall teleop crossings])+SUMIF(MatchData[team],MatchData[[#this row],[team]],MatchData[rock wall scored crossings])</f>
        <v>#VALUE!</v>
      </c>
      <c r="CP137" s="16" t="e">
        <f aca="false">SUMIF(MatchData[team],MatchData[[#this row],[team]],MatchData[rough terrain teleop crossings])+SUMIF(MatchData[team],MatchData[[#this row],[team]],MatchData[rough terrain scored crossings])</f>
        <v>#VALUE!</v>
      </c>
      <c r="CQ137" s="16" t="e">
        <f aca="false">SUMIF(MatchData[team],MatchData[[#this row],[team]],MatchData[low bar teleop crossings])+SUMIF(MatchData[team],MatchData[[#this row],[team]],MatchData[low bar scored crossings])</f>
        <v>#VALUE!</v>
      </c>
      <c r="CR137" s="16" t="e">
        <f aca="false">IFERROR(ROUND(MatchData[[#this row],[portcullis sum]]/MatchData[[#this row],[portcullis avail count]],2),0)</f>
        <v>#VALUE!</v>
      </c>
      <c r="CS137" s="16" t="e">
        <f aca="false">IFERROR(ROUND(MatchData[[#this row],[cheval sum]]/MatchData[[#this row],[cheval avail count]],2),0)</f>
        <v>#VALUE!</v>
      </c>
      <c r="CT137" s="16" t="e">
        <f aca="false">IFERROR(ROUND(MatchData[[#this row],[moat sum]]/MatchData[[#this row],[moat avail count]],2),0)</f>
        <v>#VALUE!</v>
      </c>
      <c r="CU137" s="16" t="e">
        <f aca="false">IFERROR(ROUND(MatchData[[#this row],[ramparts sum]]/MatchData[[#this row],[ramparts avail count]],2),0)</f>
        <v>#VALUE!</v>
      </c>
      <c r="CV137" s="16" t="e">
        <f aca="false">IFERROR(ROUND(MatchData[[#this row],[drawbridge sum]]/MatchData[[#this row],[drawbridge avail countigh6]],2),0)</f>
        <v>#VALUE!</v>
      </c>
      <c r="CW137" s="16" t="e">
        <f aca="false">IFERROR(ROUND(MatchData[[#this row],[sally port sum]]/MatchData[[#this row],[sally port avail count]],2),0)</f>
        <v>#VALUE!</v>
      </c>
      <c r="CX137" s="5" t="e">
        <f aca="false">IFERROR(ROUND(MatchData[[#this row],[rock wall sum]]/MatchData[[#this row],[rock wall avail count]],2),0)</f>
        <v>#VALUE!</v>
      </c>
      <c r="CY137" s="5" t="e">
        <f aca="false">IFERROR(ROUND(MatchData[[#this row],[rough terrain sum]]/MatchData[[#this row],[rough terrain avail count]],2),0)</f>
        <v>#VALUE!</v>
      </c>
      <c r="CZ137" s="5" t="e">
        <f aca="false">IFERROR(ROUND(MatchData[[#this row],[low bar sum]]/MatchData[[#this row],[low bar avail count]],2),0)</f>
        <v>#VALUE!</v>
      </c>
      <c r="DA137" s="16" t="e">
        <f aca="false">SUM(MatchData[[#this row],[cheval sum]:[low bar sum]])/MatchData[match count]</f>
        <v>#VALUE!</v>
      </c>
      <c r="DB137" s="16" t="n">
        <f aca="false">MAX(IF(C$2:C$74=C137,BP$2:BP$74))</f>
        <v>-1.79769313486232E+308</v>
      </c>
      <c r="DC137" s="16" t="e">
        <f aca="false">AVERAGEIF(MatchData[team],MatchData[[#this row],[team]],MatchData[total score])</f>
        <v>#VALUE!</v>
      </c>
      <c r="DD137" s="16" t="e">
        <f aca="false">ROUND(AVERAGEIF(MatchData[team],MatchData[team],MatchData[climb or challenge flag]),2)</f>
        <v>#VALUE!</v>
      </c>
    </row>
    <row r="138" customFormat="false" ht="14.5" hidden="false" customHeight="false" outlineLevel="0" collapsed="false">
      <c r="A138" s="13" t="s">
        <v>108</v>
      </c>
      <c r="B138" s="14" t="n">
        <v>23</v>
      </c>
      <c r="C138" s="15" t="n">
        <v>997</v>
      </c>
      <c r="D138" s="5" t="s">
        <v>113</v>
      </c>
      <c r="E138" s="5" t="s">
        <v>125</v>
      </c>
      <c r="G138" s="16"/>
      <c r="I138" s="16"/>
      <c r="J138" s="5" t="n">
        <v>1</v>
      </c>
      <c r="K138" s="16" t="n">
        <v>1</v>
      </c>
      <c r="M138" s="5" t="n">
        <v>1</v>
      </c>
      <c r="N138" s="0"/>
      <c r="O138" s="0"/>
      <c r="P138" s="5" t="n">
        <v>1</v>
      </c>
      <c r="Q138" s="0"/>
      <c r="R138" s="5" t="n">
        <v>1</v>
      </c>
      <c r="S138" s="16"/>
      <c r="T138" s="0"/>
      <c r="U138" s="16"/>
      <c r="V138" s="16"/>
      <c r="W138" s="0"/>
      <c r="AB138" s="5" t="n">
        <v>1</v>
      </c>
      <c r="AD138" s="16"/>
      <c r="AE138" s="5"/>
      <c r="AF138" s="16"/>
      <c r="AG138" s="16"/>
      <c r="AH138" s="16"/>
      <c r="AJ138" s="16"/>
      <c r="AL138" s="16"/>
      <c r="AN138" s="16"/>
      <c r="AP138" s="16"/>
      <c r="AR138" s="16"/>
      <c r="AT138" s="16"/>
      <c r="AU138" s="16"/>
      <c r="AV138" s="16"/>
      <c r="AW138" s="16"/>
      <c r="AX138" s="16"/>
      <c r="AY138" s="16"/>
      <c r="AZ138" s="16" t="n">
        <v>1</v>
      </c>
      <c r="BB138" s="16" t="n">
        <v>1</v>
      </c>
      <c r="BC138" s="16" t="e">
        <f aca="false">MatchData[cheval scored crossings]*5</f>
        <v>#VALUE!</v>
      </c>
      <c r="BD138" s="16" t="e">
        <f aca="false">MatchData[moat scored crosings]*5</f>
        <v>#VALUE!</v>
      </c>
      <c r="BE138" s="16" t="e">
        <f aca="false">MatchData[ramparts scored crossings]*5</f>
        <v>#VALUE!</v>
      </c>
      <c r="BF138" s="16" t="e">
        <f aca="false">MatchData[drawbridge scored crossings]*5</f>
        <v>#VALUE!</v>
      </c>
      <c r="BG138" s="16" t="e">
        <f aca="false">MatchData[sally port scored crossings]*5</f>
        <v>#VALUE!</v>
      </c>
      <c r="BH138" s="16" t="e">
        <f aca="false">MatchData[rock wall scored crossings]*5</f>
        <v>#VALUE!</v>
      </c>
      <c r="BI138" s="16" t="e">
        <f aca="false">MatchData[rough terrain scored crossings]*5</f>
        <v>#VALUE!</v>
      </c>
      <c r="BJ138" s="16" t="e">
        <f aca="false">MatchData[low bar scored crossings]*5</f>
        <v>#VALUE!</v>
      </c>
      <c r="BK138" s="16" t="e">
        <f aca="false">SUM(MatchData[[#this row],[low bar teleop crossings]:[rough terrain scored crossings]])</f>
        <v>#VALUE!</v>
      </c>
      <c r="BL138" s="16" t="e">
        <f aca="false">IFERROR(IF(OR(MatchData[[#this row],[challenge flag]],MatchData[[#this row],[climb flag]]),1,0),0)</f>
        <v>#VALUE!</v>
      </c>
      <c r="BM138" s="16" t="e">
        <f aca="false">MatchData[auto high goals]*10+MatchData[teleop high goals]*5</f>
        <v>#VALUE!</v>
      </c>
      <c r="BN138" s="16" t="e">
        <f aca="false">MatchData[auto low goals]*5+MatchData[teleop low goals]*2</f>
        <v>#VALUE!</v>
      </c>
      <c r="BO138" s="16" t="e">
        <f aca="false">MatchData[high goal score]+MatchData[low goal score]</f>
        <v>#VALUE!</v>
      </c>
      <c r="BP138" s="16" t="e">
        <f aca="false">MatchData[teleop high goals]+MatchData[teleop low goals]</f>
        <v>#VALUE!</v>
      </c>
      <c r="BQ138" s="16" t="e">
        <f aca="false">MatchData[[#this row],[auto reach flag]]*2+SUM(MatchData[[#this row],[portcullis auto crossings]:[low bar auto crossings]])*10+MatchData[[#this row],[auto low goals]]*5+MatchData[auto high goals]*10</f>
        <v>#VALUE!</v>
      </c>
      <c r="BR138" s="16" t="e">
        <f aca="false">SUM(MatchData[[#this row],[cheval teleop crossing score]:[low bar teleop crossing score]])</f>
        <v>#VALUE!</v>
      </c>
      <c r="BS138" s="16" t="e">
        <f aca="false">SUMIF(MatchData[team],MatchData[[#this row],[team]],MatchData[total auto score])/MatchData[match count]</f>
        <v>#VALUE!</v>
      </c>
      <c r="BT138" s="16" t="e">
        <f aca="false">MatchData[challenge flag]*5</f>
        <v>#VALUE!</v>
      </c>
      <c r="BU138" s="16" t="e">
        <f aca="false">MatchData[climb flag]*15</f>
        <v>#VALUE!</v>
      </c>
      <c r="BV138" s="16" t="e">
        <f aca="false">SUM(MatchData[[#this row],[total goal score]],MatchData[[#this row],[crossing score]],MatchData[[#this row],[challenge score]],MatchData[[#this row],[climb score]],MatchData[[#this row],[total auto score]])</f>
        <v>#VALUE!</v>
      </c>
      <c r="BW138" s="16" t="e">
        <f aca="false">ROUND(SUMIF(MatchData[team],MatchData[[#this row],[team]],MatchData[teleop low goals])/COUNTIF(MatchData[team],MatchData[[#this row],[team]]),2)</f>
        <v>#VALUE!</v>
      </c>
      <c r="BX138" s="16" t="e">
        <f aca="false">ROUND(SUMIF(MatchData[team],MatchData[[#this row],[team]],MatchData[teleop high goals])/COUNTIF(MatchData[team],MatchData[[#this row],[team]]),2)</f>
        <v>#VALUE!</v>
      </c>
      <c r="BY138" s="16" t="e">
        <f aca="false">COUNTIF(MatchData[team],MatchData[[#this row],[team]])</f>
        <v>#VALUE!</v>
      </c>
      <c r="BZ138" s="16" t="e">
        <f aca="false">SUMIF(MatchData[team],MatchData[[#this row],[team]],MatchData[portcullis available])</f>
        <v>#VALUE!</v>
      </c>
      <c r="CA138" s="16" t="e">
        <f aca="false">SUMIF(MatchData[team],MatchData[[#this row],[team]],MatchData[cheval available])</f>
        <v>#VALUE!</v>
      </c>
      <c r="CB138" s="16" t="e">
        <f aca="false">SUMIF(MatchData[team],MatchData[[#this row],[team]],MatchData[moat available])</f>
        <v>#VALUE!</v>
      </c>
      <c r="CC138" s="16" t="e">
        <f aca="false">SUMIF(MatchData[team],MatchData[[#this row],[team]],MatchData[ramparts available])</f>
        <v>#VALUE!</v>
      </c>
      <c r="CD138" s="16" t="e">
        <f aca="false">SUMIF(MatchData[team],MatchData[[#this row],[team]],MatchData[drawbridge available])</f>
        <v>#VALUE!</v>
      </c>
      <c r="CE138" s="16" t="e">
        <f aca="false">SUMIF(MatchData[team],MatchData[[#this row],[team]],MatchData[sally port available])</f>
        <v>#VALUE!</v>
      </c>
      <c r="CF138" s="16" t="e">
        <f aca="false">SUMIF(MatchData[team],MatchData[[#this row],[team]],MatchData[rock wall available])</f>
        <v>#VALUE!</v>
      </c>
      <c r="CG138" s="16" t="e">
        <f aca="false">SUMIF(MatchData[team],MatchData[[#this row],[team]],MatchData[rough terrain available])</f>
        <v>#VALUE!</v>
      </c>
      <c r="CH138" s="16" t="e">
        <f aca="false">SUMIF(MatchData[team],MatchData[[#this row],[team]],MatchData[low bar available])</f>
        <v>#VALUE!</v>
      </c>
      <c r="CI138" s="16" t="e">
        <f aca="false">SUMIF(MatchData[team],MatchData[[#this row],[team]],MatchData[portcullis teleop crossings]:MatchData[portcullis scored crossings])</f>
        <v>#VALUE!</v>
      </c>
      <c r="CJ138" s="16" t="e">
        <f aca="false">SUMIF(MatchData[team],MatchData[[#this row],[team]],MatchData[cheval teleop crossings])+SUMIF(MatchData[team],MatchData[[#this row],[team]],MatchData[cheval scored crossings])</f>
        <v>#VALUE!</v>
      </c>
      <c r="CK138" s="16" t="e">
        <f aca="false">SUMIF(MatchData[team],MatchData[[#this row],[team]],MatchData[moat teleop crossings])+SUMIF(MatchData[team],MatchData[[#this row],[team]],MatchData[moat scored crosings])</f>
        <v>#VALUE!</v>
      </c>
      <c r="CL138" s="16" t="e">
        <f aca="false">SUMIF(MatchData[team],MatchData[[#this row],[team]],MatchData[ramparts teleop crossings])+SUMIF(MatchData[team],MatchData[[#this row],[team]],MatchData[ramparts scored crossings])</f>
        <v>#VALUE!</v>
      </c>
      <c r="CM138" s="16" t="e">
        <f aca="false">SUMIF(MatchData[team],MatchData[[#this row],[team]],MatchData[drawbridge teleop crossings])+SUMIF(MatchData[team],MatchData[[#this row],[team]],MatchData[drawbridge scored crossings])</f>
        <v>#VALUE!</v>
      </c>
      <c r="CN138" s="16" t="e">
        <f aca="false">SUMIF(MatchData[team],MatchData[[#this row],[team]],MatchData[sally port teleop crossings])+SUMIF(MatchData[team],MatchData[[#this row],[team]],MatchData[sally port scored crossings])</f>
        <v>#VALUE!</v>
      </c>
      <c r="CO138" s="16" t="e">
        <f aca="false">SUMIF(MatchData[team],MatchData[[#this row],[team]],MatchData[rock wall teleop crossings])+SUMIF(MatchData[team],MatchData[[#this row],[team]],MatchData[rock wall scored crossings])</f>
        <v>#VALUE!</v>
      </c>
      <c r="CP138" s="16" t="e">
        <f aca="false">SUMIF(MatchData[team],MatchData[[#this row],[team]],MatchData[rough terrain teleop crossings])+SUMIF(MatchData[team],MatchData[[#this row],[team]],MatchData[rough terrain scored crossings])</f>
        <v>#VALUE!</v>
      </c>
      <c r="CQ138" s="16" t="e">
        <f aca="false">SUMIF(MatchData[team],MatchData[[#this row],[team]],MatchData[low bar teleop crossings])+SUMIF(MatchData[team],MatchData[[#this row],[team]],MatchData[low bar scored crossings])</f>
        <v>#VALUE!</v>
      </c>
      <c r="CR138" s="16" t="e">
        <f aca="false">IFERROR(ROUND(MatchData[[#this row],[portcullis sum]]/MatchData[[#this row],[portcullis avail count]],2),0)</f>
        <v>#VALUE!</v>
      </c>
      <c r="CS138" s="16" t="e">
        <f aca="false">IFERROR(ROUND(MatchData[[#this row],[cheval sum]]/MatchData[[#this row],[cheval avail count]],2),0)</f>
        <v>#VALUE!</v>
      </c>
      <c r="CT138" s="16" t="e">
        <f aca="false">IFERROR(ROUND(MatchData[[#this row],[moat sum]]/MatchData[[#this row],[moat avail count]],2),0)</f>
        <v>#VALUE!</v>
      </c>
      <c r="CU138" s="16" t="e">
        <f aca="false">IFERROR(ROUND(MatchData[[#this row],[ramparts sum]]/MatchData[[#this row],[ramparts avail count]],2),0)</f>
        <v>#VALUE!</v>
      </c>
      <c r="CV138" s="16" t="e">
        <f aca="false">IFERROR(ROUND(MatchData[[#this row],[drawbridge sum]]/MatchData[[#this row],[drawbridge avail countigh6]],2),0)</f>
        <v>#VALUE!</v>
      </c>
      <c r="CW138" s="16" t="e">
        <f aca="false">IFERROR(ROUND(MatchData[[#this row],[sally port sum]]/MatchData[[#this row],[sally port avail count]],2),0)</f>
        <v>#VALUE!</v>
      </c>
      <c r="CX138" s="5" t="e">
        <f aca="false">IFERROR(ROUND(MatchData[[#this row],[rock wall sum]]/MatchData[[#this row],[rock wall avail count]],2),0)</f>
        <v>#VALUE!</v>
      </c>
      <c r="CY138" s="5" t="e">
        <f aca="false">IFERROR(ROUND(MatchData[[#this row],[rough terrain sum]]/MatchData[[#this row],[rough terrain avail count]],2),0)</f>
        <v>#VALUE!</v>
      </c>
      <c r="CZ138" s="5" t="e">
        <f aca="false">IFERROR(ROUND(MatchData[[#this row],[low bar sum]]/MatchData[[#this row],[low bar avail count]],2),0)</f>
        <v>#VALUE!</v>
      </c>
      <c r="DA138" s="16" t="e">
        <f aca="false">SUM(MatchData[[#this row],[cheval sum]:[low bar sum]])/MatchData[match count]</f>
        <v>#VALUE!</v>
      </c>
      <c r="DB138" s="16" t="n">
        <f aca="false">MAX(IF(C$2:C$74=C138,BP$2:BP$74))</f>
        <v>-1.79769313486232E+308</v>
      </c>
      <c r="DC138" s="16" t="e">
        <f aca="false">AVERAGEIF(MatchData[team],MatchData[[#this row],[team]],MatchData[total score])</f>
        <v>#VALUE!</v>
      </c>
      <c r="DD138" s="16" t="e">
        <f aca="false">ROUND(AVERAGEIF(MatchData[team],MatchData[team],MatchData[climb or challenge flag]),2)</f>
        <v>#VALUE!</v>
      </c>
    </row>
    <row r="139" customFormat="false" ht="14.5" hidden="false" customHeight="false" outlineLevel="0" collapsed="false">
      <c r="A139" s="13" t="s">
        <v>108</v>
      </c>
      <c r="B139" s="14" t="n">
        <v>23</v>
      </c>
      <c r="C139" s="15" t="n">
        <v>2471</v>
      </c>
      <c r="D139" s="5" t="s">
        <v>113</v>
      </c>
      <c r="E139" s="5" t="s">
        <v>120</v>
      </c>
      <c r="G139" s="16" t="n">
        <v>2</v>
      </c>
      <c r="I139" s="16"/>
      <c r="J139" s="5" t="n">
        <v>1</v>
      </c>
      <c r="K139" s="16" t="n">
        <v>1</v>
      </c>
      <c r="M139" s="5" t="n">
        <v>1</v>
      </c>
      <c r="N139" s="0"/>
      <c r="O139" s="0"/>
      <c r="P139" s="5" t="n">
        <v>1</v>
      </c>
      <c r="Q139" s="0"/>
      <c r="R139" s="5" t="n">
        <v>1</v>
      </c>
      <c r="S139" s="16"/>
      <c r="T139" s="0"/>
      <c r="U139" s="16"/>
      <c r="V139" s="16" t="n">
        <v>1</v>
      </c>
      <c r="W139" s="0"/>
      <c r="AD139" s="16"/>
      <c r="AE139" s="5"/>
      <c r="AF139" s="16" t="n">
        <v>2</v>
      </c>
      <c r="AG139" s="16"/>
      <c r="AH139" s="16"/>
      <c r="AI139" s="5" t="n">
        <v>1</v>
      </c>
      <c r="AJ139" s="16" t="n">
        <v>1</v>
      </c>
      <c r="AL139" s="16"/>
      <c r="AN139" s="16"/>
      <c r="AP139" s="16" t="n">
        <v>2</v>
      </c>
      <c r="AR139" s="16"/>
      <c r="AT139" s="16" t="n">
        <v>2</v>
      </c>
      <c r="AU139" s="16"/>
      <c r="AV139" s="16"/>
      <c r="AW139" s="16" t="n">
        <v>1</v>
      </c>
      <c r="AX139" s="16"/>
      <c r="AY139" s="16"/>
      <c r="AZ139" s="16"/>
      <c r="BB139" s="16" t="n">
        <v>1</v>
      </c>
      <c r="BC139" s="16" t="e">
        <f aca="false">MatchData[cheval scored crossings]*5</f>
        <v>#VALUE!</v>
      </c>
      <c r="BD139" s="16" t="e">
        <f aca="false">MatchData[moat scored crosings]*5</f>
        <v>#VALUE!</v>
      </c>
      <c r="BE139" s="16" t="e">
        <f aca="false">MatchData[ramparts scored crossings]*5</f>
        <v>#VALUE!</v>
      </c>
      <c r="BF139" s="16" t="e">
        <f aca="false">MatchData[drawbridge scored crossings]*5</f>
        <v>#VALUE!</v>
      </c>
      <c r="BG139" s="16" t="e">
        <f aca="false">MatchData[sally port scored crossings]*5</f>
        <v>#VALUE!</v>
      </c>
      <c r="BH139" s="16" t="e">
        <f aca="false">MatchData[rock wall scored crossings]*5</f>
        <v>#VALUE!</v>
      </c>
      <c r="BI139" s="16" t="e">
        <f aca="false">MatchData[rough terrain scored crossings]*5</f>
        <v>#VALUE!</v>
      </c>
      <c r="BJ139" s="16" t="e">
        <f aca="false">MatchData[low bar scored crossings]*5</f>
        <v>#VALUE!</v>
      </c>
      <c r="BK139" s="16" t="e">
        <f aca="false">SUM(MatchData[[#this row],[low bar teleop crossings]:[rough terrain scored crossings]])</f>
        <v>#VALUE!</v>
      </c>
      <c r="BL139" s="16" t="e">
        <f aca="false">IFERROR(IF(OR(MatchData[[#this row],[challenge flag]],MatchData[[#this row],[climb flag]]),1,0),0)</f>
        <v>#VALUE!</v>
      </c>
      <c r="BM139" s="16" t="e">
        <f aca="false">MatchData[auto high goals]*10+MatchData[teleop high goals]*5</f>
        <v>#VALUE!</v>
      </c>
      <c r="BN139" s="16" t="e">
        <f aca="false">MatchData[auto low goals]*5+MatchData[teleop low goals]*2</f>
        <v>#VALUE!</v>
      </c>
      <c r="BO139" s="16" t="e">
        <f aca="false">MatchData[high goal score]+MatchData[low goal score]</f>
        <v>#VALUE!</v>
      </c>
      <c r="BP139" s="16" t="e">
        <f aca="false">MatchData[teleop high goals]+MatchData[teleop low goals]</f>
        <v>#VALUE!</v>
      </c>
      <c r="BQ139" s="16" t="e">
        <f aca="false">MatchData[[#this row],[auto reach flag]]*2+SUM(MatchData[[#this row],[portcullis auto crossings]:[low bar auto crossings]])*10+MatchData[[#this row],[auto low goals]]*5+MatchData[auto high goals]*10</f>
        <v>#VALUE!</v>
      </c>
      <c r="BR139" s="16" t="e">
        <f aca="false">SUM(MatchData[[#this row],[cheval teleop crossing score]:[low bar teleop crossing score]])</f>
        <v>#VALUE!</v>
      </c>
      <c r="BS139" s="16" t="e">
        <f aca="false">SUMIF(MatchData[team],MatchData[[#this row],[team]],MatchData[total auto score])/MatchData[match count]</f>
        <v>#VALUE!</v>
      </c>
      <c r="BT139" s="16" t="e">
        <f aca="false">MatchData[challenge flag]*5</f>
        <v>#VALUE!</v>
      </c>
      <c r="BU139" s="16" t="e">
        <f aca="false">MatchData[climb flag]*15</f>
        <v>#VALUE!</v>
      </c>
      <c r="BV139" s="16" t="e">
        <f aca="false">SUM(MatchData[[#this row],[total goal score]],MatchData[[#this row],[crossing score]],MatchData[[#this row],[challenge score]],MatchData[[#this row],[climb score]],MatchData[[#this row],[total auto score]])</f>
        <v>#VALUE!</v>
      </c>
      <c r="BW139" s="16" t="e">
        <f aca="false">ROUND(SUMIF(MatchData[team],MatchData[[#this row],[team]],MatchData[teleop low goals])/COUNTIF(MatchData[team],MatchData[[#this row],[team]]),2)</f>
        <v>#VALUE!</v>
      </c>
      <c r="BX139" s="16" t="e">
        <f aca="false">ROUND(SUMIF(MatchData[team],MatchData[[#this row],[team]],MatchData[teleop high goals])/COUNTIF(MatchData[team],MatchData[[#this row],[team]]),2)</f>
        <v>#VALUE!</v>
      </c>
      <c r="BY139" s="16" t="e">
        <f aca="false">COUNTIF(MatchData[team],MatchData[[#this row],[team]])</f>
        <v>#VALUE!</v>
      </c>
      <c r="BZ139" s="16" t="e">
        <f aca="false">SUMIF(MatchData[team],MatchData[[#this row],[team]],MatchData[portcullis available])</f>
        <v>#VALUE!</v>
      </c>
      <c r="CA139" s="16" t="e">
        <f aca="false">SUMIF(MatchData[team],MatchData[[#this row],[team]],MatchData[cheval available])</f>
        <v>#VALUE!</v>
      </c>
      <c r="CB139" s="16" t="e">
        <f aca="false">SUMIF(MatchData[team],MatchData[[#this row],[team]],MatchData[moat available])</f>
        <v>#VALUE!</v>
      </c>
      <c r="CC139" s="16" t="e">
        <f aca="false">SUMIF(MatchData[team],MatchData[[#this row],[team]],MatchData[ramparts available])</f>
        <v>#VALUE!</v>
      </c>
      <c r="CD139" s="16" t="e">
        <f aca="false">SUMIF(MatchData[team],MatchData[[#this row],[team]],MatchData[drawbridge available])</f>
        <v>#VALUE!</v>
      </c>
      <c r="CE139" s="16" t="e">
        <f aca="false">SUMIF(MatchData[team],MatchData[[#this row],[team]],MatchData[sally port available])</f>
        <v>#VALUE!</v>
      </c>
      <c r="CF139" s="16" t="e">
        <f aca="false">SUMIF(MatchData[team],MatchData[[#this row],[team]],MatchData[rock wall available])</f>
        <v>#VALUE!</v>
      </c>
      <c r="CG139" s="16" t="e">
        <f aca="false">SUMIF(MatchData[team],MatchData[[#this row],[team]],MatchData[rough terrain available])</f>
        <v>#VALUE!</v>
      </c>
      <c r="CH139" s="16" t="e">
        <f aca="false">SUMIF(MatchData[team],MatchData[[#this row],[team]],MatchData[low bar available])</f>
        <v>#VALUE!</v>
      </c>
      <c r="CI139" s="16" t="e">
        <f aca="false">SUMIF(MatchData[team],MatchData[[#this row],[team]],MatchData[portcullis teleop crossings]:MatchData[portcullis scored crossings])</f>
        <v>#VALUE!</v>
      </c>
      <c r="CJ139" s="16" t="e">
        <f aca="false">SUMIF(MatchData[team],MatchData[[#this row],[team]],MatchData[cheval teleop crossings])+SUMIF(MatchData[team],MatchData[[#this row],[team]],MatchData[cheval scored crossings])</f>
        <v>#VALUE!</v>
      </c>
      <c r="CK139" s="16" t="e">
        <f aca="false">SUMIF(MatchData[team],MatchData[[#this row],[team]],MatchData[moat teleop crossings])+SUMIF(MatchData[team],MatchData[[#this row],[team]],MatchData[moat scored crosings])</f>
        <v>#VALUE!</v>
      </c>
      <c r="CL139" s="16" t="e">
        <f aca="false">SUMIF(MatchData[team],MatchData[[#this row],[team]],MatchData[ramparts teleop crossings])+SUMIF(MatchData[team],MatchData[[#this row],[team]],MatchData[ramparts scored crossings])</f>
        <v>#VALUE!</v>
      </c>
      <c r="CM139" s="16" t="e">
        <f aca="false">SUMIF(MatchData[team],MatchData[[#this row],[team]],MatchData[drawbridge teleop crossings])+SUMIF(MatchData[team],MatchData[[#this row],[team]],MatchData[drawbridge scored crossings])</f>
        <v>#VALUE!</v>
      </c>
      <c r="CN139" s="16" t="e">
        <f aca="false">SUMIF(MatchData[team],MatchData[[#this row],[team]],MatchData[sally port teleop crossings])+SUMIF(MatchData[team],MatchData[[#this row],[team]],MatchData[sally port scored crossings])</f>
        <v>#VALUE!</v>
      </c>
      <c r="CO139" s="16" t="e">
        <f aca="false">SUMIF(MatchData[team],MatchData[[#this row],[team]],MatchData[rock wall teleop crossings])+SUMIF(MatchData[team],MatchData[[#this row],[team]],MatchData[rock wall scored crossings])</f>
        <v>#VALUE!</v>
      </c>
      <c r="CP139" s="16" t="e">
        <f aca="false">SUMIF(MatchData[team],MatchData[[#this row],[team]],MatchData[rough terrain teleop crossings])+SUMIF(MatchData[team],MatchData[[#this row],[team]],MatchData[rough terrain scored crossings])</f>
        <v>#VALUE!</v>
      </c>
      <c r="CQ139" s="16" t="e">
        <f aca="false">SUMIF(MatchData[team],MatchData[[#this row],[team]],MatchData[low bar teleop crossings])+SUMIF(MatchData[team],MatchData[[#this row],[team]],MatchData[low bar scored crossings])</f>
        <v>#VALUE!</v>
      </c>
      <c r="CR139" s="16" t="e">
        <f aca="false">IFERROR(ROUND(MatchData[[#this row],[portcullis sum]]/MatchData[[#this row],[portcullis avail count]],2),0)</f>
        <v>#VALUE!</v>
      </c>
      <c r="CS139" s="16" t="e">
        <f aca="false">IFERROR(ROUND(MatchData[[#this row],[cheval sum]]/MatchData[[#this row],[cheval avail count]],2),0)</f>
        <v>#VALUE!</v>
      </c>
      <c r="CT139" s="16" t="e">
        <f aca="false">IFERROR(ROUND(MatchData[[#this row],[moat sum]]/MatchData[[#this row],[moat avail count]],2),0)</f>
        <v>#VALUE!</v>
      </c>
      <c r="CU139" s="16" t="e">
        <f aca="false">IFERROR(ROUND(MatchData[[#this row],[ramparts sum]]/MatchData[[#this row],[ramparts avail count]],2),0)</f>
        <v>#VALUE!</v>
      </c>
      <c r="CV139" s="16" t="e">
        <f aca="false">IFERROR(ROUND(MatchData[[#this row],[drawbridge sum]]/MatchData[[#this row],[drawbridge avail countigh6]],2),0)</f>
        <v>#VALUE!</v>
      </c>
      <c r="CW139" s="16" t="e">
        <f aca="false">IFERROR(ROUND(MatchData[[#this row],[sally port sum]]/MatchData[[#this row],[sally port avail count]],2),0)</f>
        <v>#VALUE!</v>
      </c>
      <c r="CX139" s="5" t="e">
        <f aca="false">IFERROR(ROUND(MatchData[[#this row],[rock wall sum]]/MatchData[[#this row],[rock wall avail count]],2),0)</f>
        <v>#VALUE!</v>
      </c>
      <c r="CY139" s="5" t="e">
        <f aca="false">IFERROR(ROUND(MatchData[[#this row],[rough terrain sum]]/MatchData[[#this row],[rough terrain avail count]],2),0)</f>
        <v>#VALUE!</v>
      </c>
      <c r="CZ139" s="5" t="e">
        <f aca="false">IFERROR(ROUND(MatchData[[#this row],[low bar sum]]/MatchData[[#this row],[low bar avail count]],2),0)</f>
        <v>#VALUE!</v>
      </c>
      <c r="DA139" s="16" t="e">
        <f aca="false">SUM(MatchData[[#this row],[cheval sum]:[low bar sum]])/MatchData[match count]</f>
        <v>#VALUE!</v>
      </c>
      <c r="DB139" s="16" t="n">
        <f aca="false">MAX(IF(C$2:C$74=C139,BP$2:BP$74))</f>
        <v>-1.79769313486232E+308</v>
      </c>
      <c r="DC139" s="16" t="e">
        <f aca="false">AVERAGEIF(MatchData[team],MatchData[[#this row],[team]],MatchData[total score])</f>
        <v>#VALUE!</v>
      </c>
      <c r="DD139" s="16" t="e">
        <f aca="false">ROUND(AVERAGEIF(MatchData[team],MatchData[team],MatchData[climb or challenge flag]),2)</f>
        <v>#VALUE!</v>
      </c>
    </row>
    <row r="140" customFormat="false" ht="14.5" hidden="false" customHeight="false" outlineLevel="0" collapsed="false">
      <c r="A140" s="13" t="s">
        <v>108</v>
      </c>
      <c r="B140" s="14" t="n">
        <v>24</v>
      </c>
      <c r="C140" s="15" t="n">
        <v>1510</v>
      </c>
      <c r="D140" s="5" t="s">
        <v>109</v>
      </c>
      <c r="E140" s="5" t="s">
        <v>119</v>
      </c>
      <c r="G140" s="16"/>
      <c r="I140" s="16"/>
      <c r="J140" s="5" t="n">
        <v>1</v>
      </c>
      <c r="K140" s="16"/>
      <c r="L140" s="5" t="n">
        <v>1</v>
      </c>
      <c r="M140" s="5" t="n">
        <v>1</v>
      </c>
      <c r="N140" s="0"/>
      <c r="O140" s="0"/>
      <c r="P140" s="5" t="n">
        <v>1</v>
      </c>
      <c r="Q140" s="0"/>
      <c r="R140" s="5" t="n">
        <v>1</v>
      </c>
      <c r="S140" s="16"/>
      <c r="T140" s="0"/>
      <c r="U140" s="16"/>
      <c r="V140" s="16"/>
      <c r="W140" s="0"/>
      <c r="AD140" s="16"/>
      <c r="AE140" s="5"/>
      <c r="AF140" s="16"/>
      <c r="AG140" s="16"/>
      <c r="AH140" s="16"/>
      <c r="AJ140" s="16"/>
      <c r="AL140" s="16"/>
      <c r="AN140" s="16"/>
      <c r="AP140" s="16"/>
      <c r="AR140" s="16"/>
      <c r="AT140" s="16"/>
      <c r="AU140" s="16"/>
      <c r="AV140" s="16"/>
      <c r="AW140" s="16"/>
      <c r="AX140" s="16"/>
      <c r="AY140" s="16" t="n">
        <v>1</v>
      </c>
      <c r="AZ140" s="16"/>
      <c r="BB140" s="16"/>
      <c r="BC140" s="16" t="e">
        <f aca="false">MatchData[cheval scored crossings]*5</f>
        <v>#VALUE!</v>
      </c>
      <c r="BD140" s="16" t="e">
        <f aca="false">MatchData[moat scored crosings]*5</f>
        <v>#VALUE!</v>
      </c>
      <c r="BE140" s="16" t="e">
        <f aca="false">MatchData[ramparts scored crossings]*5</f>
        <v>#VALUE!</v>
      </c>
      <c r="BF140" s="16" t="e">
        <f aca="false">MatchData[drawbridge scored crossings]*5</f>
        <v>#VALUE!</v>
      </c>
      <c r="BG140" s="16" t="e">
        <f aca="false">MatchData[sally port scored crossings]*5</f>
        <v>#VALUE!</v>
      </c>
      <c r="BH140" s="16" t="e">
        <f aca="false">MatchData[rock wall scored crossings]*5</f>
        <v>#VALUE!</v>
      </c>
      <c r="BI140" s="16" t="e">
        <f aca="false">MatchData[rough terrain scored crossings]*5</f>
        <v>#VALUE!</v>
      </c>
      <c r="BJ140" s="16" t="e">
        <f aca="false">MatchData[low bar scored crossings]*5</f>
        <v>#VALUE!</v>
      </c>
      <c r="BK140" s="16" t="e">
        <f aca="false">SUM(MatchData[[#this row],[low bar teleop crossings]:[rough terrain scored crossings]])</f>
        <v>#VALUE!</v>
      </c>
      <c r="BL140" s="16" t="e">
        <f aca="false">IFERROR(IF(OR(MatchData[[#this row],[challenge flag]],MatchData[[#this row],[climb flag]]),1,0),0)</f>
        <v>#VALUE!</v>
      </c>
      <c r="BM140" s="16" t="e">
        <f aca="false">MatchData[auto high goals]*10+MatchData[teleop high goals]*5</f>
        <v>#VALUE!</v>
      </c>
      <c r="BN140" s="16" t="e">
        <f aca="false">MatchData[auto low goals]*5+MatchData[teleop low goals]*2</f>
        <v>#VALUE!</v>
      </c>
      <c r="BO140" s="16" t="e">
        <f aca="false">MatchData[high goal score]+MatchData[low goal score]</f>
        <v>#VALUE!</v>
      </c>
      <c r="BP140" s="16" t="e">
        <f aca="false">MatchData[teleop high goals]+MatchData[teleop low goals]</f>
        <v>#VALUE!</v>
      </c>
      <c r="BQ140" s="16" t="e">
        <f aca="false">MatchData[[#this row],[auto reach flag]]*2+SUM(MatchData[[#this row],[portcullis auto crossings]:[low bar auto crossings]])*10+MatchData[[#this row],[auto low goals]]*5+MatchData[auto high goals]*10</f>
        <v>#VALUE!</v>
      </c>
      <c r="BR140" s="16" t="e">
        <f aca="false">SUM(MatchData[[#this row],[cheval teleop crossing score]:[low bar teleop crossing score]])</f>
        <v>#VALUE!</v>
      </c>
      <c r="BS140" s="16" t="e">
        <f aca="false">SUMIF(MatchData[team],MatchData[[#this row],[team]],MatchData[total auto score])/MatchData[match count]</f>
        <v>#VALUE!</v>
      </c>
      <c r="BT140" s="16" t="e">
        <f aca="false">MatchData[challenge flag]*5</f>
        <v>#VALUE!</v>
      </c>
      <c r="BU140" s="16" t="e">
        <f aca="false">MatchData[climb flag]*15</f>
        <v>#VALUE!</v>
      </c>
      <c r="BV140" s="16" t="e">
        <f aca="false">SUM(MatchData[[#this row],[total goal score]],MatchData[[#this row],[crossing score]],MatchData[[#this row],[challenge score]],MatchData[[#this row],[climb score]],MatchData[[#this row],[total auto score]])</f>
        <v>#VALUE!</v>
      </c>
      <c r="BW140" s="16" t="e">
        <f aca="false">ROUND(SUMIF(MatchData[team],MatchData[[#this row],[team]],MatchData[teleop low goals])/COUNTIF(MatchData[team],MatchData[[#this row],[team]]),2)</f>
        <v>#VALUE!</v>
      </c>
      <c r="BX140" s="16" t="e">
        <f aca="false">ROUND(SUMIF(MatchData[team],MatchData[[#this row],[team]],MatchData[teleop high goals])/COUNTIF(MatchData[team],MatchData[[#this row],[team]]),2)</f>
        <v>#VALUE!</v>
      </c>
      <c r="BY140" s="16" t="e">
        <f aca="false">COUNTIF(MatchData[team],MatchData[[#this row],[team]])</f>
        <v>#VALUE!</v>
      </c>
      <c r="BZ140" s="16" t="e">
        <f aca="false">SUMIF(MatchData[team],MatchData[[#this row],[team]],MatchData[portcullis available])</f>
        <v>#VALUE!</v>
      </c>
      <c r="CA140" s="16" t="e">
        <f aca="false">SUMIF(MatchData[team],MatchData[[#this row],[team]],MatchData[cheval available])</f>
        <v>#VALUE!</v>
      </c>
      <c r="CB140" s="16" t="e">
        <f aca="false">SUMIF(MatchData[team],MatchData[[#this row],[team]],MatchData[moat available])</f>
        <v>#VALUE!</v>
      </c>
      <c r="CC140" s="16" t="e">
        <f aca="false">SUMIF(MatchData[team],MatchData[[#this row],[team]],MatchData[ramparts available])</f>
        <v>#VALUE!</v>
      </c>
      <c r="CD140" s="16" t="e">
        <f aca="false">SUMIF(MatchData[team],MatchData[[#this row],[team]],MatchData[drawbridge available])</f>
        <v>#VALUE!</v>
      </c>
      <c r="CE140" s="16" t="e">
        <f aca="false">SUMIF(MatchData[team],MatchData[[#this row],[team]],MatchData[sally port available])</f>
        <v>#VALUE!</v>
      </c>
      <c r="CF140" s="16" t="e">
        <f aca="false">SUMIF(MatchData[team],MatchData[[#this row],[team]],MatchData[rock wall available])</f>
        <v>#VALUE!</v>
      </c>
      <c r="CG140" s="16" t="e">
        <f aca="false">SUMIF(MatchData[team],MatchData[[#this row],[team]],MatchData[rough terrain available])</f>
        <v>#VALUE!</v>
      </c>
      <c r="CH140" s="16" t="e">
        <f aca="false">SUMIF(MatchData[team],MatchData[[#this row],[team]],MatchData[low bar available])</f>
        <v>#VALUE!</v>
      </c>
      <c r="CI140" s="16" t="e">
        <f aca="false">SUMIF(MatchData[team],MatchData[[#this row],[team]],MatchData[portcullis teleop crossings]:MatchData[portcullis scored crossings])</f>
        <v>#VALUE!</v>
      </c>
      <c r="CJ140" s="16" t="e">
        <f aca="false">SUMIF(MatchData[team],MatchData[[#this row],[team]],MatchData[cheval teleop crossings])+SUMIF(MatchData[team],MatchData[[#this row],[team]],MatchData[cheval scored crossings])</f>
        <v>#VALUE!</v>
      </c>
      <c r="CK140" s="16" t="e">
        <f aca="false">SUMIF(MatchData[team],MatchData[[#this row],[team]],MatchData[moat teleop crossings])+SUMIF(MatchData[team],MatchData[[#this row],[team]],MatchData[moat scored crosings])</f>
        <v>#VALUE!</v>
      </c>
      <c r="CL140" s="16" t="e">
        <f aca="false">SUMIF(MatchData[team],MatchData[[#this row],[team]],MatchData[ramparts teleop crossings])+SUMIF(MatchData[team],MatchData[[#this row],[team]],MatchData[ramparts scored crossings])</f>
        <v>#VALUE!</v>
      </c>
      <c r="CM140" s="16" t="e">
        <f aca="false">SUMIF(MatchData[team],MatchData[[#this row],[team]],MatchData[drawbridge teleop crossings])+SUMIF(MatchData[team],MatchData[[#this row],[team]],MatchData[drawbridge scored crossings])</f>
        <v>#VALUE!</v>
      </c>
      <c r="CN140" s="16" t="e">
        <f aca="false">SUMIF(MatchData[team],MatchData[[#this row],[team]],MatchData[sally port teleop crossings])+SUMIF(MatchData[team],MatchData[[#this row],[team]],MatchData[sally port scored crossings])</f>
        <v>#VALUE!</v>
      </c>
      <c r="CO140" s="16" t="e">
        <f aca="false">SUMIF(MatchData[team],MatchData[[#this row],[team]],MatchData[rock wall teleop crossings])+SUMIF(MatchData[team],MatchData[[#this row],[team]],MatchData[rock wall scored crossings])</f>
        <v>#VALUE!</v>
      </c>
      <c r="CP140" s="16" t="e">
        <f aca="false">SUMIF(MatchData[team],MatchData[[#this row],[team]],MatchData[rough terrain teleop crossings])+SUMIF(MatchData[team],MatchData[[#this row],[team]],MatchData[rough terrain scored crossings])</f>
        <v>#VALUE!</v>
      </c>
      <c r="CQ140" s="16" t="e">
        <f aca="false">SUMIF(MatchData[team],MatchData[[#this row],[team]],MatchData[low bar teleop crossings])+SUMIF(MatchData[team],MatchData[[#this row],[team]],MatchData[low bar scored crossings])</f>
        <v>#VALUE!</v>
      </c>
      <c r="CR140" s="16" t="e">
        <f aca="false">IFERROR(ROUND(MatchData[[#this row],[portcullis sum]]/MatchData[[#this row],[portcullis avail count]],2),0)</f>
        <v>#VALUE!</v>
      </c>
      <c r="CS140" s="16" t="e">
        <f aca="false">IFERROR(ROUND(MatchData[[#this row],[cheval sum]]/MatchData[[#this row],[cheval avail count]],2),0)</f>
        <v>#VALUE!</v>
      </c>
      <c r="CT140" s="16" t="e">
        <f aca="false">IFERROR(ROUND(MatchData[[#this row],[moat sum]]/MatchData[[#this row],[moat avail count]],2),0)</f>
        <v>#VALUE!</v>
      </c>
      <c r="CU140" s="16" t="e">
        <f aca="false">IFERROR(ROUND(MatchData[[#this row],[ramparts sum]]/MatchData[[#this row],[ramparts avail count]],2),0)</f>
        <v>#VALUE!</v>
      </c>
      <c r="CV140" s="16" t="e">
        <f aca="false">IFERROR(ROUND(MatchData[[#this row],[drawbridge sum]]/MatchData[[#this row],[drawbridge avail countigh6]],2),0)</f>
        <v>#VALUE!</v>
      </c>
      <c r="CW140" s="16" t="e">
        <f aca="false">IFERROR(ROUND(MatchData[[#this row],[sally port sum]]/MatchData[[#this row],[sally port avail count]],2),0)</f>
        <v>#VALUE!</v>
      </c>
      <c r="CX140" s="5" t="e">
        <f aca="false">IFERROR(ROUND(MatchData[[#this row],[rock wall sum]]/MatchData[[#this row],[rock wall avail count]],2),0)</f>
        <v>#VALUE!</v>
      </c>
      <c r="CY140" s="5" t="e">
        <f aca="false">IFERROR(ROUND(MatchData[[#this row],[rough terrain sum]]/MatchData[[#this row],[rough terrain avail count]],2),0)</f>
        <v>#VALUE!</v>
      </c>
      <c r="CZ140" s="5" t="e">
        <f aca="false">IFERROR(ROUND(MatchData[[#this row],[low bar sum]]/MatchData[[#this row],[low bar avail count]],2),0)</f>
        <v>#VALUE!</v>
      </c>
      <c r="DA140" s="16" t="e">
        <f aca="false">SUM(MatchData[[#this row],[cheval sum]:[low bar sum]])/MatchData[match count]</f>
        <v>#VALUE!</v>
      </c>
      <c r="DB140" s="16" t="n">
        <f aca="false">MAX(IF(C$2:C$74=C140,BP$2:BP$74))</f>
        <v>-1.79769313486232E+308</v>
      </c>
      <c r="DC140" s="16" t="e">
        <f aca="false">AVERAGEIF(MatchData[team],MatchData[[#this row],[team]],MatchData[total score])</f>
        <v>#VALUE!</v>
      </c>
      <c r="DD140" s="16" t="e">
        <f aca="false">ROUND(AVERAGEIF(MatchData[team],MatchData[team],MatchData[climb or challenge flag]),2)</f>
        <v>#VALUE!</v>
      </c>
    </row>
    <row r="141" customFormat="false" ht="14.5" hidden="false" customHeight="false" outlineLevel="0" collapsed="false">
      <c r="A141" s="13" t="s">
        <v>108</v>
      </c>
      <c r="B141" s="14" t="n">
        <v>24</v>
      </c>
      <c r="C141" s="15" t="n">
        <v>2002</v>
      </c>
      <c r="D141" s="5" t="s">
        <v>109</v>
      </c>
      <c r="E141" s="5" t="s">
        <v>149</v>
      </c>
      <c r="G141" s="16" t="n">
        <v>2</v>
      </c>
      <c r="I141" s="16"/>
      <c r="J141" s="5" t="n">
        <v>1</v>
      </c>
      <c r="K141" s="16"/>
      <c r="L141" s="5" t="n">
        <v>1</v>
      </c>
      <c r="N141" s="0"/>
      <c r="O141" s="0"/>
      <c r="P141" s="5" t="n">
        <v>1</v>
      </c>
      <c r="Q141" s="0"/>
      <c r="R141" s="5" t="n">
        <v>1</v>
      </c>
      <c r="S141" s="16"/>
      <c r="T141" s="0"/>
      <c r="U141" s="16"/>
      <c r="V141" s="16" t="n">
        <v>1</v>
      </c>
      <c r="W141" s="0"/>
      <c r="AD141" s="16"/>
      <c r="AE141" s="5"/>
      <c r="AF141" s="16"/>
      <c r="AG141" s="16"/>
      <c r="AH141" s="16"/>
      <c r="AI141" s="5" t="n">
        <v>1</v>
      </c>
      <c r="AJ141" s="16" t="n">
        <v>1</v>
      </c>
      <c r="AL141" s="16"/>
      <c r="AN141" s="16"/>
      <c r="AP141" s="16"/>
      <c r="AR141" s="16"/>
      <c r="AT141" s="16"/>
      <c r="AU141" s="16"/>
      <c r="AV141" s="16"/>
      <c r="AW141" s="16" t="n">
        <v>1</v>
      </c>
      <c r="AX141" s="16"/>
      <c r="AY141" s="16"/>
      <c r="AZ141" s="16"/>
      <c r="BB141" s="16"/>
      <c r="BC141" s="16" t="e">
        <f aca="false">MatchData[cheval scored crossings]*5</f>
        <v>#VALUE!</v>
      </c>
      <c r="BD141" s="16" t="e">
        <f aca="false">MatchData[moat scored crosings]*5</f>
        <v>#VALUE!</v>
      </c>
      <c r="BE141" s="16" t="e">
        <f aca="false">MatchData[ramparts scored crossings]*5</f>
        <v>#VALUE!</v>
      </c>
      <c r="BF141" s="16" t="e">
        <f aca="false">MatchData[drawbridge scored crossings]*5</f>
        <v>#VALUE!</v>
      </c>
      <c r="BG141" s="16" t="e">
        <f aca="false">MatchData[sally port scored crossings]*5</f>
        <v>#VALUE!</v>
      </c>
      <c r="BH141" s="16" t="e">
        <f aca="false">MatchData[rock wall scored crossings]*5</f>
        <v>#VALUE!</v>
      </c>
      <c r="BI141" s="16" t="e">
        <f aca="false">MatchData[rough terrain scored crossings]*5</f>
        <v>#VALUE!</v>
      </c>
      <c r="BJ141" s="16" t="e">
        <f aca="false">MatchData[low bar scored crossings]*5</f>
        <v>#VALUE!</v>
      </c>
      <c r="BK141" s="16" t="e">
        <f aca="false">SUM(MatchData[[#this row],[low bar teleop crossings]:[rough terrain scored crossings]])</f>
        <v>#VALUE!</v>
      </c>
      <c r="BL141" s="16" t="e">
        <f aca="false">IFERROR(IF(OR(MatchData[[#this row],[challenge flag]],MatchData[[#this row],[climb flag]]),1,0),0)</f>
        <v>#VALUE!</v>
      </c>
      <c r="BM141" s="16" t="e">
        <f aca="false">MatchData[auto high goals]*10+MatchData[teleop high goals]*5</f>
        <v>#VALUE!</v>
      </c>
      <c r="BN141" s="16" t="e">
        <f aca="false">MatchData[auto low goals]*5+MatchData[teleop low goals]*2</f>
        <v>#VALUE!</v>
      </c>
      <c r="BO141" s="16" t="e">
        <f aca="false">MatchData[high goal score]+MatchData[low goal score]</f>
        <v>#VALUE!</v>
      </c>
      <c r="BP141" s="16" t="e">
        <f aca="false">MatchData[teleop high goals]+MatchData[teleop low goals]</f>
        <v>#VALUE!</v>
      </c>
      <c r="BQ141" s="16" t="e">
        <f aca="false">MatchData[[#this row],[auto reach flag]]*2+SUM(MatchData[[#this row],[portcullis auto crossings]:[low bar auto crossings]])*10+MatchData[[#this row],[auto low goals]]*5+MatchData[auto high goals]*10</f>
        <v>#VALUE!</v>
      </c>
      <c r="BR141" s="16" t="e">
        <f aca="false">SUM(MatchData[[#this row],[cheval teleop crossing score]:[low bar teleop crossing score]])</f>
        <v>#VALUE!</v>
      </c>
      <c r="BS141" s="16" t="e">
        <f aca="false">SUMIF(MatchData[team],MatchData[[#this row],[team]],MatchData[total auto score])/MatchData[match count]</f>
        <v>#VALUE!</v>
      </c>
      <c r="BT141" s="16" t="e">
        <f aca="false">MatchData[challenge flag]*5</f>
        <v>#VALUE!</v>
      </c>
      <c r="BU141" s="16" t="e">
        <f aca="false">MatchData[climb flag]*15</f>
        <v>#VALUE!</v>
      </c>
      <c r="BV141" s="16" t="e">
        <f aca="false">SUM(MatchData[[#this row],[total goal score]],MatchData[[#this row],[crossing score]],MatchData[[#this row],[challenge score]],MatchData[[#this row],[climb score]],MatchData[[#this row],[total auto score]])</f>
        <v>#VALUE!</v>
      </c>
      <c r="BW141" s="16" t="e">
        <f aca="false">ROUND(SUMIF(MatchData[team],MatchData[[#this row],[team]],MatchData[teleop low goals])/COUNTIF(MatchData[team],MatchData[[#this row],[team]]),2)</f>
        <v>#VALUE!</v>
      </c>
      <c r="BX141" s="16" t="e">
        <f aca="false">ROUND(SUMIF(MatchData[team],MatchData[[#this row],[team]],MatchData[teleop high goals])/COUNTIF(MatchData[team],MatchData[[#this row],[team]]),2)</f>
        <v>#VALUE!</v>
      </c>
      <c r="BY141" s="16" t="e">
        <f aca="false">COUNTIF(MatchData[team],MatchData[[#this row],[team]])</f>
        <v>#VALUE!</v>
      </c>
      <c r="BZ141" s="16" t="e">
        <f aca="false">SUMIF(MatchData[team],MatchData[[#this row],[team]],MatchData[portcullis available])</f>
        <v>#VALUE!</v>
      </c>
      <c r="CA141" s="16" t="e">
        <f aca="false">SUMIF(MatchData[team],MatchData[[#this row],[team]],MatchData[cheval available])</f>
        <v>#VALUE!</v>
      </c>
      <c r="CB141" s="16" t="e">
        <f aca="false">SUMIF(MatchData[team],MatchData[[#this row],[team]],MatchData[moat available])</f>
        <v>#VALUE!</v>
      </c>
      <c r="CC141" s="16" t="e">
        <f aca="false">SUMIF(MatchData[team],MatchData[[#this row],[team]],MatchData[ramparts available])</f>
        <v>#VALUE!</v>
      </c>
      <c r="CD141" s="16" t="e">
        <f aca="false">SUMIF(MatchData[team],MatchData[[#this row],[team]],MatchData[drawbridge available])</f>
        <v>#VALUE!</v>
      </c>
      <c r="CE141" s="16" t="e">
        <f aca="false">SUMIF(MatchData[team],MatchData[[#this row],[team]],MatchData[sally port available])</f>
        <v>#VALUE!</v>
      </c>
      <c r="CF141" s="16" t="e">
        <f aca="false">SUMIF(MatchData[team],MatchData[[#this row],[team]],MatchData[rock wall available])</f>
        <v>#VALUE!</v>
      </c>
      <c r="CG141" s="16" t="e">
        <f aca="false">SUMIF(MatchData[team],MatchData[[#this row],[team]],MatchData[rough terrain available])</f>
        <v>#VALUE!</v>
      </c>
      <c r="CH141" s="16" t="e">
        <f aca="false">SUMIF(MatchData[team],MatchData[[#this row],[team]],MatchData[low bar available])</f>
        <v>#VALUE!</v>
      </c>
      <c r="CI141" s="16" t="e">
        <f aca="false">SUMIF(MatchData[team],MatchData[[#this row],[team]],MatchData[portcullis teleop crossings]:MatchData[portcullis scored crossings])</f>
        <v>#VALUE!</v>
      </c>
      <c r="CJ141" s="16" t="e">
        <f aca="false">SUMIF(MatchData[team],MatchData[[#this row],[team]],MatchData[cheval teleop crossings])+SUMIF(MatchData[team],MatchData[[#this row],[team]],MatchData[cheval scored crossings])</f>
        <v>#VALUE!</v>
      </c>
      <c r="CK141" s="16" t="e">
        <f aca="false">SUMIF(MatchData[team],MatchData[[#this row],[team]],MatchData[moat teleop crossings])+SUMIF(MatchData[team],MatchData[[#this row],[team]],MatchData[moat scored crosings])</f>
        <v>#VALUE!</v>
      </c>
      <c r="CL141" s="16" t="e">
        <f aca="false">SUMIF(MatchData[team],MatchData[[#this row],[team]],MatchData[ramparts teleop crossings])+SUMIF(MatchData[team],MatchData[[#this row],[team]],MatchData[ramparts scored crossings])</f>
        <v>#VALUE!</v>
      </c>
      <c r="CM141" s="16" t="e">
        <f aca="false">SUMIF(MatchData[team],MatchData[[#this row],[team]],MatchData[drawbridge teleop crossings])+SUMIF(MatchData[team],MatchData[[#this row],[team]],MatchData[drawbridge scored crossings])</f>
        <v>#VALUE!</v>
      </c>
      <c r="CN141" s="16" t="e">
        <f aca="false">SUMIF(MatchData[team],MatchData[[#this row],[team]],MatchData[sally port teleop crossings])+SUMIF(MatchData[team],MatchData[[#this row],[team]],MatchData[sally port scored crossings])</f>
        <v>#VALUE!</v>
      </c>
      <c r="CO141" s="16" t="e">
        <f aca="false">SUMIF(MatchData[team],MatchData[[#this row],[team]],MatchData[rock wall teleop crossings])+SUMIF(MatchData[team],MatchData[[#this row],[team]],MatchData[rock wall scored crossings])</f>
        <v>#VALUE!</v>
      </c>
      <c r="CP141" s="16" t="e">
        <f aca="false">SUMIF(MatchData[team],MatchData[[#this row],[team]],MatchData[rough terrain teleop crossings])+SUMIF(MatchData[team],MatchData[[#this row],[team]],MatchData[rough terrain scored crossings])</f>
        <v>#VALUE!</v>
      </c>
      <c r="CQ141" s="16" t="e">
        <f aca="false">SUMIF(MatchData[team],MatchData[[#this row],[team]],MatchData[low bar teleop crossings])+SUMIF(MatchData[team],MatchData[[#this row],[team]],MatchData[low bar scored crossings])</f>
        <v>#VALUE!</v>
      </c>
      <c r="CR141" s="16" t="e">
        <f aca="false">IFERROR(ROUND(MatchData[[#this row],[portcullis sum]]/MatchData[[#this row],[portcullis avail count]],2),0)</f>
        <v>#VALUE!</v>
      </c>
      <c r="CS141" s="16" t="e">
        <f aca="false">IFERROR(ROUND(MatchData[[#this row],[cheval sum]]/MatchData[[#this row],[cheval avail count]],2),0)</f>
        <v>#VALUE!</v>
      </c>
      <c r="CT141" s="16" t="e">
        <f aca="false">IFERROR(ROUND(MatchData[[#this row],[moat sum]]/MatchData[[#this row],[moat avail count]],2),0)</f>
        <v>#VALUE!</v>
      </c>
      <c r="CU141" s="16" t="e">
        <f aca="false">IFERROR(ROUND(MatchData[[#this row],[ramparts sum]]/MatchData[[#this row],[ramparts avail count]],2),0)</f>
        <v>#VALUE!</v>
      </c>
      <c r="CV141" s="16" t="e">
        <f aca="false">IFERROR(ROUND(MatchData[[#this row],[drawbridge sum]]/MatchData[[#this row],[drawbridge avail countigh6]],2),0)</f>
        <v>#VALUE!</v>
      </c>
      <c r="CW141" s="16" t="e">
        <f aca="false">IFERROR(ROUND(MatchData[[#this row],[sally port sum]]/MatchData[[#this row],[sally port avail count]],2),0)</f>
        <v>#VALUE!</v>
      </c>
      <c r="CX141" s="5" t="e">
        <f aca="false">IFERROR(ROUND(MatchData[[#this row],[rock wall sum]]/MatchData[[#this row],[rock wall avail count]],2),0)</f>
        <v>#VALUE!</v>
      </c>
      <c r="CY141" s="5" t="e">
        <f aca="false">IFERROR(ROUND(MatchData[[#this row],[rough terrain sum]]/MatchData[[#this row],[rough terrain avail count]],2),0)</f>
        <v>#VALUE!</v>
      </c>
      <c r="CZ141" s="5" t="e">
        <f aca="false">IFERROR(ROUND(MatchData[[#this row],[low bar sum]]/MatchData[[#this row],[low bar avail count]],2),0)</f>
        <v>#VALUE!</v>
      </c>
      <c r="DA141" s="16" t="e">
        <f aca="false">SUM(MatchData[[#this row],[cheval sum]:[low bar sum]])/MatchData[match count]</f>
        <v>#VALUE!</v>
      </c>
      <c r="DB141" s="16" t="n">
        <f aca="false">MAX(IF(C$2:C$74=C141,BP$2:BP$74))</f>
        <v>-1.79769313486232E+308</v>
      </c>
      <c r="DC141" s="16" t="e">
        <f aca="false">AVERAGEIF(MatchData[team],MatchData[[#this row],[team]],MatchData[total score])</f>
        <v>#VALUE!</v>
      </c>
      <c r="DD141" s="16" t="e">
        <f aca="false">ROUND(AVERAGEIF(MatchData[team],MatchData[team],MatchData[climb or challenge flag]),2)</f>
        <v>#VALUE!</v>
      </c>
    </row>
    <row r="142" customFormat="false" ht="14.5" hidden="false" customHeight="false" outlineLevel="0" collapsed="false">
      <c r="A142" s="13" t="s">
        <v>108</v>
      </c>
      <c r="B142" s="14" t="n">
        <v>24</v>
      </c>
      <c r="C142" s="15" t="n">
        <v>2990</v>
      </c>
      <c r="D142" s="5" t="s">
        <v>109</v>
      </c>
      <c r="E142" s="5" t="s">
        <v>117</v>
      </c>
      <c r="G142" s="16"/>
      <c r="I142" s="16"/>
      <c r="J142" s="5" t="n">
        <v>1</v>
      </c>
      <c r="K142" s="16"/>
      <c r="L142" s="5" t="n">
        <v>1</v>
      </c>
      <c r="M142" s="5" t="n">
        <v>1</v>
      </c>
      <c r="N142" s="0"/>
      <c r="O142" s="0"/>
      <c r="P142" s="5" t="n">
        <v>1</v>
      </c>
      <c r="Q142" s="0"/>
      <c r="R142" s="5" t="n">
        <v>1</v>
      </c>
      <c r="S142" s="16"/>
      <c r="T142" s="0"/>
      <c r="U142" s="16"/>
      <c r="V142" s="16"/>
      <c r="W142" s="0"/>
      <c r="AB142" s="5" t="n">
        <v>1</v>
      </c>
      <c r="AD142" s="16" t="n">
        <v>1</v>
      </c>
      <c r="AE142" s="5"/>
      <c r="AF142" s="16"/>
      <c r="AG142" s="16"/>
      <c r="AH142" s="16" t="n">
        <v>1</v>
      </c>
      <c r="AJ142" s="16" t="n">
        <v>1</v>
      </c>
      <c r="AL142" s="16"/>
      <c r="AN142" s="16"/>
      <c r="AP142" s="16"/>
      <c r="AR142" s="16"/>
      <c r="AT142" s="16" t="n">
        <v>2</v>
      </c>
      <c r="AU142" s="16"/>
      <c r="AV142" s="16"/>
      <c r="AW142" s="16"/>
      <c r="AX142" s="16"/>
      <c r="AY142" s="16"/>
      <c r="AZ142" s="16"/>
      <c r="BB142" s="16"/>
      <c r="BC142" s="16" t="e">
        <f aca="false">MatchData[cheval scored crossings]*5</f>
        <v>#VALUE!</v>
      </c>
      <c r="BD142" s="16" t="e">
        <f aca="false">MatchData[moat scored crosings]*5</f>
        <v>#VALUE!</v>
      </c>
      <c r="BE142" s="16" t="e">
        <f aca="false">MatchData[ramparts scored crossings]*5</f>
        <v>#VALUE!</v>
      </c>
      <c r="BF142" s="16" t="e">
        <f aca="false">MatchData[drawbridge scored crossings]*5</f>
        <v>#VALUE!</v>
      </c>
      <c r="BG142" s="16" t="e">
        <f aca="false">MatchData[sally port scored crossings]*5</f>
        <v>#VALUE!</v>
      </c>
      <c r="BH142" s="16" t="e">
        <f aca="false">MatchData[rock wall scored crossings]*5</f>
        <v>#VALUE!</v>
      </c>
      <c r="BI142" s="16" t="e">
        <f aca="false">MatchData[rough terrain scored crossings]*5</f>
        <v>#VALUE!</v>
      </c>
      <c r="BJ142" s="16" t="e">
        <f aca="false">MatchData[low bar scored crossings]*5</f>
        <v>#VALUE!</v>
      </c>
      <c r="BK142" s="16" t="e">
        <f aca="false">SUM(MatchData[[#this row],[low bar teleop crossings]:[rough terrain scored crossings]])</f>
        <v>#VALUE!</v>
      </c>
      <c r="BL142" s="16" t="e">
        <f aca="false">IFERROR(IF(OR(MatchData[[#this row],[challenge flag]],MatchData[[#this row],[climb flag]]),1,0),0)</f>
        <v>#VALUE!</v>
      </c>
      <c r="BM142" s="16" t="e">
        <f aca="false">MatchData[auto high goals]*10+MatchData[teleop high goals]*5</f>
        <v>#VALUE!</v>
      </c>
      <c r="BN142" s="16" t="e">
        <f aca="false">MatchData[auto low goals]*5+MatchData[teleop low goals]*2</f>
        <v>#VALUE!</v>
      </c>
      <c r="BO142" s="16" t="e">
        <f aca="false">MatchData[high goal score]+MatchData[low goal score]</f>
        <v>#VALUE!</v>
      </c>
      <c r="BP142" s="16" t="e">
        <f aca="false">MatchData[teleop high goals]+MatchData[teleop low goals]</f>
        <v>#VALUE!</v>
      </c>
      <c r="BQ142" s="16" t="e">
        <f aca="false">MatchData[[#this row],[auto reach flag]]*2+SUM(MatchData[[#this row],[portcullis auto crossings]:[low bar auto crossings]])*10+MatchData[[#this row],[auto low goals]]*5+MatchData[auto high goals]*10</f>
        <v>#VALUE!</v>
      </c>
      <c r="BR142" s="16" t="e">
        <f aca="false">SUM(MatchData[[#this row],[cheval teleop crossing score]:[low bar teleop crossing score]])</f>
        <v>#VALUE!</v>
      </c>
      <c r="BS142" s="16" t="e">
        <f aca="false">SUMIF(MatchData[team],MatchData[[#this row],[team]],MatchData[total auto score])/MatchData[match count]</f>
        <v>#VALUE!</v>
      </c>
      <c r="BT142" s="16" t="e">
        <f aca="false">MatchData[challenge flag]*5</f>
        <v>#VALUE!</v>
      </c>
      <c r="BU142" s="16" t="e">
        <f aca="false">MatchData[climb flag]*15</f>
        <v>#VALUE!</v>
      </c>
      <c r="BV142" s="16" t="e">
        <f aca="false">SUM(MatchData[[#this row],[total goal score]],MatchData[[#this row],[crossing score]],MatchData[[#this row],[challenge score]],MatchData[[#this row],[climb score]],MatchData[[#this row],[total auto score]])</f>
        <v>#VALUE!</v>
      </c>
      <c r="BW142" s="16" t="e">
        <f aca="false">ROUND(SUMIF(MatchData[team],MatchData[[#this row],[team]],MatchData[teleop low goals])/COUNTIF(MatchData[team],MatchData[[#this row],[team]]),2)</f>
        <v>#VALUE!</v>
      </c>
      <c r="BX142" s="16" t="e">
        <f aca="false">ROUND(SUMIF(MatchData[team],MatchData[[#this row],[team]],MatchData[teleop high goals])/COUNTIF(MatchData[team],MatchData[[#this row],[team]]),2)</f>
        <v>#VALUE!</v>
      </c>
      <c r="BY142" s="16" t="e">
        <f aca="false">COUNTIF(MatchData[team],MatchData[[#this row],[team]])</f>
        <v>#VALUE!</v>
      </c>
      <c r="BZ142" s="16" t="e">
        <f aca="false">SUMIF(MatchData[team],MatchData[[#this row],[team]],MatchData[portcullis available])</f>
        <v>#VALUE!</v>
      </c>
      <c r="CA142" s="16" t="e">
        <f aca="false">SUMIF(MatchData[team],MatchData[[#this row],[team]],MatchData[cheval available])</f>
        <v>#VALUE!</v>
      </c>
      <c r="CB142" s="16" t="e">
        <f aca="false">SUMIF(MatchData[team],MatchData[[#this row],[team]],MatchData[moat available])</f>
        <v>#VALUE!</v>
      </c>
      <c r="CC142" s="16" t="e">
        <f aca="false">SUMIF(MatchData[team],MatchData[[#this row],[team]],MatchData[ramparts available])</f>
        <v>#VALUE!</v>
      </c>
      <c r="CD142" s="16" t="e">
        <f aca="false">SUMIF(MatchData[team],MatchData[[#this row],[team]],MatchData[drawbridge available])</f>
        <v>#VALUE!</v>
      </c>
      <c r="CE142" s="16" t="e">
        <f aca="false">SUMIF(MatchData[team],MatchData[[#this row],[team]],MatchData[sally port available])</f>
        <v>#VALUE!</v>
      </c>
      <c r="CF142" s="16" t="e">
        <f aca="false">SUMIF(MatchData[team],MatchData[[#this row],[team]],MatchData[rock wall available])</f>
        <v>#VALUE!</v>
      </c>
      <c r="CG142" s="16" t="e">
        <f aca="false">SUMIF(MatchData[team],MatchData[[#this row],[team]],MatchData[rough terrain available])</f>
        <v>#VALUE!</v>
      </c>
      <c r="CH142" s="16" t="e">
        <f aca="false">SUMIF(MatchData[team],MatchData[[#this row],[team]],MatchData[low bar available])</f>
        <v>#VALUE!</v>
      </c>
      <c r="CI142" s="16" t="e">
        <f aca="false">SUMIF(MatchData[team],MatchData[[#this row],[team]],MatchData[portcullis teleop crossings]:MatchData[portcullis scored crossings])</f>
        <v>#VALUE!</v>
      </c>
      <c r="CJ142" s="16" t="e">
        <f aca="false">SUMIF(MatchData[team],MatchData[[#this row],[team]],MatchData[cheval teleop crossings])+SUMIF(MatchData[team],MatchData[[#this row],[team]],MatchData[cheval scored crossings])</f>
        <v>#VALUE!</v>
      </c>
      <c r="CK142" s="16" t="e">
        <f aca="false">SUMIF(MatchData[team],MatchData[[#this row],[team]],MatchData[moat teleop crossings])+SUMIF(MatchData[team],MatchData[[#this row],[team]],MatchData[moat scored crosings])</f>
        <v>#VALUE!</v>
      </c>
      <c r="CL142" s="16" t="e">
        <f aca="false">SUMIF(MatchData[team],MatchData[[#this row],[team]],MatchData[ramparts teleop crossings])+SUMIF(MatchData[team],MatchData[[#this row],[team]],MatchData[ramparts scored crossings])</f>
        <v>#VALUE!</v>
      </c>
      <c r="CM142" s="16" t="e">
        <f aca="false">SUMIF(MatchData[team],MatchData[[#this row],[team]],MatchData[drawbridge teleop crossings])+SUMIF(MatchData[team],MatchData[[#this row],[team]],MatchData[drawbridge scored crossings])</f>
        <v>#VALUE!</v>
      </c>
      <c r="CN142" s="16" t="e">
        <f aca="false">SUMIF(MatchData[team],MatchData[[#this row],[team]],MatchData[sally port teleop crossings])+SUMIF(MatchData[team],MatchData[[#this row],[team]],MatchData[sally port scored crossings])</f>
        <v>#VALUE!</v>
      </c>
      <c r="CO142" s="16" t="e">
        <f aca="false">SUMIF(MatchData[team],MatchData[[#this row],[team]],MatchData[rock wall teleop crossings])+SUMIF(MatchData[team],MatchData[[#this row],[team]],MatchData[rock wall scored crossings])</f>
        <v>#VALUE!</v>
      </c>
      <c r="CP142" s="16" t="e">
        <f aca="false">SUMIF(MatchData[team],MatchData[[#this row],[team]],MatchData[rough terrain teleop crossings])+SUMIF(MatchData[team],MatchData[[#this row],[team]],MatchData[rough terrain scored crossings])</f>
        <v>#VALUE!</v>
      </c>
      <c r="CQ142" s="16" t="e">
        <f aca="false">SUMIF(MatchData[team],MatchData[[#this row],[team]],MatchData[low bar teleop crossings])+SUMIF(MatchData[team],MatchData[[#this row],[team]],MatchData[low bar scored crossings])</f>
        <v>#VALUE!</v>
      </c>
      <c r="CR142" s="16" t="e">
        <f aca="false">IFERROR(ROUND(MatchData[[#this row],[portcullis sum]]/MatchData[[#this row],[portcullis avail count]],2),0)</f>
        <v>#VALUE!</v>
      </c>
      <c r="CS142" s="16" t="e">
        <f aca="false">IFERROR(ROUND(MatchData[[#this row],[cheval sum]]/MatchData[[#this row],[cheval avail count]],2),0)</f>
        <v>#VALUE!</v>
      </c>
      <c r="CT142" s="16" t="e">
        <f aca="false">IFERROR(ROUND(MatchData[[#this row],[moat sum]]/MatchData[[#this row],[moat avail count]],2),0)</f>
        <v>#VALUE!</v>
      </c>
      <c r="CU142" s="16" t="e">
        <f aca="false">IFERROR(ROUND(MatchData[[#this row],[ramparts sum]]/MatchData[[#this row],[ramparts avail count]],2),0)</f>
        <v>#VALUE!</v>
      </c>
      <c r="CV142" s="16" t="e">
        <f aca="false">IFERROR(ROUND(MatchData[[#this row],[drawbridge sum]]/MatchData[[#this row],[drawbridge avail countigh6]],2),0)</f>
        <v>#VALUE!</v>
      </c>
      <c r="CW142" s="16" t="e">
        <f aca="false">IFERROR(ROUND(MatchData[[#this row],[sally port sum]]/MatchData[[#this row],[sally port avail count]],2),0)</f>
        <v>#VALUE!</v>
      </c>
      <c r="CX142" s="5" t="e">
        <f aca="false">IFERROR(ROUND(MatchData[[#this row],[rock wall sum]]/MatchData[[#this row],[rock wall avail count]],2),0)</f>
        <v>#VALUE!</v>
      </c>
      <c r="CY142" s="5" t="e">
        <f aca="false">IFERROR(ROUND(MatchData[[#this row],[rough terrain sum]]/MatchData[[#this row],[rough terrain avail count]],2),0)</f>
        <v>#VALUE!</v>
      </c>
      <c r="CZ142" s="5" t="e">
        <f aca="false">IFERROR(ROUND(MatchData[[#this row],[low bar sum]]/MatchData[[#this row],[low bar avail count]],2),0)</f>
        <v>#VALUE!</v>
      </c>
      <c r="DA142" s="16" t="e">
        <f aca="false">SUM(MatchData[[#this row],[cheval sum]:[low bar sum]])/MatchData[match count]</f>
        <v>#VALUE!</v>
      </c>
      <c r="DB142" s="16" t="n">
        <f aca="false">MAX(IF(C$2:C$74=C142,BP$2:BP$74))</f>
        <v>-1.79769313486232E+308</v>
      </c>
      <c r="DC142" s="16" t="e">
        <f aca="false">AVERAGEIF(MatchData[team],MatchData[[#this row],[team]],MatchData[total score])</f>
        <v>#VALUE!</v>
      </c>
      <c r="DD142" s="16" t="e">
        <f aca="false">ROUND(AVERAGEIF(MatchData[team],MatchData[team],MatchData[climb or challenge flag]),2)</f>
        <v>#VALUE!</v>
      </c>
    </row>
    <row r="143" customFormat="false" ht="14.5" hidden="false" customHeight="false" outlineLevel="0" collapsed="false">
      <c r="A143" s="13" t="s">
        <v>108</v>
      </c>
      <c r="B143" s="14" t="n">
        <v>24</v>
      </c>
      <c r="C143" s="15" t="n">
        <v>1571</v>
      </c>
      <c r="D143" s="5" t="s">
        <v>113</v>
      </c>
      <c r="E143" s="5" t="s">
        <v>150</v>
      </c>
      <c r="G143" s="16"/>
      <c r="I143" s="16" t="n">
        <v>2</v>
      </c>
      <c r="J143" s="5" t="n">
        <v>1</v>
      </c>
      <c r="K143" s="16"/>
      <c r="L143" s="5" t="n">
        <v>1</v>
      </c>
      <c r="N143" s="5" t="n">
        <v>1</v>
      </c>
      <c r="O143" s="0"/>
      <c r="P143" s="5" t="n">
        <v>1</v>
      </c>
      <c r="Q143" s="0"/>
      <c r="R143" s="5" t="n">
        <v>1</v>
      </c>
      <c r="S143" s="16"/>
      <c r="T143" s="0"/>
      <c r="U143" s="16"/>
      <c r="V143" s="16"/>
      <c r="W143" s="0"/>
      <c r="AD143" s="16"/>
      <c r="AE143" s="5"/>
      <c r="AF143" s="16"/>
      <c r="AG143" s="16"/>
      <c r="AH143" s="16"/>
      <c r="AJ143" s="16"/>
      <c r="AL143" s="16"/>
      <c r="AN143" s="16"/>
      <c r="AP143" s="16"/>
      <c r="AR143" s="16"/>
      <c r="AT143" s="16" t="n">
        <v>2</v>
      </c>
      <c r="AU143" s="16"/>
      <c r="AV143" s="16"/>
      <c r="AW143" s="16" t="n">
        <v>1</v>
      </c>
      <c r="AX143" s="16"/>
      <c r="AY143" s="16"/>
      <c r="AZ143" s="16"/>
      <c r="BB143" s="16"/>
      <c r="BC143" s="16" t="e">
        <f aca="false">MatchData[cheval scored crossings]*5</f>
        <v>#VALUE!</v>
      </c>
      <c r="BD143" s="16" t="e">
        <f aca="false">MatchData[moat scored crosings]*5</f>
        <v>#VALUE!</v>
      </c>
      <c r="BE143" s="16" t="e">
        <f aca="false">MatchData[ramparts scored crossings]*5</f>
        <v>#VALUE!</v>
      </c>
      <c r="BF143" s="16" t="e">
        <f aca="false">MatchData[drawbridge scored crossings]*5</f>
        <v>#VALUE!</v>
      </c>
      <c r="BG143" s="16" t="e">
        <f aca="false">MatchData[sally port scored crossings]*5</f>
        <v>#VALUE!</v>
      </c>
      <c r="BH143" s="16" t="e">
        <f aca="false">MatchData[rock wall scored crossings]*5</f>
        <v>#VALUE!</v>
      </c>
      <c r="BI143" s="16" t="e">
        <f aca="false">MatchData[rough terrain scored crossings]*5</f>
        <v>#VALUE!</v>
      </c>
      <c r="BJ143" s="16" t="e">
        <f aca="false">MatchData[low bar scored crossings]*5</f>
        <v>#VALUE!</v>
      </c>
      <c r="BK143" s="16" t="e">
        <f aca="false">SUM(MatchData[[#this row],[low bar teleop crossings]:[rough terrain scored crossings]])</f>
        <v>#VALUE!</v>
      </c>
      <c r="BL143" s="16" t="e">
        <f aca="false">IFERROR(IF(OR(MatchData[[#this row],[challenge flag]],MatchData[[#this row],[climb flag]]),1,0),0)</f>
        <v>#VALUE!</v>
      </c>
      <c r="BM143" s="16" t="e">
        <f aca="false">MatchData[auto high goals]*10+MatchData[teleop high goals]*5</f>
        <v>#VALUE!</v>
      </c>
      <c r="BN143" s="16" t="e">
        <f aca="false">MatchData[auto low goals]*5+MatchData[teleop low goals]*2</f>
        <v>#VALUE!</v>
      </c>
      <c r="BO143" s="16" t="e">
        <f aca="false">MatchData[high goal score]+MatchData[low goal score]</f>
        <v>#VALUE!</v>
      </c>
      <c r="BP143" s="16" t="e">
        <f aca="false">MatchData[teleop high goals]+MatchData[teleop low goals]</f>
        <v>#VALUE!</v>
      </c>
      <c r="BQ143" s="16" t="e">
        <f aca="false">MatchData[[#this row],[auto reach flag]]*2+SUM(MatchData[[#this row],[portcullis auto crossings]:[low bar auto crossings]])*10+MatchData[[#this row],[auto low goals]]*5+MatchData[auto high goals]*10</f>
        <v>#VALUE!</v>
      </c>
      <c r="BR143" s="16" t="e">
        <f aca="false">SUM(MatchData[[#this row],[cheval teleop crossing score]:[low bar teleop crossing score]])</f>
        <v>#VALUE!</v>
      </c>
      <c r="BS143" s="16" t="e">
        <f aca="false">SUMIF(MatchData[team],MatchData[[#this row],[team]],MatchData[total auto score])/MatchData[match count]</f>
        <v>#VALUE!</v>
      </c>
      <c r="BT143" s="16" t="e">
        <f aca="false">MatchData[challenge flag]*5</f>
        <v>#VALUE!</v>
      </c>
      <c r="BU143" s="16" t="e">
        <f aca="false">MatchData[climb flag]*15</f>
        <v>#VALUE!</v>
      </c>
      <c r="BV143" s="16" t="e">
        <f aca="false">SUM(MatchData[[#this row],[total goal score]],MatchData[[#this row],[crossing score]],MatchData[[#this row],[challenge score]],MatchData[[#this row],[climb score]],MatchData[[#this row],[total auto score]])</f>
        <v>#VALUE!</v>
      </c>
      <c r="BW143" s="16" t="e">
        <f aca="false">ROUND(SUMIF(MatchData[team],MatchData[[#this row],[team]],MatchData[teleop low goals])/COUNTIF(MatchData[team],MatchData[[#this row],[team]]),2)</f>
        <v>#VALUE!</v>
      </c>
      <c r="BX143" s="16" t="e">
        <f aca="false">ROUND(SUMIF(MatchData[team],MatchData[[#this row],[team]],MatchData[teleop high goals])/COUNTIF(MatchData[team],MatchData[[#this row],[team]]),2)</f>
        <v>#VALUE!</v>
      </c>
      <c r="BY143" s="16" t="e">
        <f aca="false">COUNTIF(MatchData[team],MatchData[[#this row],[team]])</f>
        <v>#VALUE!</v>
      </c>
      <c r="BZ143" s="16" t="e">
        <f aca="false">SUMIF(MatchData[team],MatchData[[#this row],[team]],MatchData[portcullis available])</f>
        <v>#VALUE!</v>
      </c>
      <c r="CA143" s="16" t="e">
        <f aca="false">SUMIF(MatchData[team],MatchData[[#this row],[team]],MatchData[cheval available])</f>
        <v>#VALUE!</v>
      </c>
      <c r="CB143" s="16" t="e">
        <f aca="false">SUMIF(MatchData[team],MatchData[[#this row],[team]],MatchData[moat available])</f>
        <v>#VALUE!</v>
      </c>
      <c r="CC143" s="16" t="e">
        <f aca="false">SUMIF(MatchData[team],MatchData[[#this row],[team]],MatchData[ramparts available])</f>
        <v>#VALUE!</v>
      </c>
      <c r="CD143" s="16" t="e">
        <f aca="false">SUMIF(MatchData[team],MatchData[[#this row],[team]],MatchData[drawbridge available])</f>
        <v>#VALUE!</v>
      </c>
      <c r="CE143" s="16" t="e">
        <f aca="false">SUMIF(MatchData[team],MatchData[[#this row],[team]],MatchData[sally port available])</f>
        <v>#VALUE!</v>
      </c>
      <c r="CF143" s="16" t="e">
        <f aca="false">SUMIF(MatchData[team],MatchData[[#this row],[team]],MatchData[rock wall available])</f>
        <v>#VALUE!</v>
      </c>
      <c r="CG143" s="16" t="e">
        <f aca="false">SUMIF(MatchData[team],MatchData[[#this row],[team]],MatchData[rough terrain available])</f>
        <v>#VALUE!</v>
      </c>
      <c r="CH143" s="16" t="e">
        <f aca="false">SUMIF(MatchData[team],MatchData[[#this row],[team]],MatchData[low bar available])</f>
        <v>#VALUE!</v>
      </c>
      <c r="CI143" s="16" t="e">
        <f aca="false">SUMIF(MatchData[team],MatchData[[#this row],[team]],MatchData[portcullis teleop crossings]:MatchData[portcullis scored crossings])</f>
        <v>#VALUE!</v>
      </c>
      <c r="CJ143" s="16" t="e">
        <f aca="false">SUMIF(MatchData[team],MatchData[[#this row],[team]],MatchData[cheval teleop crossings])+SUMIF(MatchData[team],MatchData[[#this row],[team]],MatchData[cheval scored crossings])</f>
        <v>#VALUE!</v>
      </c>
      <c r="CK143" s="16" t="e">
        <f aca="false">SUMIF(MatchData[team],MatchData[[#this row],[team]],MatchData[moat teleop crossings])+SUMIF(MatchData[team],MatchData[[#this row],[team]],MatchData[moat scored crosings])</f>
        <v>#VALUE!</v>
      </c>
      <c r="CL143" s="16" t="e">
        <f aca="false">SUMIF(MatchData[team],MatchData[[#this row],[team]],MatchData[ramparts teleop crossings])+SUMIF(MatchData[team],MatchData[[#this row],[team]],MatchData[ramparts scored crossings])</f>
        <v>#VALUE!</v>
      </c>
      <c r="CM143" s="16" t="e">
        <f aca="false">SUMIF(MatchData[team],MatchData[[#this row],[team]],MatchData[drawbridge teleop crossings])+SUMIF(MatchData[team],MatchData[[#this row],[team]],MatchData[drawbridge scored crossings])</f>
        <v>#VALUE!</v>
      </c>
      <c r="CN143" s="16" t="e">
        <f aca="false">SUMIF(MatchData[team],MatchData[[#this row],[team]],MatchData[sally port teleop crossings])+SUMIF(MatchData[team],MatchData[[#this row],[team]],MatchData[sally port scored crossings])</f>
        <v>#VALUE!</v>
      </c>
      <c r="CO143" s="16" t="e">
        <f aca="false">SUMIF(MatchData[team],MatchData[[#this row],[team]],MatchData[rock wall teleop crossings])+SUMIF(MatchData[team],MatchData[[#this row],[team]],MatchData[rock wall scored crossings])</f>
        <v>#VALUE!</v>
      </c>
      <c r="CP143" s="16" t="e">
        <f aca="false">SUMIF(MatchData[team],MatchData[[#this row],[team]],MatchData[rough terrain teleop crossings])+SUMIF(MatchData[team],MatchData[[#this row],[team]],MatchData[rough terrain scored crossings])</f>
        <v>#VALUE!</v>
      </c>
      <c r="CQ143" s="16" t="e">
        <f aca="false">SUMIF(MatchData[team],MatchData[[#this row],[team]],MatchData[low bar teleop crossings])+SUMIF(MatchData[team],MatchData[[#this row],[team]],MatchData[low bar scored crossings])</f>
        <v>#VALUE!</v>
      </c>
      <c r="CR143" s="16" t="e">
        <f aca="false">IFERROR(ROUND(MatchData[[#this row],[portcullis sum]]/MatchData[[#this row],[portcullis avail count]],2),0)</f>
        <v>#VALUE!</v>
      </c>
      <c r="CS143" s="16" t="e">
        <f aca="false">IFERROR(ROUND(MatchData[[#this row],[cheval sum]]/MatchData[[#this row],[cheval avail count]],2),0)</f>
        <v>#VALUE!</v>
      </c>
      <c r="CT143" s="16" t="e">
        <f aca="false">IFERROR(ROUND(MatchData[[#this row],[moat sum]]/MatchData[[#this row],[moat avail count]],2),0)</f>
        <v>#VALUE!</v>
      </c>
      <c r="CU143" s="16" t="e">
        <f aca="false">IFERROR(ROUND(MatchData[[#this row],[ramparts sum]]/MatchData[[#this row],[ramparts avail count]],2),0)</f>
        <v>#VALUE!</v>
      </c>
      <c r="CV143" s="16" t="e">
        <f aca="false">IFERROR(ROUND(MatchData[[#this row],[drawbridge sum]]/MatchData[[#this row],[drawbridge avail countigh6]],2),0)</f>
        <v>#VALUE!</v>
      </c>
      <c r="CW143" s="16" t="e">
        <f aca="false">IFERROR(ROUND(MatchData[[#this row],[sally port sum]]/MatchData[[#this row],[sally port avail count]],2),0)</f>
        <v>#VALUE!</v>
      </c>
      <c r="CX143" s="5" t="e">
        <f aca="false">IFERROR(ROUND(MatchData[[#this row],[rock wall sum]]/MatchData[[#this row],[rock wall avail count]],2),0)</f>
        <v>#VALUE!</v>
      </c>
      <c r="CY143" s="5" t="e">
        <f aca="false">IFERROR(ROUND(MatchData[[#this row],[rough terrain sum]]/MatchData[[#this row],[rough terrain avail count]],2),0)</f>
        <v>#VALUE!</v>
      </c>
      <c r="CZ143" s="5" t="e">
        <f aca="false">IFERROR(ROUND(MatchData[[#this row],[low bar sum]]/MatchData[[#this row],[low bar avail count]],2),0)</f>
        <v>#VALUE!</v>
      </c>
      <c r="DA143" s="16" t="e">
        <f aca="false">SUM(MatchData[[#this row],[cheval sum]:[low bar sum]])/MatchData[match count]</f>
        <v>#VALUE!</v>
      </c>
      <c r="DB143" s="16" t="n">
        <f aca="false">MAX(IF(C$2:C$74=C143,BP$2:BP$74))</f>
        <v>-1.79769313486232E+308</v>
      </c>
      <c r="DC143" s="16" t="e">
        <f aca="false">AVERAGEIF(MatchData[team],MatchData[[#this row],[team]],MatchData[total score])</f>
        <v>#VALUE!</v>
      </c>
      <c r="DD143" s="16" t="e">
        <f aca="false">ROUND(AVERAGEIF(MatchData[team],MatchData[team],MatchData[climb or challenge flag]),2)</f>
        <v>#VALUE!</v>
      </c>
    </row>
    <row r="144" customFormat="false" ht="14.5" hidden="false" customHeight="false" outlineLevel="0" collapsed="false">
      <c r="A144" s="13" t="s">
        <v>108</v>
      </c>
      <c r="B144" s="14" t="n">
        <v>24</v>
      </c>
      <c r="C144" s="15" t="n">
        <v>2374</v>
      </c>
      <c r="D144" s="5" t="s">
        <v>113</v>
      </c>
      <c r="E144" s="5" t="s">
        <v>127</v>
      </c>
      <c r="G144" s="16" t="n">
        <v>2</v>
      </c>
      <c r="I144" s="16"/>
      <c r="J144" s="5" t="n">
        <v>1</v>
      </c>
      <c r="K144" s="16"/>
      <c r="L144" s="5" t="n">
        <v>1</v>
      </c>
      <c r="N144" s="0"/>
      <c r="O144" s="0"/>
      <c r="P144" s="0"/>
      <c r="Q144" s="0"/>
      <c r="R144" s="5" t="n">
        <v>1</v>
      </c>
      <c r="S144" s="16"/>
      <c r="T144" s="0"/>
      <c r="U144" s="16"/>
      <c r="V144" s="16"/>
      <c r="W144" s="5" t="n">
        <v>1</v>
      </c>
      <c r="Y144" s="5" t="n">
        <v>1</v>
      </c>
      <c r="AD144" s="16"/>
      <c r="AE144" s="5"/>
      <c r="AF144" s="16"/>
      <c r="AG144" s="16"/>
      <c r="AH144" s="16"/>
      <c r="AJ144" s="16"/>
      <c r="AK144" s="5" t="n">
        <v>1</v>
      </c>
      <c r="AL144" s="16" t="n">
        <v>2</v>
      </c>
      <c r="AN144" s="16"/>
      <c r="AP144" s="16" t="n">
        <v>2</v>
      </c>
      <c r="AR144" s="16"/>
      <c r="AT144" s="16"/>
      <c r="AU144" s="16"/>
      <c r="AV144" s="16"/>
      <c r="AW144" s="16" t="n">
        <v>1</v>
      </c>
      <c r="AX144" s="16"/>
      <c r="AY144" s="16"/>
      <c r="AZ144" s="16"/>
      <c r="BB144" s="16" t="n">
        <v>1</v>
      </c>
      <c r="BC144" s="16" t="e">
        <f aca="false">MatchData[cheval scored crossings]*5</f>
        <v>#VALUE!</v>
      </c>
      <c r="BD144" s="16" t="e">
        <f aca="false">MatchData[moat scored crosings]*5</f>
        <v>#VALUE!</v>
      </c>
      <c r="BE144" s="16" t="e">
        <f aca="false">MatchData[ramparts scored crossings]*5</f>
        <v>#VALUE!</v>
      </c>
      <c r="BF144" s="16" t="e">
        <f aca="false">MatchData[drawbridge scored crossings]*5</f>
        <v>#VALUE!</v>
      </c>
      <c r="BG144" s="16" t="e">
        <f aca="false">MatchData[sally port scored crossings]*5</f>
        <v>#VALUE!</v>
      </c>
      <c r="BH144" s="16" t="e">
        <f aca="false">MatchData[rock wall scored crossings]*5</f>
        <v>#VALUE!</v>
      </c>
      <c r="BI144" s="16" t="e">
        <f aca="false">MatchData[rough terrain scored crossings]*5</f>
        <v>#VALUE!</v>
      </c>
      <c r="BJ144" s="16" t="e">
        <f aca="false">MatchData[low bar scored crossings]*5</f>
        <v>#VALUE!</v>
      </c>
      <c r="BK144" s="16" t="e">
        <f aca="false">SUM(MatchData[[#this row],[low bar teleop crossings]:[rough terrain scored crossings]])</f>
        <v>#VALUE!</v>
      </c>
      <c r="BL144" s="16" t="e">
        <f aca="false">IFERROR(IF(OR(MatchData[[#this row],[challenge flag]],MatchData[[#this row],[climb flag]]),1,0),0)</f>
        <v>#VALUE!</v>
      </c>
      <c r="BM144" s="16" t="e">
        <f aca="false">MatchData[auto high goals]*10+MatchData[teleop high goals]*5</f>
        <v>#VALUE!</v>
      </c>
      <c r="BN144" s="16" t="e">
        <f aca="false">MatchData[auto low goals]*5+MatchData[teleop low goals]*2</f>
        <v>#VALUE!</v>
      </c>
      <c r="BO144" s="16" t="e">
        <f aca="false">MatchData[high goal score]+MatchData[low goal score]</f>
        <v>#VALUE!</v>
      </c>
      <c r="BP144" s="16" t="e">
        <f aca="false">MatchData[teleop high goals]+MatchData[teleop low goals]</f>
        <v>#VALUE!</v>
      </c>
      <c r="BQ144" s="16" t="e">
        <f aca="false">MatchData[[#this row],[auto reach flag]]*2+SUM(MatchData[[#this row],[portcullis auto crossings]:[low bar auto crossings]])*10+MatchData[[#this row],[auto low goals]]*5+MatchData[auto high goals]*10</f>
        <v>#VALUE!</v>
      </c>
      <c r="BR144" s="16" t="e">
        <f aca="false">SUM(MatchData[[#this row],[cheval teleop crossing score]:[low bar teleop crossing score]])</f>
        <v>#VALUE!</v>
      </c>
      <c r="BS144" s="16" t="e">
        <f aca="false">SUMIF(MatchData[team],MatchData[[#this row],[team]],MatchData[total auto score])/MatchData[match count]</f>
        <v>#VALUE!</v>
      </c>
      <c r="BT144" s="16" t="e">
        <f aca="false">MatchData[challenge flag]*5</f>
        <v>#VALUE!</v>
      </c>
      <c r="BU144" s="16" t="e">
        <f aca="false">MatchData[climb flag]*15</f>
        <v>#VALUE!</v>
      </c>
      <c r="BV144" s="16" t="e">
        <f aca="false">SUM(MatchData[[#this row],[total goal score]],MatchData[[#this row],[crossing score]],MatchData[[#this row],[challenge score]],MatchData[[#this row],[climb score]],MatchData[[#this row],[total auto score]])</f>
        <v>#VALUE!</v>
      </c>
      <c r="BW144" s="16" t="e">
        <f aca="false">ROUND(SUMIF(MatchData[team],MatchData[[#this row],[team]],MatchData[teleop low goals])/COUNTIF(MatchData[team],MatchData[[#this row],[team]]),2)</f>
        <v>#VALUE!</v>
      </c>
      <c r="BX144" s="16" t="e">
        <f aca="false">ROUND(SUMIF(MatchData[team],MatchData[[#this row],[team]],MatchData[teleop high goals])/COUNTIF(MatchData[team],MatchData[[#this row],[team]]),2)</f>
        <v>#VALUE!</v>
      </c>
      <c r="BY144" s="16" t="e">
        <f aca="false">COUNTIF(MatchData[team],MatchData[[#this row],[team]])</f>
        <v>#VALUE!</v>
      </c>
      <c r="BZ144" s="16" t="e">
        <f aca="false">SUMIF(MatchData[team],MatchData[[#this row],[team]],MatchData[portcullis available])</f>
        <v>#VALUE!</v>
      </c>
      <c r="CA144" s="16" t="e">
        <f aca="false">SUMIF(MatchData[team],MatchData[[#this row],[team]],MatchData[cheval available])</f>
        <v>#VALUE!</v>
      </c>
      <c r="CB144" s="16" t="e">
        <f aca="false">SUMIF(MatchData[team],MatchData[[#this row],[team]],MatchData[moat available])</f>
        <v>#VALUE!</v>
      </c>
      <c r="CC144" s="16" t="e">
        <f aca="false">SUMIF(MatchData[team],MatchData[[#this row],[team]],MatchData[ramparts available])</f>
        <v>#VALUE!</v>
      </c>
      <c r="CD144" s="16" t="e">
        <f aca="false">SUMIF(MatchData[team],MatchData[[#this row],[team]],MatchData[drawbridge available])</f>
        <v>#VALUE!</v>
      </c>
      <c r="CE144" s="16" t="e">
        <f aca="false">SUMIF(MatchData[team],MatchData[[#this row],[team]],MatchData[sally port available])</f>
        <v>#VALUE!</v>
      </c>
      <c r="CF144" s="16" t="e">
        <f aca="false">SUMIF(MatchData[team],MatchData[[#this row],[team]],MatchData[rock wall available])</f>
        <v>#VALUE!</v>
      </c>
      <c r="CG144" s="16" t="e">
        <f aca="false">SUMIF(MatchData[team],MatchData[[#this row],[team]],MatchData[rough terrain available])</f>
        <v>#VALUE!</v>
      </c>
      <c r="CH144" s="16" t="e">
        <f aca="false">SUMIF(MatchData[team],MatchData[[#this row],[team]],MatchData[low bar available])</f>
        <v>#VALUE!</v>
      </c>
      <c r="CI144" s="16" t="e">
        <f aca="false">SUMIF(MatchData[team],MatchData[[#this row],[team]],MatchData[portcullis teleop crossings]:MatchData[portcullis scored crossings])</f>
        <v>#VALUE!</v>
      </c>
      <c r="CJ144" s="16" t="e">
        <f aca="false">SUMIF(MatchData[team],MatchData[[#this row],[team]],MatchData[cheval teleop crossings])+SUMIF(MatchData[team],MatchData[[#this row],[team]],MatchData[cheval scored crossings])</f>
        <v>#VALUE!</v>
      </c>
      <c r="CK144" s="16" t="e">
        <f aca="false">SUMIF(MatchData[team],MatchData[[#this row],[team]],MatchData[moat teleop crossings])+SUMIF(MatchData[team],MatchData[[#this row],[team]],MatchData[moat scored crosings])</f>
        <v>#VALUE!</v>
      </c>
      <c r="CL144" s="16" t="e">
        <f aca="false">SUMIF(MatchData[team],MatchData[[#this row],[team]],MatchData[ramparts teleop crossings])+SUMIF(MatchData[team],MatchData[[#this row],[team]],MatchData[ramparts scored crossings])</f>
        <v>#VALUE!</v>
      </c>
      <c r="CM144" s="16" t="e">
        <f aca="false">SUMIF(MatchData[team],MatchData[[#this row],[team]],MatchData[drawbridge teleop crossings])+SUMIF(MatchData[team],MatchData[[#this row],[team]],MatchData[drawbridge scored crossings])</f>
        <v>#VALUE!</v>
      </c>
      <c r="CN144" s="16" t="e">
        <f aca="false">SUMIF(MatchData[team],MatchData[[#this row],[team]],MatchData[sally port teleop crossings])+SUMIF(MatchData[team],MatchData[[#this row],[team]],MatchData[sally port scored crossings])</f>
        <v>#VALUE!</v>
      </c>
      <c r="CO144" s="16" t="e">
        <f aca="false">SUMIF(MatchData[team],MatchData[[#this row],[team]],MatchData[rock wall teleop crossings])+SUMIF(MatchData[team],MatchData[[#this row],[team]],MatchData[rock wall scored crossings])</f>
        <v>#VALUE!</v>
      </c>
      <c r="CP144" s="16" t="e">
        <f aca="false">SUMIF(MatchData[team],MatchData[[#this row],[team]],MatchData[rough terrain teleop crossings])+SUMIF(MatchData[team],MatchData[[#this row],[team]],MatchData[rough terrain scored crossings])</f>
        <v>#VALUE!</v>
      </c>
      <c r="CQ144" s="16" t="e">
        <f aca="false">SUMIF(MatchData[team],MatchData[[#this row],[team]],MatchData[low bar teleop crossings])+SUMIF(MatchData[team],MatchData[[#this row],[team]],MatchData[low bar scored crossings])</f>
        <v>#VALUE!</v>
      </c>
      <c r="CR144" s="16" t="e">
        <f aca="false">IFERROR(ROUND(MatchData[[#this row],[portcullis sum]]/MatchData[[#this row],[portcullis avail count]],2),0)</f>
        <v>#VALUE!</v>
      </c>
      <c r="CS144" s="16" t="e">
        <f aca="false">IFERROR(ROUND(MatchData[[#this row],[cheval sum]]/MatchData[[#this row],[cheval avail count]],2),0)</f>
        <v>#VALUE!</v>
      </c>
      <c r="CT144" s="16" t="e">
        <f aca="false">IFERROR(ROUND(MatchData[[#this row],[moat sum]]/MatchData[[#this row],[moat avail count]],2),0)</f>
        <v>#VALUE!</v>
      </c>
      <c r="CU144" s="16" t="e">
        <f aca="false">IFERROR(ROUND(MatchData[[#this row],[ramparts sum]]/MatchData[[#this row],[ramparts avail count]],2),0)</f>
        <v>#VALUE!</v>
      </c>
      <c r="CV144" s="16" t="e">
        <f aca="false">IFERROR(ROUND(MatchData[[#this row],[drawbridge sum]]/MatchData[[#this row],[drawbridge avail countigh6]],2),0)</f>
        <v>#VALUE!</v>
      </c>
      <c r="CW144" s="16" t="e">
        <f aca="false">IFERROR(ROUND(MatchData[[#this row],[sally port sum]]/MatchData[[#this row],[sally port avail count]],2),0)</f>
        <v>#VALUE!</v>
      </c>
      <c r="CX144" s="5" t="e">
        <f aca="false">IFERROR(ROUND(MatchData[[#this row],[rock wall sum]]/MatchData[[#this row],[rock wall avail count]],2),0)</f>
        <v>#VALUE!</v>
      </c>
      <c r="CY144" s="5" t="e">
        <f aca="false">IFERROR(ROUND(MatchData[[#this row],[rough terrain sum]]/MatchData[[#this row],[rough terrain avail count]],2),0)</f>
        <v>#VALUE!</v>
      </c>
      <c r="CZ144" s="5" t="e">
        <f aca="false">IFERROR(ROUND(MatchData[[#this row],[low bar sum]]/MatchData[[#this row],[low bar avail count]],2),0)</f>
        <v>#VALUE!</v>
      </c>
      <c r="DA144" s="16" t="e">
        <f aca="false">SUM(MatchData[[#this row],[cheval sum]:[low bar sum]])/MatchData[match count]</f>
        <v>#VALUE!</v>
      </c>
      <c r="DB144" s="16" t="n">
        <f aca="false">MAX(IF(C$2:C$74=C144,BP$2:BP$74))</f>
        <v>-1.79769313486232E+308</v>
      </c>
      <c r="DC144" s="16" t="e">
        <f aca="false">AVERAGEIF(MatchData[team],MatchData[[#this row],[team]],MatchData[total score])</f>
        <v>#VALUE!</v>
      </c>
      <c r="DD144" s="16" t="e">
        <f aca="false">ROUND(AVERAGEIF(MatchData[team],MatchData[team],MatchData[climb or challenge flag]),2)</f>
        <v>#VALUE!</v>
      </c>
    </row>
    <row r="145" customFormat="false" ht="14.5" hidden="false" customHeight="false" outlineLevel="0" collapsed="false">
      <c r="A145" s="17" t="s">
        <v>108</v>
      </c>
      <c r="B145" s="18" t="n">
        <v>24</v>
      </c>
      <c r="C145" s="15" t="n">
        <v>4488</v>
      </c>
      <c r="D145" s="5" t="s">
        <v>113</v>
      </c>
      <c r="E145" s="5" t="s">
        <v>125</v>
      </c>
      <c r="G145" s="16" t="n">
        <v>4</v>
      </c>
      <c r="I145" s="16"/>
      <c r="J145" s="5" t="n">
        <v>1</v>
      </c>
      <c r="K145" s="16"/>
      <c r="L145" s="5" t="n">
        <v>1</v>
      </c>
      <c r="N145" s="5" t="n">
        <v>1</v>
      </c>
      <c r="O145" s="0"/>
      <c r="P145" s="5" t="n">
        <v>1</v>
      </c>
      <c r="Q145" s="0"/>
      <c r="R145" s="5" t="n">
        <v>1</v>
      </c>
      <c r="S145" s="16"/>
      <c r="T145" s="0"/>
      <c r="U145" s="16" t="n">
        <v>1</v>
      </c>
      <c r="V145" s="16"/>
      <c r="W145" s="0"/>
      <c r="AD145" s="16" t="n">
        <v>2</v>
      </c>
      <c r="AE145" s="5"/>
      <c r="AF145" s="16"/>
      <c r="AG145" s="16"/>
      <c r="AH145" s="16" t="n">
        <v>1</v>
      </c>
      <c r="AJ145" s="16"/>
      <c r="AL145" s="16"/>
      <c r="AN145" s="16"/>
      <c r="AP145" s="16"/>
      <c r="AR145" s="16"/>
      <c r="AT145" s="16"/>
      <c r="AU145" s="16"/>
      <c r="AV145" s="16"/>
      <c r="AW145" s="16" t="n">
        <v>1</v>
      </c>
      <c r="AX145" s="16"/>
      <c r="AY145" s="16"/>
      <c r="AZ145" s="16"/>
      <c r="BB145" s="16" t="n">
        <v>1</v>
      </c>
      <c r="BC145" s="16" t="e">
        <f aca="false">MatchData[cheval scored crossings]*5</f>
        <v>#VALUE!</v>
      </c>
      <c r="BD145" s="16" t="e">
        <f aca="false">MatchData[moat scored crosings]*5</f>
        <v>#VALUE!</v>
      </c>
      <c r="BE145" s="16" t="e">
        <f aca="false">MatchData[ramparts scored crossings]*5</f>
        <v>#VALUE!</v>
      </c>
      <c r="BF145" s="16" t="e">
        <f aca="false">MatchData[drawbridge scored crossings]*5</f>
        <v>#VALUE!</v>
      </c>
      <c r="BG145" s="16" t="e">
        <f aca="false">MatchData[sally port scored crossings]*5</f>
        <v>#VALUE!</v>
      </c>
      <c r="BH145" s="16" t="e">
        <f aca="false">MatchData[rock wall scored crossings]*5</f>
        <v>#VALUE!</v>
      </c>
      <c r="BI145" s="16" t="e">
        <f aca="false">MatchData[rough terrain scored crossings]*5</f>
        <v>#VALUE!</v>
      </c>
      <c r="BJ145" s="16" t="e">
        <f aca="false">MatchData[low bar scored crossings]*5</f>
        <v>#VALUE!</v>
      </c>
      <c r="BK145" s="16" t="e">
        <f aca="false">SUM(MatchData[[#this row],[low bar teleop crossings]:[rough terrain scored crossings]])</f>
        <v>#VALUE!</v>
      </c>
      <c r="BL145" s="16" t="e">
        <f aca="false">IFERROR(IF(OR(MatchData[[#this row],[challenge flag]],MatchData[[#this row],[climb flag]]),1,0),0)</f>
        <v>#VALUE!</v>
      </c>
      <c r="BM145" s="16" t="e">
        <f aca="false">MatchData[auto high goals]*10+MatchData[teleop high goals]*5</f>
        <v>#VALUE!</v>
      </c>
      <c r="BN145" s="16" t="e">
        <f aca="false">MatchData[auto low goals]*5+MatchData[teleop low goals]*2</f>
        <v>#VALUE!</v>
      </c>
      <c r="BO145" s="16" t="e">
        <f aca="false">MatchData[high goal score]+MatchData[low goal score]</f>
        <v>#VALUE!</v>
      </c>
      <c r="BP145" s="16" t="e">
        <f aca="false">MatchData[teleop high goals]+MatchData[teleop low goals]</f>
        <v>#VALUE!</v>
      </c>
      <c r="BQ145" s="16" t="e">
        <f aca="false">MatchData[[#this row],[auto reach flag]]*2+SUM(MatchData[[#this row],[portcullis auto crossings]:[low bar auto crossings]])*10+MatchData[[#this row],[auto low goals]]*5+MatchData[auto high goals]*10</f>
        <v>#VALUE!</v>
      </c>
      <c r="BR145" s="16" t="e">
        <f aca="false">SUM(MatchData[[#this row],[cheval teleop crossing score]:[low bar teleop crossing score]])</f>
        <v>#VALUE!</v>
      </c>
      <c r="BS145" s="16" t="e">
        <f aca="false">SUMIF(MatchData[team],MatchData[[#this row],[team]],MatchData[total auto score])/MatchData[match count]</f>
        <v>#VALUE!</v>
      </c>
      <c r="BT145" s="16" t="e">
        <f aca="false">MatchData[challenge flag]*5</f>
        <v>#VALUE!</v>
      </c>
      <c r="BU145" s="16" t="e">
        <f aca="false">MatchData[climb flag]*15</f>
        <v>#VALUE!</v>
      </c>
      <c r="BV145" s="16" t="e">
        <f aca="false">SUM(MatchData[[#this row],[total goal score]],MatchData[[#this row],[crossing score]],MatchData[[#this row],[challenge score]],MatchData[[#this row],[climb score]],MatchData[[#this row],[total auto score]])</f>
        <v>#VALUE!</v>
      </c>
      <c r="BW145" s="16" t="e">
        <f aca="false">ROUND(SUMIF(MatchData[team],MatchData[[#this row],[team]],MatchData[teleop low goals])/COUNTIF(MatchData[team],MatchData[[#this row],[team]]),2)</f>
        <v>#VALUE!</v>
      </c>
      <c r="BX145" s="16" t="e">
        <f aca="false">ROUND(SUMIF(MatchData[team],MatchData[[#this row],[team]],MatchData[teleop high goals])/COUNTIF(MatchData[team],MatchData[[#this row],[team]]),2)</f>
        <v>#VALUE!</v>
      </c>
      <c r="BY145" s="16" t="e">
        <f aca="false">COUNTIF(MatchData[team],MatchData[[#this row],[team]])</f>
        <v>#VALUE!</v>
      </c>
      <c r="BZ145" s="16" t="e">
        <f aca="false">SUMIF(MatchData[team],MatchData[[#this row],[team]],MatchData[portcullis available])</f>
        <v>#VALUE!</v>
      </c>
      <c r="CA145" s="16" t="e">
        <f aca="false">SUMIF(MatchData[team],MatchData[[#this row],[team]],MatchData[cheval available])</f>
        <v>#VALUE!</v>
      </c>
      <c r="CB145" s="16" t="e">
        <f aca="false">SUMIF(MatchData[team],MatchData[[#this row],[team]],MatchData[moat available])</f>
        <v>#VALUE!</v>
      </c>
      <c r="CC145" s="16" t="e">
        <f aca="false">SUMIF(MatchData[team],MatchData[[#this row],[team]],MatchData[ramparts available])</f>
        <v>#VALUE!</v>
      </c>
      <c r="CD145" s="16" t="e">
        <f aca="false">SUMIF(MatchData[team],MatchData[[#this row],[team]],MatchData[drawbridge available])</f>
        <v>#VALUE!</v>
      </c>
      <c r="CE145" s="16" t="e">
        <f aca="false">SUMIF(MatchData[team],MatchData[[#this row],[team]],MatchData[sally port available])</f>
        <v>#VALUE!</v>
      </c>
      <c r="CF145" s="16" t="e">
        <f aca="false">SUMIF(MatchData[team],MatchData[[#this row],[team]],MatchData[rock wall available])</f>
        <v>#VALUE!</v>
      </c>
      <c r="CG145" s="16" t="e">
        <f aca="false">SUMIF(MatchData[team],MatchData[[#this row],[team]],MatchData[rough terrain available])</f>
        <v>#VALUE!</v>
      </c>
      <c r="CH145" s="16" t="e">
        <f aca="false">SUMIF(MatchData[team],MatchData[[#this row],[team]],MatchData[low bar available])</f>
        <v>#VALUE!</v>
      </c>
      <c r="CI145" s="16" t="e">
        <f aca="false">SUMIF(MatchData[team],MatchData[[#this row],[team]],MatchData[portcullis teleop crossings]:MatchData[portcullis scored crossings])</f>
        <v>#VALUE!</v>
      </c>
      <c r="CJ145" s="16" t="e">
        <f aca="false">SUMIF(MatchData[team],MatchData[[#this row],[team]],MatchData[cheval teleop crossings])+SUMIF(MatchData[team],MatchData[[#this row],[team]],MatchData[cheval scored crossings])</f>
        <v>#VALUE!</v>
      </c>
      <c r="CK145" s="16" t="e">
        <f aca="false">SUMIF(MatchData[team],MatchData[[#this row],[team]],MatchData[moat teleop crossings])+SUMIF(MatchData[team],MatchData[[#this row],[team]],MatchData[moat scored crosings])</f>
        <v>#VALUE!</v>
      </c>
      <c r="CL145" s="16" t="e">
        <f aca="false">SUMIF(MatchData[team],MatchData[[#this row],[team]],MatchData[ramparts teleop crossings])+SUMIF(MatchData[team],MatchData[[#this row],[team]],MatchData[ramparts scored crossings])</f>
        <v>#VALUE!</v>
      </c>
      <c r="CM145" s="16" t="e">
        <f aca="false">SUMIF(MatchData[team],MatchData[[#this row],[team]],MatchData[drawbridge teleop crossings])+SUMIF(MatchData[team],MatchData[[#this row],[team]],MatchData[drawbridge scored crossings])</f>
        <v>#VALUE!</v>
      </c>
      <c r="CN145" s="16" t="e">
        <f aca="false">SUMIF(MatchData[team],MatchData[[#this row],[team]],MatchData[sally port teleop crossings])+SUMIF(MatchData[team],MatchData[[#this row],[team]],MatchData[sally port scored crossings])</f>
        <v>#VALUE!</v>
      </c>
      <c r="CO145" s="16" t="e">
        <f aca="false">SUMIF(MatchData[team],MatchData[[#this row],[team]],MatchData[rock wall teleop crossings])+SUMIF(MatchData[team],MatchData[[#this row],[team]],MatchData[rock wall scored crossings])</f>
        <v>#VALUE!</v>
      </c>
      <c r="CP145" s="16" t="e">
        <f aca="false">SUMIF(MatchData[team],MatchData[[#this row],[team]],MatchData[rough terrain teleop crossings])+SUMIF(MatchData[team],MatchData[[#this row],[team]],MatchData[rough terrain scored crossings])</f>
        <v>#VALUE!</v>
      </c>
      <c r="CQ145" s="16" t="e">
        <f aca="false">SUMIF(MatchData[team],MatchData[[#this row],[team]],MatchData[low bar teleop crossings])+SUMIF(MatchData[team],MatchData[[#this row],[team]],MatchData[low bar scored crossings])</f>
        <v>#VALUE!</v>
      </c>
      <c r="CR145" s="16" t="e">
        <f aca="false">IFERROR(ROUND(MatchData[[#this row],[portcullis sum]]/MatchData[[#this row],[portcullis avail count]],2),0)</f>
        <v>#VALUE!</v>
      </c>
      <c r="CS145" s="16" t="e">
        <f aca="false">IFERROR(ROUND(MatchData[[#this row],[cheval sum]]/MatchData[[#this row],[cheval avail count]],2),0)</f>
        <v>#VALUE!</v>
      </c>
      <c r="CT145" s="16" t="e">
        <f aca="false">IFERROR(ROUND(MatchData[[#this row],[moat sum]]/MatchData[[#this row],[moat avail count]],2),0)</f>
        <v>#VALUE!</v>
      </c>
      <c r="CU145" s="16" t="e">
        <f aca="false">IFERROR(ROUND(MatchData[[#this row],[ramparts sum]]/MatchData[[#this row],[ramparts avail count]],2),0)</f>
        <v>#VALUE!</v>
      </c>
      <c r="CV145" s="16" t="e">
        <f aca="false">IFERROR(ROUND(MatchData[[#this row],[drawbridge sum]]/MatchData[[#this row],[drawbridge avail countigh6]],2),0)</f>
        <v>#VALUE!</v>
      </c>
      <c r="CW145" s="16" t="e">
        <f aca="false">IFERROR(ROUND(MatchData[[#this row],[sally port sum]]/MatchData[[#this row],[sally port avail count]],2),0)</f>
        <v>#VALUE!</v>
      </c>
      <c r="CX145" s="5" t="e">
        <f aca="false">IFERROR(ROUND(MatchData[[#this row],[rock wall sum]]/MatchData[[#this row],[rock wall avail count]],2),0)</f>
        <v>#VALUE!</v>
      </c>
      <c r="CY145" s="5" t="e">
        <f aca="false">IFERROR(ROUND(MatchData[[#this row],[rough terrain sum]]/MatchData[[#this row],[rough terrain avail count]],2),0)</f>
        <v>#VALUE!</v>
      </c>
      <c r="CZ145" s="5" t="e">
        <f aca="false">IFERROR(ROUND(MatchData[[#this row],[low bar sum]]/MatchData[[#this row],[low bar avail count]],2),0)</f>
        <v>#VALUE!</v>
      </c>
      <c r="DA145" s="16" t="e">
        <f aca="false">SUM(MatchData[[#this row],[cheval sum]:[low bar sum]])/MatchData[match count]</f>
        <v>#VALUE!</v>
      </c>
      <c r="DB145" s="16" t="n">
        <f aca="false">MAX(IF(C$2:C$74=C145,BP$2:BP$74))</f>
        <v>-1.79769313486232E+308</v>
      </c>
      <c r="DC145" s="16" t="e">
        <f aca="false">AVERAGEIF(MatchData[team],MatchData[[#this row],[team]],MatchData[total score])</f>
        <v>#VALUE!</v>
      </c>
      <c r="DD145" s="16" t="e">
        <f aca="false">ROUND(AVERAGEIF(MatchData[team],MatchData[team],MatchData[climb or challenge flag]),2)</f>
        <v>#VALUE!</v>
      </c>
    </row>
    <row r="146" customFormat="false" ht="14.5" hidden="false" customHeight="false" outlineLevel="0" collapsed="false">
      <c r="A146" s="13" t="s">
        <v>108</v>
      </c>
      <c r="B146" s="14" t="n">
        <v>25</v>
      </c>
      <c r="C146" s="15" t="n">
        <v>847</v>
      </c>
      <c r="D146" s="5" t="s">
        <v>109</v>
      </c>
      <c r="E146" s="5" t="s">
        <v>151</v>
      </c>
      <c r="G146" s="16" t="n">
        <v>1</v>
      </c>
      <c r="I146" s="16"/>
      <c r="J146" s="5" t="n">
        <v>1</v>
      </c>
      <c r="K146" s="16"/>
      <c r="L146" s="5" t="n">
        <v>1</v>
      </c>
      <c r="M146" s="5" t="n">
        <v>1</v>
      </c>
      <c r="N146" s="0"/>
      <c r="O146" s="0"/>
      <c r="P146" s="5" t="n">
        <v>1</v>
      </c>
      <c r="Q146" s="0"/>
      <c r="R146" s="5" t="n">
        <v>1</v>
      </c>
      <c r="S146" s="16"/>
      <c r="T146" s="0"/>
      <c r="U146" s="16"/>
      <c r="V146" s="16"/>
      <c r="W146" s="0"/>
      <c r="AD146" s="16"/>
      <c r="AE146" s="5"/>
      <c r="AF146" s="16"/>
      <c r="AG146" s="16"/>
      <c r="AH146" s="16"/>
      <c r="AJ146" s="16"/>
      <c r="AL146" s="16"/>
      <c r="AN146" s="16"/>
      <c r="AP146" s="16"/>
      <c r="AR146" s="16"/>
      <c r="AT146" s="16" t="n">
        <v>2</v>
      </c>
      <c r="AU146" s="16"/>
      <c r="AV146" s="16"/>
      <c r="AW146" s="16"/>
      <c r="AX146" s="16"/>
      <c r="AY146" s="16"/>
      <c r="AZ146" s="16"/>
      <c r="BB146" s="16" t="n">
        <v>1</v>
      </c>
      <c r="BC146" s="16" t="e">
        <f aca="false">MatchData[cheval scored crossings]*5</f>
        <v>#VALUE!</v>
      </c>
      <c r="BD146" s="16" t="e">
        <f aca="false">MatchData[moat scored crosings]*5</f>
        <v>#VALUE!</v>
      </c>
      <c r="BE146" s="16" t="e">
        <f aca="false">MatchData[ramparts scored crossings]*5</f>
        <v>#VALUE!</v>
      </c>
      <c r="BF146" s="16" t="e">
        <f aca="false">MatchData[drawbridge scored crossings]*5</f>
        <v>#VALUE!</v>
      </c>
      <c r="BG146" s="16" t="e">
        <f aca="false">MatchData[sally port scored crossings]*5</f>
        <v>#VALUE!</v>
      </c>
      <c r="BH146" s="16" t="e">
        <f aca="false">MatchData[rock wall scored crossings]*5</f>
        <v>#VALUE!</v>
      </c>
      <c r="BI146" s="16" t="e">
        <f aca="false">MatchData[rough terrain scored crossings]*5</f>
        <v>#VALUE!</v>
      </c>
      <c r="BJ146" s="16" t="e">
        <f aca="false">MatchData[low bar scored crossings]*5</f>
        <v>#VALUE!</v>
      </c>
      <c r="BK146" s="16" t="e">
        <f aca="false">SUM(MatchData[[#this row],[low bar teleop crossings]:[rough terrain scored crossings]])</f>
        <v>#VALUE!</v>
      </c>
      <c r="BL146" s="16" t="e">
        <f aca="false">IFERROR(IF(OR(MatchData[[#this row],[challenge flag]],MatchData[[#this row],[climb flag]]),1,0),0)</f>
        <v>#VALUE!</v>
      </c>
      <c r="BM146" s="16" t="e">
        <f aca="false">MatchData[auto high goals]*10+MatchData[teleop high goals]*5</f>
        <v>#VALUE!</v>
      </c>
      <c r="BN146" s="16" t="e">
        <f aca="false">MatchData[auto low goals]*5+MatchData[teleop low goals]*2</f>
        <v>#VALUE!</v>
      </c>
      <c r="BO146" s="16" t="e">
        <f aca="false">MatchData[high goal score]+MatchData[low goal score]</f>
        <v>#VALUE!</v>
      </c>
      <c r="BP146" s="16" t="e">
        <f aca="false">MatchData[teleop high goals]+MatchData[teleop low goals]</f>
        <v>#VALUE!</v>
      </c>
      <c r="BQ146" s="16" t="e">
        <f aca="false">MatchData[[#this row],[auto reach flag]]*2+SUM(MatchData[[#this row],[portcullis auto crossings]:[low bar auto crossings]])*10+MatchData[[#this row],[auto low goals]]*5+MatchData[auto high goals]*10</f>
        <v>#VALUE!</v>
      </c>
      <c r="BR146" s="16" t="e">
        <f aca="false">SUM(MatchData[[#this row],[cheval teleop crossing score]:[low bar teleop crossing score]])</f>
        <v>#VALUE!</v>
      </c>
      <c r="BS146" s="16" t="e">
        <f aca="false">SUMIF(MatchData[team],MatchData[[#this row],[team]],MatchData[total auto score])/MatchData[match count]</f>
        <v>#VALUE!</v>
      </c>
      <c r="BT146" s="16" t="e">
        <f aca="false">MatchData[challenge flag]*5</f>
        <v>#VALUE!</v>
      </c>
      <c r="BU146" s="16" t="e">
        <f aca="false">MatchData[climb flag]*15</f>
        <v>#VALUE!</v>
      </c>
      <c r="BV146" s="16" t="e">
        <f aca="false">SUM(MatchData[[#this row],[total goal score]],MatchData[[#this row],[crossing score]],MatchData[[#this row],[challenge score]],MatchData[[#this row],[climb score]],MatchData[[#this row],[total auto score]])</f>
        <v>#VALUE!</v>
      </c>
      <c r="BW146" s="16" t="e">
        <f aca="false">ROUND(SUMIF(MatchData[team],MatchData[[#this row],[team]],MatchData[teleop low goals])/COUNTIF(MatchData[team],MatchData[[#this row],[team]]),2)</f>
        <v>#VALUE!</v>
      </c>
      <c r="BX146" s="16" t="e">
        <f aca="false">ROUND(SUMIF(MatchData[team],MatchData[[#this row],[team]],MatchData[teleop high goals])/COUNTIF(MatchData[team],MatchData[[#this row],[team]]),2)</f>
        <v>#VALUE!</v>
      </c>
      <c r="BY146" s="16" t="e">
        <f aca="false">COUNTIF(MatchData[team],MatchData[[#this row],[team]])</f>
        <v>#VALUE!</v>
      </c>
      <c r="BZ146" s="16" t="e">
        <f aca="false">SUMIF(MatchData[team],MatchData[[#this row],[team]],MatchData[portcullis available])</f>
        <v>#VALUE!</v>
      </c>
      <c r="CA146" s="16" t="e">
        <f aca="false">SUMIF(MatchData[team],MatchData[[#this row],[team]],MatchData[cheval available])</f>
        <v>#VALUE!</v>
      </c>
      <c r="CB146" s="16" t="e">
        <f aca="false">SUMIF(MatchData[team],MatchData[[#this row],[team]],MatchData[moat available])</f>
        <v>#VALUE!</v>
      </c>
      <c r="CC146" s="16" t="e">
        <f aca="false">SUMIF(MatchData[team],MatchData[[#this row],[team]],MatchData[ramparts available])</f>
        <v>#VALUE!</v>
      </c>
      <c r="CD146" s="16" t="e">
        <f aca="false">SUMIF(MatchData[team],MatchData[[#this row],[team]],MatchData[drawbridge available])</f>
        <v>#VALUE!</v>
      </c>
      <c r="CE146" s="16" t="e">
        <f aca="false">SUMIF(MatchData[team],MatchData[[#this row],[team]],MatchData[sally port available])</f>
        <v>#VALUE!</v>
      </c>
      <c r="CF146" s="16" t="e">
        <f aca="false">SUMIF(MatchData[team],MatchData[[#this row],[team]],MatchData[rock wall available])</f>
        <v>#VALUE!</v>
      </c>
      <c r="CG146" s="16" t="e">
        <f aca="false">SUMIF(MatchData[team],MatchData[[#this row],[team]],MatchData[rough terrain available])</f>
        <v>#VALUE!</v>
      </c>
      <c r="CH146" s="16" t="e">
        <f aca="false">SUMIF(MatchData[team],MatchData[[#this row],[team]],MatchData[low bar available])</f>
        <v>#VALUE!</v>
      </c>
      <c r="CI146" s="16" t="e">
        <f aca="false">SUMIF(MatchData[team],MatchData[[#this row],[team]],MatchData[portcullis teleop crossings]:MatchData[portcullis scored crossings])</f>
        <v>#VALUE!</v>
      </c>
      <c r="CJ146" s="16" t="e">
        <f aca="false">SUMIF(MatchData[team],MatchData[[#this row],[team]],MatchData[cheval teleop crossings])+SUMIF(MatchData[team],MatchData[[#this row],[team]],MatchData[cheval scored crossings])</f>
        <v>#VALUE!</v>
      </c>
      <c r="CK146" s="16" t="e">
        <f aca="false">SUMIF(MatchData[team],MatchData[[#this row],[team]],MatchData[moat teleop crossings])+SUMIF(MatchData[team],MatchData[[#this row],[team]],MatchData[moat scored crosings])</f>
        <v>#VALUE!</v>
      </c>
      <c r="CL146" s="16" t="e">
        <f aca="false">SUMIF(MatchData[team],MatchData[[#this row],[team]],MatchData[ramparts teleop crossings])+SUMIF(MatchData[team],MatchData[[#this row],[team]],MatchData[ramparts scored crossings])</f>
        <v>#VALUE!</v>
      </c>
      <c r="CM146" s="16" t="e">
        <f aca="false">SUMIF(MatchData[team],MatchData[[#this row],[team]],MatchData[drawbridge teleop crossings])+SUMIF(MatchData[team],MatchData[[#this row],[team]],MatchData[drawbridge scored crossings])</f>
        <v>#VALUE!</v>
      </c>
      <c r="CN146" s="16" t="e">
        <f aca="false">SUMIF(MatchData[team],MatchData[[#this row],[team]],MatchData[sally port teleop crossings])+SUMIF(MatchData[team],MatchData[[#this row],[team]],MatchData[sally port scored crossings])</f>
        <v>#VALUE!</v>
      </c>
      <c r="CO146" s="16" t="e">
        <f aca="false">SUMIF(MatchData[team],MatchData[[#this row],[team]],MatchData[rock wall teleop crossings])+SUMIF(MatchData[team],MatchData[[#this row],[team]],MatchData[rock wall scored crossings])</f>
        <v>#VALUE!</v>
      </c>
      <c r="CP146" s="16" t="e">
        <f aca="false">SUMIF(MatchData[team],MatchData[[#this row],[team]],MatchData[rough terrain teleop crossings])+SUMIF(MatchData[team],MatchData[[#this row],[team]],MatchData[rough terrain scored crossings])</f>
        <v>#VALUE!</v>
      </c>
      <c r="CQ146" s="16" t="e">
        <f aca="false">SUMIF(MatchData[team],MatchData[[#this row],[team]],MatchData[low bar teleop crossings])+SUMIF(MatchData[team],MatchData[[#this row],[team]],MatchData[low bar scored crossings])</f>
        <v>#VALUE!</v>
      </c>
      <c r="CR146" s="16" t="e">
        <f aca="false">IFERROR(ROUND(MatchData[[#this row],[portcullis sum]]/MatchData[[#this row],[portcullis avail count]],2),0)</f>
        <v>#VALUE!</v>
      </c>
      <c r="CS146" s="16" t="e">
        <f aca="false">IFERROR(ROUND(MatchData[[#this row],[cheval sum]]/MatchData[[#this row],[cheval avail count]],2),0)</f>
        <v>#VALUE!</v>
      </c>
      <c r="CT146" s="16" t="e">
        <f aca="false">IFERROR(ROUND(MatchData[[#this row],[moat sum]]/MatchData[[#this row],[moat avail count]],2),0)</f>
        <v>#VALUE!</v>
      </c>
      <c r="CU146" s="16" t="e">
        <f aca="false">IFERROR(ROUND(MatchData[[#this row],[ramparts sum]]/MatchData[[#this row],[ramparts avail count]],2),0)</f>
        <v>#VALUE!</v>
      </c>
      <c r="CV146" s="16" t="e">
        <f aca="false">IFERROR(ROUND(MatchData[[#this row],[drawbridge sum]]/MatchData[[#this row],[drawbridge avail countigh6]],2),0)</f>
        <v>#VALUE!</v>
      </c>
      <c r="CW146" s="16" t="e">
        <f aca="false">IFERROR(ROUND(MatchData[[#this row],[sally port sum]]/MatchData[[#this row],[sally port avail count]],2),0)</f>
        <v>#VALUE!</v>
      </c>
      <c r="CX146" s="5" t="e">
        <f aca="false">IFERROR(ROUND(MatchData[[#this row],[rock wall sum]]/MatchData[[#this row],[rock wall avail count]],2),0)</f>
        <v>#VALUE!</v>
      </c>
      <c r="CY146" s="5" t="e">
        <f aca="false">IFERROR(ROUND(MatchData[[#this row],[rough terrain sum]]/MatchData[[#this row],[rough terrain avail count]],2),0)</f>
        <v>#VALUE!</v>
      </c>
      <c r="CZ146" s="5" t="e">
        <f aca="false">IFERROR(ROUND(MatchData[[#this row],[low bar sum]]/MatchData[[#this row],[low bar avail count]],2),0)</f>
        <v>#VALUE!</v>
      </c>
      <c r="DA146" s="16" t="e">
        <f aca="false">SUM(MatchData[[#this row],[cheval sum]:[low bar sum]])/MatchData[match count]</f>
        <v>#VALUE!</v>
      </c>
      <c r="DB146" s="16" t="n">
        <f aca="false">MAX(IF(C$2:C$74=C146,BP$2:BP$74))</f>
        <v>-1.79769313486232E+308</v>
      </c>
      <c r="DC146" s="16" t="e">
        <f aca="false">AVERAGEIF(MatchData[team],MatchData[[#this row],[team]],MatchData[total score])</f>
        <v>#VALUE!</v>
      </c>
      <c r="DD146" s="16" t="e">
        <f aca="false">ROUND(AVERAGEIF(MatchData[team],MatchData[team],MatchData[climb or challenge flag]),2)</f>
        <v>#VALUE!</v>
      </c>
    </row>
    <row r="147" customFormat="false" ht="14.5" hidden="false" customHeight="false" outlineLevel="0" collapsed="false">
      <c r="A147" s="13" t="s">
        <v>108</v>
      </c>
      <c r="B147" s="14" t="n">
        <v>25</v>
      </c>
      <c r="C147" s="15" t="n">
        <v>1425</v>
      </c>
      <c r="D147" s="5" t="s">
        <v>109</v>
      </c>
      <c r="E147" s="5" t="s">
        <v>124</v>
      </c>
      <c r="G147" s="16"/>
      <c r="I147" s="16" t="n">
        <v>4</v>
      </c>
      <c r="J147" s="5" t="n">
        <v>1</v>
      </c>
      <c r="K147" s="16"/>
      <c r="L147" s="5" t="n">
        <v>1</v>
      </c>
      <c r="M147" s="5" t="n">
        <v>1</v>
      </c>
      <c r="N147" s="0"/>
      <c r="O147" s="0"/>
      <c r="P147" s="5" t="n">
        <v>1</v>
      </c>
      <c r="Q147" s="0"/>
      <c r="R147" s="5" t="n">
        <v>1</v>
      </c>
      <c r="S147" s="16"/>
      <c r="T147" s="0"/>
      <c r="U147" s="16"/>
      <c r="V147" s="16"/>
      <c r="W147" s="0"/>
      <c r="AD147" s="16" t="n">
        <v>2</v>
      </c>
      <c r="AE147" s="5"/>
      <c r="AF147" s="16"/>
      <c r="AG147" s="16"/>
      <c r="AH147" s="16" t="n">
        <v>2</v>
      </c>
      <c r="AJ147" s="16" t="n">
        <v>1</v>
      </c>
      <c r="AL147" s="16"/>
      <c r="AN147" s="16"/>
      <c r="AP147" s="16"/>
      <c r="AR147" s="16"/>
      <c r="AT147" s="16"/>
      <c r="AU147" s="16"/>
      <c r="AV147" s="16"/>
      <c r="AW147" s="16" t="n">
        <v>1</v>
      </c>
      <c r="AX147" s="16"/>
      <c r="AY147" s="16"/>
      <c r="AZ147" s="16"/>
      <c r="BB147" s="16" t="n">
        <v>1</v>
      </c>
      <c r="BC147" s="16" t="e">
        <f aca="false">MatchData[cheval scored crossings]*5</f>
        <v>#VALUE!</v>
      </c>
      <c r="BD147" s="16" t="e">
        <f aca="false">MatchData[moat scored crosings]*5</f>
        <v>#VALUE!</v>
      </c>
      <c r="BE147" s="16" t="e">
        <f aca="false">MatchData[ramparts scored crossings]*5</f>
        <v>#VALUE!</v>
      </c>
      <c r="BF147" s="16" t="e">
        <f aca="false">MatchData[drawbridge scored crossings]*5</f>
        <v>#VALUE!</v>
      </c>
      <c r="BG147" s="16" t="e">
        <f aca="false">MatchData[sally port scored crossings]*5</f>
        <v>#VALUE!</v>
      </c>
      <c r="BH147" s="16" t="e">
        <f aca="false">MatchData[rock wall scored crossings]*5</f>
        <v>#VALUE!</v>
      </c>
      <c r="BI147" s="16" t="e">
        <f aca="false">MatchData[rough terrain scored crossings]*5</f>
        <v>#VALUE!</v>
      </c>
      <c r="BJ147" s="16" t="e">
        <f aca="false">MatchData[low bar scored crossings]*5</f>
        <v>#VALUE!</v>
      </c>
      <c r="BK147" s="16" t="e">
        <f aca="false">SUM(MatchData[[#this row],[low bar teleop crossings]:[rough terrain scored crossings]])</f>
        <v>#VALUE!</v>
      </c>
      <c r="BL147" s="16" t="e">
        <f aca="false">IFERROR(IF(OR(MatchData[[#this row],[challenge flag]],MatchData[[#this row],[climb flag]]),1,0),0)</f>
        <v>#VALUE!</v>
      </c>
      <c r="BM147" s="16" t="e">
        <f aca="false">MatchData[auto high goals]*10+MatchData[teleop high goals]*5</f>
        <v>#VALUE!</v>
      </c>
      <c r="BN147" s="16" t="e">
        <f aca="false">MatchData[auto low goals]*5+MatchData[teleop low goals]*2</f>
        <v>#VALUE!</v>
      </c>
      <c r="BO147" s="16" t="e">
        <f aca="false">MatchData[high goal score]+MatchData[low goal score]</f>
        <v>#VALUE!</v>
      </c>
      <c r="BP147" s="16" t="e">
        <f aca="false">MatchData[teleop high goals]+MatchData[teleop low goals]</f>
        <v>#VALUE!</v>
      </c>
      <c r="BQ147" s="16" t="e">
        <f aca="false">MatchData[[#this row],[auto reach flag]]*2+SUM(MatchData[[#this row],[portcullis auto crossings]:[low bar auto crossings]])*10+MatchData[[#this row],[auto low goals]]*5+MatchData[auto high goals]*10</f>
        <v>#VALUE!</v>
      </c>
      <c r="BR147" s="16" t="e">
        <f aca="false">SUM(MatchData[[#this row],[cheval teleop crossing score]:[low bar teleop crossing score]])</f>
        <v>#VALUE!</v>
      </c>
      <c r="BS147" s="16" t="e">
        <f aca="false">SUMIF(MatchData[team],MatchData[[#this row],[team]],MatchData[total auto score])/MatchData[match count]</f>
        <v>#VALUE!</v>
      </c>
      <c r="BT147" s="16" t="e">
        <f aca="false">MatchData[challenge flag]*5</f>
        <v>#VALUE!</v>
      </c>
      <c r="BU147" s="16" t="e">
        <f aca="false">MatchData[climb flag]*15</f>
        <v>#VALUE!</v>
      </c>
      <c r="BV147" s="16" t="e">
        <f aca="false">SUM(MatchData[[#this row],[total goal score]],MatchData[[#this row],[crossing score]],MatchData[[#this row],[challenge score]],MatchData[[#this row],[climb score]],MatchData[[#this row],[total auto score]])</f>
        <v>#VALUE!</v>
      </c>
      <c r="BW147" s="16" t="e">
        <f aca="false">ROUND(SUMIF(MatchData[team],MatchData[[#this row],[team]],MatchData[teleop low goals])/COUNTIF(MatchData[team],MatchData[[#this row],[team]]),2)</f>
        <v>#VALUE!</v>
      </c>
      <c r="BX147" s="16" t="e">
        <f aca="false">ROUND(SUMIF(MatchData[team],MatchData[[#this row],[team]],MatchData[teleop high goals])/COUNTIF(MatchData[team],MatchData[[#this row],[team]]),2)</f>
        <v>#VALUE!</v>
      </c>
      <c r="BY147" s="16" t="e">
        <f aca="false">COUNTIF(MatchData[team],MatchData[[#this row],[team]])</f>
        <v>#VALUE!</v>
      </c>
      <c r="BZ147" s="16" t="e">
        <f aca="false">SUMIF(MatchData[team],MatchData[[#this row],[team]],MatchData[portcullis available])</f>
        <v>#VALUE!</v>
      </c>
      <c r="CA147" s="16" t="e">
        <f aca="false">SUMIF(MatchData[team],MatchData[[#this row],[team]],MatchData[cheval available])</f>
        <v>#VALUE!</v>
      </c>
      <c r="CB147" s="16" t="e">
        <f aca="false">SUMIF(MatchData[team],MatchData[[#this row],[team]],MatchData[moat available])</f>
        <v>#VALUE!</v>
      </c>
      <c r="CC147" s="16" t="e">
        <f aca="false">SUMIF(MatchData[team],MatchData[[#this row],[team]],MatchData[ramparts available])</f>
        <v>#VALUE!</v>
      </c>
      <c r="CD147" s="16" t="e">
        <f aca="false">SUMIF(MatchData[team],MatchData[[#this row],[team]],MatchData[drawbridge available])</f>
        <v>#VALUE!</v>
      </c>
      <c r="CE147" s="16" t="e">
        <f aca="false">SUMIF(MatchData[team],MatchData[[#this row],[team]],MatchData[sally port available])</f>
        <v>#VALUE!</v>
      </c>
      <c r="CF147" s="16" t="e">
        <f aca="false">SUMIF(MatchData[team],MatchData[[#this row],[team]],MatchData[rock wall available])</f>
        <v>#VALUE!</v>
      </c>
      <c r="CG147" s="16" t="e">
        <f aca="false">SUMIF(MatchData[team],MatchData[[#this row],[team]],MatchData[rough terrain available])</f>
        <v>#VALUE!</v>
      </c>
      <c r="CH147" s="16" t="e">
        <f aca="false">SUMIF(MatchData[team],MatchData[[#this row],[team]],MatchData[low bar available])</f>
        <v>#VALUE!</v>
      </c>
      <c r="CI147" s="16" t="e">
        <f aca="false">SUMIF(MatchData[team],MatchData[[#this row],[team]],MatchData[portcullis teleop crossings]) + SUMIF(MatchData[team],MatchData[[#this row],[team]],MatchData[portcullis scored crossings])</f>
        <v>#VALUE!</v>
      </c>
      <c r="CJ147" s="16" t="e">
        <f aca="false">SUMIF(MatchData[team],MatchData[[#this row],[team]],MatchData[cheval teleop crossings])+SUMIF(MatchData[team],MatchData[[#this row],[team]],MatchData[cheval scored crossings])</f>
        <v>#VALUE!</v>
      </c>
      <c r="CK147" s="16" t="e">
        <f aca="false">SUMIF(MatchData[team],MatchData[[#this row],[team]],MatchData[moat teleop crossings])+SUMIF(MatchData[team],MatchData[[#this row],[team]],MatchData[moat scored crosings])</f>
        <v>#VALUE!</v>
      </c>
      <c r="CL147" s="16" t="e">
        <f aca="false">SUMIF(MatchData[team],MatchData[[#this row],[team]],MatchData[ramparts teleop crossings])+SUMIF(MatchData[team],MatchData[[#this row],[team]],MatchData[ramparts scored crossings])</f>
        <v>#VALUE!</v>
      </c>
      <c r="CM147" s="16" t="e">
        <f aca="false">SUMIF(MatchData[team],MatchData[[#this row],[team]],MatchData[drawbridge teleop crossings])+SUMIF(MatchData[team],MatchData[[#this row],[team]],MatchData[drawbridge scored crossings])</f>
        <v>#VALUE!</v>
      </c>
      <c r="CN147" s="16" t="e">
        <f aca="false">SUMIF(MatchData[team],MatchData[[#this row],[team]],MatchData[sally port teleop crossings])+SUMIF(MatchData[team],MatchData[[#this row],[team]],MatchData[sally port scored crossings])</f>
        <v>#VALUE!</v>
      </c>
      <c r="CO147" s="16" t="e">
        <f aca="false">SUMIF(MatchData[team],MatchData[[#this row],[team]],MatchData[rock wall teleop crossings])+SUMIF(MatchData[team],MatchData[[#this row],[team]],MatchData[rock wall scored crossings])</f>
        <v>#VALUE!</v>
      </c>
      <c r="CP147" s="16" t="e">
        <f aca="false">SUMIF(MatchData[team],MatchData[[#this row],[team]],MatchData[rough terrain teleop crossings])+SUMIF(MatchData[team],MatchData[[#this row],[team]],MatchData[rough terrain scored crossings])</f>
        <v>#VALUE!</v>
      </c>
      <c r="CQ147" s="16" t="e">
        <f aca="false">SUMIF(MatchData[team],MatchData[[#this row],[team]],MatchData[low bar teleop crossings])+SUMIF(MatchData[team],MatchData[[#this row],[team]],MatchData[low bar scored crossings])</f>
        <v>#VALUE!</v>
      </c>
      <c r="CR147" s="16" t="e">
        <f aca="false">IFERROR(ROUND(MatchData[[#this row],[portcullis sum]]/MatchData[[#this row],[portcullis avail count]],2),0)</f>
        <v>#VALUE!</v>
      </c>
      <c r="CS147" s="16" t="e">
        <f aca="false">IFERROR(ROUND(MatchData[[#this row],[cheval sum]]/MatchData[[#this row],[cheval avail count]],2),0)</f>
        <v>#VALUE!</v>
      </c>
      <c r="CT147" s="16" t="e">
        <f aca="false">IFERROR(ROUND(MatchData[[#this row],[moat sum]]/MatchData[[#this row],[moat avail count]],2),0)</f>
        <v>#VALUE!</v>
      </c>
      <c r="CU147" s="16" t="e">
        <f aca="false">IFERROR(ROUND(MatchData[[#this row],[ramparts sum]]/MatchData[[#this row],[ramparts avail count]],2),0)</f>
        <v>#VALUE!</v>
      </c>
      <c r="CV147" s="16" t="e">
        <f aca="false">IFERROR(ROUND(MatchData[[#this row],[drawbridge sum]]/MatchData[[#this row],[drawbridge avail countigh6]],2),0)</f>
        <v>#VALUE!</v>
      </c>
      <c r="CW147" s="16" t="e">
        <f aca="false">IFERROR(ROUND(MatchData[[#this row],[sally port sum]]/MatchData[[#this row],[sally port avail count]],2),0)</f>
        <v>#VALUE!</v>
      </c>
      <c r="CX147" s="5" t="e">
        <f aca="false">IFERROR(ROUND(MatchData[[#this row],[rock wall sum]]/MatchData[[#this row],[rock wall avail count]],2),0)</f>
        <v>#VALUE!</v>
      </c>
      <c r="CY147" s="5" t="e">
        <f aca="false">IFERROR(ROUND(MatchData[[#this row],[rough terrain sum]]/MatchData[[#this row],[rough terrain avail count]],2),0)</f>
        <v>#VALUE!</v>
      </c>
      <c r="CZ147" s="5" t="e">
        <f aca="false">IFERROR(ROUND(MatchData[[#this row],[low bar sum]]/MatchData[[#this row],[low bar avail count]],2),0)</f>
        <v>#VALUE!</v>
      </c>
      <c r="DA147" s="16" t="e">
        <f aca="false">SUM(MatchData[[#this row],[cheval sum]:[low bar sum]])/MatchData[match count]</f>
        <v>#VALUE!</v>
      </c>
      <c r="DB147" s="16" t="n">
        <f aca="false">MAX(IF(C$2:C$74=C147,BP$2:BP$74))</f>
        <v>-1.79769313486232E+308</v>
      </c>
      <c r="DC147" s="16" t="e">
        <f aca="false">AVERAGEIF(MatchData[team],MatchData[[#this row],[team]],MatchData[total score])</f>
        <v>#VALUE!</v>
      </c>
      <c r="DD147" s="16" t="e">
        <f aca="false">ROUND(AVERAGEIF(MatchData[team],MatchData[team],MatchData[climb or challenge flag]),2)</f>
        <v>#VALUE!</v>
      </c>
    </row>
    <row r="148" customFormat="false" ht="14.5" hidden="false" customHeight="false" outlineLevel="0" collapsed="false">
      <c r="A148" s="17" t="s">
        <v>108</v>
      </c>
      <c r="B148" s="14" t="n">
        <v>25</v>
      </c>
      <c r="C148" s="15" t="n">
        <v>5956</v>
      </c>
      <c r="D148" s="5" t="s">
        <v>109</v>
      </c>
      <c r="E148" s="5" t="s">
        <v>123</v>
      </c>
      <c r="G148" s="16"/>
      <c r="I148" s="16"/>
      <c r="J148" s="5" t="n">
        <v>1</v>
      </c>
      <c r="K148" s="16"/>
      <c r="L148" s="5" t="n">
        <v>1</v>
      </c>
      <c r="M148" s="5" t="n">
        <v>1</v>
      </c>
      <c r="N148" s="0"/>
      <c r="O148" s="0"/>
      <c r="P148" s="5" t="n">
        <v>1</v>
      </c>
      <c r="Q148" s="0"/>
      <c r="R148" s="5" t="n">
        <v>1</v>
      </c>
      <c r="S148" s="16"/>
      <c r="T148" s="0"/>
      <c r="U148" s="16"/>
      <c r="V148" s="16"/>
      <c r="W148" s="0"/>
      <c r="AC148" s="5" t="n">
        <v>1</v>
      </c>
      <c r="AD148" s="16"/>
      <c r="AE148" s="5"/>
      <c r="AF148" s="16"/>
      <c r="AG148" s="16"/>
      <c r="AH148" s="16"/>
      <c r="AI148" s="5" t="n">
        <v>1</v>
      </c>
      <c r="AJ148" s="16"/>
      <c r="AL148" s="16"/>
      <c r="AN148" s="16"/>
      <c r="AP148" s="16"/>
      <c r="AR148" s="16"/>
      <c r="AT148" s="16"/>
      <c r="AU148" s="16"/>
      <c r="AV148" s="16"/>
      <c r="AW148" s="16" t="n">
        <v>1</v>
      </c>
      <c r="AX148" s="16"/>
      <c r="AY148" s="16" t="n">
        <v>1</v>
      </c>
      <c r="AZ148" s="16"/>
      <c r="BB148" s="16" t="n">
        <v>1</v>
      </c>
      <c r="BC148" s="16" t="e">
        <f aca="false">MatchData[cheval scored crossings]*5</f>
        <v>#VALUE!</v>
      </c>
      <c r="BD148" s="16" t="e">
        <f aca="false">MatchData[moat scored crosings]*5</f>
        <v>#VALUE!</v>
      </c>
      <c r="BE148" s="16" t="e">
        <f aca="false">MatchData[ramparts scored crossings]*5</f>
        <v>#VALUE!</v>
      </c>
      <c r="BF148" s="16" t="e">
        <f aca="false">MatchData[drawbridge scored crossings]*5</f>
        <v>#VALUE!</v>
      </c>
      <c r="BG148" s="16" t="e">
        <f aca="false">MatchData[sally port scored crossings]*5</f>
        <v>#VALUE!</v>
      </c>
      <c r="BH148" s="16" t="e">
        <f aca="false">MatchData[rock wall scored crossings]*5</f>
        <v>#VALUE!</v>
      </c>
      <c r="BI148" s="16" t="e">
        <f aca="false">MatchData[rough terrain scored crossings]*5</f>
        <v>#VALUE!</v>
      </c>
      <c r="BJ148" s="16" t="e">
        <f aca="false">MatchData[low bar scored crossings]*5</f>
        <v>#VALUE!</v>
      </c>
      <c r="BK148" s="16" t="e">
        <f aca="false">SUM(MatchData[[#this row],[low bar teleop crossings]:[rough terrain scored crossings]])</f>
        <v>#VALUE!</v>
      </c>
      <c r="BL148" s="16" t="e">
        <f aca="false">IFERROR(IF(OR(MatchData[[#this row],[challenge flag]],MatchData[[#this row],[climb flag]]),1,0),0)</f>
        <v>#VALUE!</v>
      </c>
      <c r="BM148" s="16" t="e">
        <f aca="false">MatchData[auto high goals]*10+MatchData[teleop high goals]*5</f>
        <v>#VALUE!</v>
      </c>
      <c r="BN148" s="16" t="e">
        <f aca="false">MatchData[auto low goals]*5+MatchData[teleop low goals]*2</f>
        <v>#VALUE!</v>
      </c>
      <c r="BO148" s="16" t="e">
        <f aca="false">MatchData[high goal score]+MatchData[low goal score]</f>
        <v>#VALUE!</v>
      </c>
      <c r="BP148" s="16" t="e">
        <f aca="false">MatchData[teleop high goals]+MatchData[teleop low goals]</f>
        <v>#VALUE!</v>
      </c>
      <c r="BQ148" s="16" t="e">
        <f aca="false">MatchData[[#this row],[auto reach flag]]*2+SUM(MatchData[[#this row],[portcullis auto crossings]:[low bar auto crossings]])*10+MatchData[[#this row],[auto low goals]]*5+MatchData[auto high goals]*10</f>
        <v>#VALUE!</v>
      </c>
      <c r="BR148" s="16" t="e">
        <f aca="false">SUM(MatchData[[#this row],[cheval teleop crossing score]:[low bar teleop crossing score]])</f>
        <v>#VALUE!</v>
      </c>
      <c r="BS148" s="16" t="e">
        <f aca="false">SUMIF(MatchData[team],MatchData[[#this row],[team]],MatchData[total auto score])/MatchData[match count]</f>
        <v>#VALUE!</v>
      </c>
      <c r="BT148" s="16" t="e">
        <f aca="false">MatchData[challenge flag]*5</f>
        <v>#VALUE!</v>
      </c>
      <c r="BU148" s="16" t="e">
        <f aca="false">MatchData[climb flag]*15</f>
        <v>#VALUE!</v>
      </c>
      <c r="BV148" s="16" t="e">
        <f aca="false">SUM(MatchData[[#this row],[total goal score]],MatchData[[#this row],[crossing score]],MatchData[[#this row],[challenge score]],MatchData[[#this row],[climb score]],MatchData[[#this row],[total auto score]])</f>
        <v>#VALUE!</v>
      </c>
      <c r="BW148" s="16" t="e">
        <f aca="false">ROUND(SUMIF(MatchData[team],MatchData[[#this row],[team]],MatchData[teleop low goals])/COUNTIF(MatchData[team],MatchData[[#this row],[team]]),2)</f>
        <v>#VALUE!</v>
      </c>
      <c r="BX148" s="16" t="e">
        <f aca="false">ROUND(SUMIF(MatchData[team],MatchData[[#this row],[team]],MatchData[teleop high goals])/COUNTIF(MatchData[team],MatchData[[#this row],[team]]),2)</f>
        <v>#VALUE!</v>
      </c>
      <c r="BY148" s="16" t="e">
        <f aca="false">COUNTIF(MatchData[team],MatchData[[#this row],[team]])</f>
        <v>#VALUE!</v>
      </c>
      <c r="BZ148" s="16" t="e">
        <f aca="false">SUMIF(MatchData[team],MatchData[[#this row],[team]],MatchData[portcullis available])</f>
        <v>#VALUE!</v>
      </c>
      <c r="CA148" s="16" t="e">
        <f aca="false">SUMIF(MatchData[team],MatchData[[#this row],[team]],MatchData[cheval available])</f>
        <v>#VALUE!</v>
      </c>
      <c r="CB148" s="16" t="e">
        <f aca="false">SUMIF(MatchData[team],MatchData[[#this row],[team]],MatchData[moat available])</f>
        <v>#VALUE!</v>
      </c>
      <c r="CC148" s="16" t="e">
        <f aca="false">SUMIF(MatchData[team],MatchData[[#this row],[team]],MatchData[ramparts available])</f>
        <v>#VALUE!</v>
      </c>
      <c r="CD148" s="16" t="e">
        <f aca="false">SUMIF(MatchData[team],MatchData[[#this row],[team]],MatchData[drawbridge available])</f>
        <v>#VALUE!</v>
      </c>
      <c r="CE148" s="16" t="e">
        <f aca="false">SUMIF(MatchData[team],MatchData[[#this row],[team]],MatchData[sally port available])</f>
        <v>#VALUE!</v>
      </c>
      <c r="CF148" s="16" t="e">
        <f aca="false">SUMIF(MatchData[team],MatchData[[#this row],[team]],MatchData[rock wall available])</f>
        <v>#VALUE!</v>
      </c>
      <c r="CG148" s="16" t="e">
        <f aca="false">SUMIF(MatchData[team],MatchData[[#this row],[team]],MatchData[rough terrain available])</f>
        <v>#VALUE!</v>
      </c>
      <c r="CH148" s="16" t="e">
        <f aca="false">SUMIF(MatchData[team],MatchData[[#this row],[team]],MatchData[low bar available])</f>
        <v>#VALUE!</v>
      </c>
      <c r="CI148" s="16" t="e">
        <f aca="false">SUMIF(MatchData[team],MatchData[[#this row],[team]],MatchData[portcullis teleop crossings]:MatchData[portcullis scored crossings])</f>
        <v>#VALUE!</v>
      </c>
      <c r="CJ148" s="16" t="e">
        <f aca="false">SUMIF(MatchData[team],MatchData[[#this row],[team]],MatchData[cheval teleop crossings])+SUMIF(MatchData[team],MatchData[[#this row],[team]],MatchData[cheval scored crossings])</f>
        <v>#VALUE!</v>
      </c>
      <c r="CK148" s="16" t="e">
        <f aca="false">SUMIF(MatchData[team],MatchData[[#this row],[team]],MatchData[moat teleop crossings])+SUMIF(MatchData[team],MatchData[[#this row],[team]],MatchData[moat scored crosings])</f>
        <v>#VALUE!</v>
      </c>
      <c r="CL148" s="16" t="e">
        <f aca="false">SUMIF(MatchData[team],MatchData[[#this row],[team]],MatchData[ramparts teleop crossings])+SUMIF(MatchData[team],MatchData[[#this row],[team]],MatchData[ramparts scored crossings])</f>
        <v>#VALUE!</v>
      </c>
      <c r="CM148" s="16" t="e">
        <f aca="false">SUMIF(MatchData[team],MatchData[[#this row],[team]],MatchData[drawbridge teleop crossings])+SUMIF(MatchData[team],MatchData[[#this row],[team]],MatchData[drawbridge scored crossings])</f>
        <v>#VALUE!</v>
      </c>
      <c r="CN148" s="16" t="e">
        <f aca="false">SUMIF(MatchData[team],MatchData[[#this row],[team]],MatchData[sally port teleop crossings])+SUMIF(MatchData[team],MatchData[[#this row],[team]],MatchData[sally port scored crossings])</f>
        <v>#VALUE!</v>
      </c>
      <c r="CO148" s="16" t="e">
        <f aca="false">SUMIF(MatchData[team],MatchData[[#this row],[team]],MatchData[rock wall teleop crossings])+SUMIF(MatchData[team],MatchData[[#this row],[team]],MatchData[rock wall scored crossings])</f>
        <v>#VALUE!</v>
      </c>
      <c r="CP148" s="16" t="e">
        <f aca="false">SUMIF(MatchData[team],MatchData[[#this row],[team]],MatchData[rough terrain teleop crossings])+SUMIF(MatchData[team],MatchData[[#this row],[team]],MatchData[rough terrain scored crossings])</f>
        <v>#VALUE!</v>
      </c>
      <c r="CQ148" s="16" t="e">
        <f aca="false">SUMIF(MatchData[team],MatchData[[#this row],[team]],MatchData[low bar teleop crossings])+SUMIF(MatchData[team],MatchData[[#this row],[team]],MatchData[low bar scored crossings])</f>
        <v>#VALUE!</v>
      </c>
      <c r="CR148" s="16" t="e">
        <f aca="false">IFERROR(ROUND(MatchData[[#this row],[portcullis sum]]/MatchData[[#this row],[portcullis avail count]],2),0)</f>
        <v>#VALUE!</v>
      </c>
      <c r="CS148" s="16" t="e">
        <f aca="false">IFERROR(ROUND(MatchData[[#this row],[cheval sum]]/MatchData[[#this row],[cheval avail count]],2),0)</f>
        <v>#VALUE!</v>
      </c>
      <c r="CT148" s="16" t="e">
        <f aca="false">IFERROR(ROUND(MatchData[[#this row],[moat sum]]/MatchData[[#this row],[moat avail count]],2),0)</f>
        <v>#VALUE!</v>
      </c>
      <c r="CU148" s="16" t="e">
        <f aca="false">IFERROR(ROUND(MatchData[[#this row],[ramparts sum]]/MatchData[[#this row],[ramparts avail count]],2),0)</f>
        <v>#VALUE!</v>
      </c>
      <c r="CV148" s="16" t="e">
        <f aca="false">IFERROR(ROUND(MatchData[[#this row],[drawbridge sum]]/MatchData[[#this row],[drawbridge avail countigh6]],2),0)</f>
        <v>#VALUE!</v>
      </c>
      <c r="CW148" s="16" t="e">
        <f aca="false">IFERROR(ROUND(MatchData[[#this row],[sally port sum]]/MatchData[[#this row],[sally port avail count]],2),0)</f>
        <v>#VALUE!</v>
      </c>
      <c r="CX148" s="5" t="e">
        <f aca="false">IFERROR(ROUND(MatchData[[#this row],[rock wall sum]]/MatchData[[#this row],[rock wall avail count]],2),0)</f>
        <v>#VALUE!</v>
      </c>
      <c r="CY148" s="5" t="e">
        <f aca="false">IFERROR(ROUND(MatchData[[#this row],[rough terrain sum]]/MatchData[[#this row],[rough terrain avail count]],2),0)</f>
        <v>#VALUE!</v>
      </c>
      <c r="CZ148" s="5" t="e">
        <f aca="false">IFERROR(ROUND(MatchData[[#this row],[low bar sum]]/MatchData[[#this row],[low bar avail count]],2),0)</f>
        <v>#VALUE!</v>
      </c>
      <c r="DA148" s="16" t="e">
        <f aca="false">SUM(MatchData[[#this row],[cheval sum]:[low bar sum]])/MatchData[match count]</f>
        <v>#VALUE!</v>
      </c>
      <c r="DB148" s="16" t="n">
        <f aca="false">MAX(IF(C$2:C$74=C148,BP$2:BP$74))</f>
        <v>-1.79769313486232E+308</v>
      </c>
      <c r="DC148" s="16" t="e">
        <f aca="false">AVERAGEIF(MatchData[team],MatchData[[#this row],[team]],MatchData[total score])</f>
        <v>#VALUE!</v>
      </c>
      <c r="DD148" s="16" t="e">
        <f aca="false">ROUND(AVERAGEIF(MatchData[team],MatchData[team],MatchData[climb or challenge flag]),2)</f>
        <v>#VALUE!</v>
      </c>
    </row>
    <row r="149" customFormat="false" ht="14.5" hidden="false" customHeight="false" outlineLevel="0" collapsed="false">
      <c r="A149" s="13" t="s">
        <v>108</v>
      </c>
      <c r="B149" s="14" t="n">
        <v>25</v>
      </c>
      <c r="C149" s="15" t="n">
        <v>753</v>
      </c>
      <c r="D149" s="5" t="s">
        <v>113</v>
      </c>
      <c r="E149" s="5" t="s">
        <v>120</v>
      </c>
      <c r="G149" s="16"/>
      <c r="I149" s="16"/>
      <c r="J149" s="5" t="n">
        <v>1</v>
      </c>
      <c r="K149" s="16"/>
      <c r="L149" s="5" t="n">
        <v>1</v>
      </c>
      <c r="N149" s="5" t="n">
        <v>1</v>
      </c>
      <c r="O149" s="0"/>
      <c r="P149" s="5" t="n">
        <v>1</v>
      </c>
      <c r="Q149" s="0"/>
      <c r="R149" s="5" t="n">
        <v>1</v>
      </c>
      <c r="S149" s="16"/>
      <c r="T149" s="0"/>
      <c r="U149" s="16"/>
      <c r="V149" s="16"/>
      <c r="W149" s="0"/>
      <c r="AD149" s="16"/>
      <c r="AE149" s="5"/>
      <c r="AF149" s="16"/>
      <c r="AG149" s="16"/>
      <c r="AH149" s="16"/>
      <c r="AJ149" s="16"/>
      <c r="AL149" s="16"/>
      <c r="AN149" s="16"/>
      <c r="AP149" s="16" t="n">
        <v>2</v>
      </c>
      <c r="AR149" s="16"/>
      <c r="AT149" s="16" t="n">
        <v>1</v>
      </c>
      <c r="AU149" s="16"/>
      <c r="AV149" s="16"/>
      <c r="AW149" s="16" t="n">
        <v>1</v>
      </c>
      <c r="AX149" s="16"/>
      <c r="AY149" s="16"/>
      <c r="AZ149" s="16"/>
      <c r="BB149" s="16" t="n">
        <v>1</v>
      </c>
      <c r="BC149" s="16" t="e">
        <f aca="false">MatchData[cheval scored crossings]*5</f>
        <v>#VALUE!</v>
      </c>
      <c r="BD149" s="16" t="e">
        <f aca="false">MatchData[moat scored crosings]*5</f>
        <v>#VALUE!</v>
      </c>
      <c r="BE149" s="16" t="e">
        <f aca="false">MatchData[ramparts scored crossings]*5</f>
        <v>#VALUE!</v>
      </c>
      <c r="BF149" s="16" t="e">
        <f aca="false">MatchData[drawbridge scored crossings]*5</f>
        <v>#VALUE!</v>
      </c>
      <c r="BG149" s="16" t="e">
        <f aca="false">MatchData[sally port scored crossings]*5</f>
        <v>#VALUE!</v>
      </c>
      <c r="BH149" s="16" t="e">
        <f aca="false">MatchData[rock wall scored crossings]*5</f>
        <v>#VALUE!</v>
      </c>
      <c r="BI149" s="16" t="e">
        <f aca="false">MatchData[rough terrain scored crossings]*5</f>
        <v>#VALUE!</v>
      </c>
      <c r="BJ149" s="16" t="e">
        <f aca="false">MatchData[low bar scored crossings]*5</f>
        <v>#VALUE!</v>
      </c>
      <c r="BK149" s="16" t="e">
        <f aca="false">SUM(MatchData[[#this row],[low bar teleop crossings]:[rough terrain scored crossings]])</f>
        <v>#VALUE!</v>
      </c>
      <c r="BL149" s="16" t="e">
        <f aca="false">IFERROR(IF(OR(MatchData[[#this row],[challenge flag]],MatchData[[#this row],[climb flag]]),1,0),0)</f>
        <v>#VALUE!</v>
      </c>
      <c r="BM149" s="16" t="e">
        <f aca="false">MatchData[auto high goals]*10+MatchData[teleop high goals]*5</f>
        <v>#VALUE!</v>
      </c>
      <c r="BN149" s="16" t="e">
        <f aca="false">MatchData[auto low goals]*5+MatchData[teleop low goals]*2</f>
        <v>#VALUE!</v>
      </c>
      <c r="BO149" s="16" t="e">
        <f aca="false">MatchData[high goal score]+MatchData[low goal score]</f>
        <v>#VALUE!</v>
      </c>
      <c r="BP149" s="16" t="e">
        <f aca="false">MatchData[teleop high goals]+MatchData[teleop low goals]</f>
        <v>#VALUE!</v>
      </c>
      <c r="BQ149" s="16" t="e">
        <f aca="false">MatchData[[#this row],[auto reach flag]]*2+SUM(MatchData[[#this row],[portcullis auto crossings]:[low bar auto crossings]])*10+MatchData[[#this row],[auto low goals]]*5+MatchData[auto high goals]*10</f>
        <v>#VALUE!</v>
      </c>
      <c r="BR149" s="16" t="e">
        <f aca="false">SUM(MatchData[[#this row],[cheval teleop crossing score]:[low bar teleop crossing score]])</f>
        <v>#VALUE!</v>
      </c>
      <c r="BS149" s="16" t="e">
        <f aca="false">SUMIF(MatchData[team],MatchData[[#this row],[team]],MatchData[total auto score])/MatchData[match count]</f>
        <v>#VALUE!</v>
      </c>
      <c r="BT149" s="16" t="e">
        <f aca="false">MatchData[challenge flag]*5</f>
        <v>#VALUE!</v>
      </c>
      <c r="BU149" s="16" t="e">
        <f aca="false">MatchData[climb flag]*15</f>
        <v>#VALUE!</v>
      </c>
      <c r="BV149" s="16" t="e">
        <f aca="false">SUM(MatchData[[#this row],[total goal score]],MatchData[[#this row],[crossing score]],MatchData[[#this row],[challenge score]],MatchData[[#this row],[climb score]],MatchData[[#this row],[total auto score]])</f>
        <v>#VALUE!</v>
      </c>
      <c r="BW149" s="16" t="e">
        <f aca="false">ROUND(SUMIF(MatchData[team],MatchData[[#this row],[team]],MatchData[teleop low goals])/COUNTIF(MatchData[team],MatchData[[#this row],[team]]),2)</f>
        <v>#VALUE!</v>
      </c>
      <c r="BX149" s="16" t="e">
        <f aca="false">ROUND(SUMIF(MatchData[team],MatchData[[#this row],[team]],MatchData[teleop high goals])/COUNTIF(MatchData[team],MatchData[[#this row],[team]]),2)</f>
        <v>#VALUE!</v>
      </c>
      <c r="BY149" s="16" t="e">
        <f aca="false">COUNTIF(MatchData[team],MatchData[[#this row],[team]])</f>
        <v>#VALUE!</v>
      </c>
      <c r="BZ149" s="16" t="e">
        <f aca="false">SUMIF(MatchData[team],MatchData[[#this row],[team]],MatchData[portcullis available])</f>
        <v>#VALUE!</v>
      </c>
      <c r="CA149" s="16" t="e">
        <f aca="false">SUMIF(MatchData[team],MatchData[[#this row],[team]],MatchData[cheval available])</f>
        <v>#VALUE!</v>
      </c>
      <c r="CB149" s="16" t="e">
        <f aca="false">SUMIF(MatchData[team],MatchData[[#this row],[team]],MatchData[moat available])</f>
        <v>#VALUE!</v>
      </c>
      <c r="CC149" s="16" t="e">
        <f aca="false">SUMIF(MatchData[team],MatchData[[#this row],[team]],MatchData[ramparts available])</f>
        <v>#VALUE!</v>
      </c>
      <c r="CD149" s="16" t="e">
        <f aca="false">SUMIF(MatchData[team],MatchData[[#this row],[team]],MatchData[drawbridge available])</f>
        <v>#VALUE!</v>
      </c>
      <c r="CE149" s="16" t="e">
        <f aca="false">SUMIF(MatchData[team],MatchData[[#this row],[team]],MatchData[sally port available])</f>
        <v>#VALUE!</v>
      </c>
      <c r="CF149" s="16" t="e">
        <f aca="false">SUMIF(MatchData[team],MatchData[[#this row],[team]],MatchData[rock wall available])</f>
        <v>#VALUE!</v>
      </c>
      <c r="CG149" s="16" t="e">
        <f aca="false">SUMIF(MatchData[team],MatchData[[#this row],[team]],MatchData[rough terrain available])</f>
        <v>#VALUE!</v>
      </c>
      <c r="CH149" s="16" t="e">
        <f aca="false">SUMIF(MatchData[team],MatchData[[#this row],[team]],MatchData[low bar available])</f>
        <v>#VALUE!</v>
      </c>
      <c r="CI149" s="16" t="e">
        <f aca="false">SUMIF(MatchData[team],MatchData[[#this row],[team]],MatchData[portcullis teleop crossings]:MatchData[portcullis scored crossings])</f>
        <v>#VALUE!</v>
      </c>
      <c r="CJ149" s="16" t="e">
        <f aca="false">SUMIF(MatchData[team],MatchData[[#this row],[team]],MatchData[cheval teleop crossings])+SUMIF(MatchData[team],MatchData[[#this row],[team]],MatchData[cheval scored crossings])</f>
        <v>#VALUE!</v>
      </c>
      <c r="CK149" s="16" t="e">
        <f aca="false">SUMIF(MatchData[team],MatchData[[#this row],[team]],MatchData[moat teleop crossings])+SUMIF(MatchData[team],MatchData[[#this row],[team]],MatchData[moat scored crosings])</f>
        <v>#VALUE!</v>
      </c>
      <c r="CL149" s="16" t="e">
        <f aca="false">SUMIF(MatchData[team],MatchData[[#this row],[team]],MatchData[ramparts teleop crossings])+SUMIF(MatchData[team],MatchData[[#this row],[team]],MatchData[ramparts scored crossings])</f>
        <v>#VALUE!</v>
      </c>
      <c r="CM149" s="16" t="e">
        <f aca="false">SUMIF(MatchData[team],MatchData[[#this row],[team]],MatchData[drawbridge teleop crossings])+SUMIF(MatchData[team],MatchData[[#this row],[team]],MatchData[drawbridge scored crossings])</f>
        <v>#VALUE!</v>
      </c>
      <c r="CN149" s="16" t="e">
        <f aca="false">SUMIF(MatchData[team],MatchData[[#this row],[team]],MatchData[sally port teleop crossings])+SUMIF(MatchData[team],MatchData[[#this row],[team]],MatchData[sally port scored crossings])</f>
        <v>#VALUE!</v>
      </c>
      <c r="CO149" s="16" t="e">
        <f aca="false">SUMIF(MatchData[team],MatchData[[#this row],[team]],MatchData[rock wall teleop crossings])+SUMIF(MatchData[team],MatchData[[#this row],[team]],MatchData[rock wall scored crossings])</f>
        <v>#VALUE!</v>
      </c>
      <c r="CP149" s="16" t="e">
        <f aca="false">SUMIF(MatchData[team],MatchData[[#this row],[team]],MatchData[rough terrain teleop crossings])+SUMIF(MatchData[team],MatchData[[#this row],[team]],MatchData[rough terrain scored crossings])</f>
        <v>#VALUE!</v>
      </c>
      <c r="CQ149" s="16" t="e">
        <f aca="false">SUMIF(MatchData[team],MatchData[[#this row],[team]],MatchData[low bar teleop crossings])+SUMIF(MatchData[team],MatchData[[#this row],[team]],MatchData[low bar scored crossings])</f>
        <v>#VALUE!</v>
      </c>
      <c r="CR149" s="16" t="e">
        <f aca="false">IFERROR(ROUND(MatchData[[#this row],[portcullis sum]]/MatchData[[#this row],[portcullis avail count]],2),0)</f>
        <v>#VALUE!</v>
      </c>
      <c r="CS149" s="16" t="e">
        <f aca="false">IFERROR(ROUND(MatchData[[#this row],[cheval sum]]/MatchData[[#this row],[cheval avail count]],2),0)</f>
        <v>#VALUE!</v>
      </c>
      <c r="CT149" s="16" t="e">
        <f aca="false">IFERROR(ROUND(MatchData[[#this row],[moat sum]]/MatchData[[#this row],[moat avail count]],2),0)</f>
        <v>#VALUE!</v>
      </c>
      <c r="CU149" s="16" t="e">
        <f aca="false">IFERROR(ROUND(MatchData[[#this row],[ramparts sum]]/MatchData[[#this row],[ramparts avail count]],2),0)</f>
        <v>#VALUE!</v>
      </c>
      <c r="CV149" s="16" t="e">
        <f aca="false">IFERROR(ROUND(MatchData[[#this row],[drawbridge sum]]/MatchData[[#this row],[drawbridge avail countigh6]],2),0)</f>
        <v>#VALUE!</v>
      </c>
      <c r="CW149" s="16" t="e">
        <f aca="false">IFERROR(ROUND(MatchData[[#this row],[sally port sum]]/MatchData[[#this row],[sally port avail count]],2),0)</f>
        <v>#VALUE!</v>
      </c>
      <c r="CX149" s="5" t="e">
        <f aca="false">IFERROR(ROUND(MatchData[[#this row],[rock wall sum]]/MatchData[[#this row],[rock wall avail count]],2),0)</f>
        <v>#VALUE!</v>
      </c>
      <c r="CY149" s="5" t="e">
        <f aca="false">IFERROR(ROUND(MatchData[[#this row],[rough terrain sum]]/MatchData[[#this row],[rough terrain avail count]],2),0)</f>
        <v>#VALUE!</v>
      </c>
      <c r="CZ149" s="5" t="e">
        <f aca="false">IFERROR(ROUND(MatchData[[#this row],[low bar sum]]/MatchData[[#this row],[low bar avail count]],2),0)</f>
        <v>#VALUE!</v>
      </c>
      <c r="DA149" s="16" t="e">
        <f aca="false">SUM(MatchData[[#this row],[cheval sum]:[low bar sum]])/MatchData[match count]</f>
        <v>#VALUE!</v>
      </c>
      <c r="DB149" s="16" t="n">
        <f aca="false">MAX(IF(C$2:C$74=C149,BP$2:BP$74))</f>
        <v>-1.79769313486232E+308</v>
      </c>
      <c r="DC149" s="16" t="e">
        <f aca="false">AVERAGEIF(MatchData[team],MatchData[[#this row],[team]],MatchData[total score])</f>
        <v>#VALUE!</v>
      </c>
      <c r="DD149" s="16" t="e">
        <f aca="false">ROUND(AVERAGEIF(MatchData[team],MatchData[team],MatchData[climb or challenge flag]),2)</f>
        <v>#VALUE!</v>
      </c>
    </row>
    <row r="150" customFormat="false" ht="14.5" hidden="false" customHeight="false" outlineLevel="0" collapsed="false">
      <c r="A150" s="13" t="s">
        <v>108</v>
      </c>
      <c r="B150" s="14" t="n">
        <v>25</v>
      </c>
      <c r="C150" s="15" t="n">
        <v>2733</v>
      </c>
      <c r="D150" s="5" t="s">
        <v>113</v>
      </c>
      <c r="E150" s="5" t="s">
        <v>128</v>
      </c>
      <c r="G150" s="16"/>
      <c r="I150" s="16" t="n">
        <v>3</v>
      </c>
      <c r="J150" s="5" t="n">
        <v>1</v>
      </c>
      <c r="K150" s="16"/>
      <c r="L150" s="5" t="n">
        <v>1</v>
      </c>
      <c r="N150" s="5" t="n">
        <v>1</v>
      </c>
      <c r="O150" s="0"/>
      <c r="P150" s="5" t="n">
        <v>1</v>
      </c>
      <c r="Q150" s="0"/>
      <c r="R150" s="5" t="n">
        <v>1</v>
      </c>
      <c r="S150" s="16"/>
      <c r="T150" s="0"/>
      <c r="U150" s="16"/>
      <c r="V150" s="16"/>
      <c r="W150" s="5" t="n">
        <v>1</v>
      </c>
      <c r="AC150" s="5" t="n">
        <v>1</v>
      </c>
      <c r="AD150" s="16" t="n">
        <v>2</v>
      </c>
      <c r="AE150" s="5"/>
      <c r="AF150" s="16"/>
      <c r="AG150" s="16"/>
      <c r="AH150" s="16"/>
      <c r="AJ150" s="16"/>
      <c r="AL150" s="16" t="n">
        <v>1</v>
      </c>
      <c r="AN150" s="16"/>
      <c r="AP150" s="16"/>
      <c r="AR150" s="16"/>
      <c r="AT150" s="16" t="n">
        <v>1</v>
      </c>
      <c r="AU150" s="16"/>
      <c r="AV150" s="16"/>
      <c r="AW150" s="16" t="n">
        <v>1</v>
      </c>
      <c r="AX150" s="16"/>
      <c r="AY150" s="16"/>
      <c r="AZ150" s="16"/>
      <c r="BB150" s="16" t="n">
        <v>1</v>
      </c>
      <c r="BC150" s="16" t="e">
        <f aca="false">MatchData[cheval scored crossings]*5</f>
        <v>#VALUE!</v>
      </c>
      <c r="BD150" s="16" t="e">
        <f aca="false">MatchData[moat scored crosings]*5</f>
        <v>#VALUE!</v>
      </c>
      <c r="BE150" s="16" t="e">
        <f aca="false">MatchData[ramparts scored crossings]*5</f>
        <v>#VALUE!</v>
      </c>
      <c r="BF150" s="16" t="e">
        <f aca="false">MatchData[drawbridge scored crossings]*5</f>
        <v>#VALUE!</v>
      </c>
      <c r="BG150" s="16" t="e">
        <f aca="false">MatchData[sally port scored crossings]*5</f>
        <v>#VALUE!</v>
      </c>
      <c r="BH150" s="16" t="e">
        <f aca="false">MatchData[rock wall scored crossings]*5</f>
        <v>#VALUE!</v>
      </c>
      <c r="BI150" s="16" t="e">
        <f aca="false">MatchData[rough terrain scored crossings]*5</f>
        <v>#VALUE!</v>
      </c>
      <c r="BJ150" s="16" t="e">
        <f aca="false">MatchData[low bar scored crossings]*5</f>
        <v>#VALUE!</v>
      </c>
      <c r="BK150" s="16" t="e">
        <f aca="false">SUM(MatchData[[#this row],[low bar teleop crossings]:[rough terrain scored crossings]])</f>
        <v>#VALUE!</v>
      </c>
      <c r="BL150" s="16" t="e">
        <f aca="false">IFERROR(IF(OR(MatchData[[#this row],[challenge flag]],MatchData[[#this row],[climb flag]]),1,0),0)</f>
        <v>#VALUE!</v>
      </c>
      <c r="BM150" s="16" t="e">
        <f aca="false">MatchData[auto high goals]*10+MatchData[teleop high goals]*5</f>
        <v>#VALUE!</v>
      </c>
      <c r="BN150" s="16" t="e">
        <f aca="false">MatchData[auto low goals]*5+MatchData[teleop low goals]*2</f>
        <v>#VALUE!</v>
      </c>
      <c r="BO150" s="16" t="e">
        <f aca="false">MatchData[high goal score]+MatchData[low goal score]</f>
        <v>#VALUE!</v>
      </c>
      <c r="BP150" s="16" t="e">
        <f aca="false">MatchData[teleop high goals]+MatchData[teleop low goals]</f>
        <v>#VALUE!</v>
      </c>
      <c r="BQ150" s="16" t="e">
        <f aca="false">MatchData[[#this row],[auto reach flag]]*2+SUM(MatchData[[#this row],[portcullis auto crossings]:[low bar auto crossings]])*10+MatchData[[#this row],[auto low goals]]*5+MatchData[auto high goals]*10</f>
        <v>#VALUE!</v>
      </c>
      <c r="BR150" s="16" t="e">
        <f aca="false">SUM(MatchData[[#this row],[cheval teleop crossing score]:[low bar teleop crossing score]])</f>
        <v>#VALUE!</v>
      </c>
      <c r="BS150" s="16" t="e">
        <f aca="false">SUMIF(MatchData[team],MatchData[[#this row],[team]],MatchData[total auto score])/MatchData[match count]</f>
        <v>#VALUE!</v>
      </c>
      <c r="BT150" s="16" t="e">
        <f aca="false">MatchData[challenge flag]*5</f>
        <v>#VALUE!</v>
      </c>
      <c r="BU150" s="16" t="e">
        <f aca="false">MatchData[climb flag]*15</f>
        <v>#VALUE!</v>
      </c>
      <c r="BV150" s="16" t="e">
        <f aca="false">SUM(MatchData[[#this row],[total goal score]],MatchData[[#this row],[crossing score]],MatchData[[#this row],[challenge score]],MatchData[[#this row],[climb score]],MatchData[[#this row],[total auto score]])</f>
        <v>#VALUE!</v>
      </c>
      <c r="BW150" s="16" t="e">
        <f aca="false">ROUND(SUMIF(MatchData[team],MatchData[[#this row],[team]],MatchData[teleop low goals])/COUNTIF(MatchData[team],MatchData[[#this row],[team]]),2)</f>
        <v>#VALUE!</v>
      </c>
      <c r="BX150" s="16" t="e">
        <f aca="false">ROUND(SUMIF(MatchData[team],MatchData[[#this row],[team]],MatchData[teleop high goals])/COUNTIF(MatchData[team],MatchData[[#this row],[team]]),2)</f>
        <v>#VALUE!</v>
      </c>
      <c r="BY150" s="16" t="e">
        <f aca="false">COUNTIF(MatchData[team],MatchData[[#this row],[team]])</f>
        <v>#VALUE!</v>
      </c>
      <c r="BZ150" s="16" t="e">
        <f aca="false">SUMIF(MatchData[team],MatchData[[#this row],[team]],MatchData[portcullis available])</f>
        <v>#VALUE!</v>
      </c>
      <c r="CA150" s="16" t="e">
        <f aca="false">SUMIF(MatchData[team],MatchData[[#this row],[team]],MatchData[cheval available])</f>
        <v>#VALUE!</v>
      </c>
      <c r="CB150" s="16" t="e">
        <f aca="false">SUMIF(MatchData[team],MatchData[[#this row],[team]],MatchData[moat available])</f>
        <v>#VALUE!</v>
      </c>
      <c r="CC150" s="16" t="e">
        <f aca="false">SUMIF(MatchData[team],MatchData[[#this row],[team]],MatchData[ramparts available])</f>
        <v>#VALUE!</v>
      </c>
      <c r="CD150" s="16" t="e">
        <f aca="false">SUMIF(MatchData[team],MatchData[[#this row],[team]],MatchData[drawbridge available])</f>
        <v>#VALUE!</v>
      </c>
      <c r="CE150" s="16" t="e">
        <f aca="false">SUMIF(MatchData[team],MatchData[[#this row],[team]],MatchData[sally port available])</f>
        <v>#VALUE!</v>
      </c>
      <c r="CF150" s="16" t="e">
        <f aca="false">SUMIF(MatchData[team],MatchData[[#this row],[team]],MatchData[rock wall available])</f>
        <v>#VALUE!</v>
      </c>
      <c r="CG150" s="16" t="e">
        <f aca="false">SUMIF(MatchData[team],MatchData[[#this row],[team]],MatchData[rough terrain available])</f>
        <v>#VALUE!</v>
      </c>
      <c r="CH150" s="16" t="e">
        <f aca="false">SUMIF(MatchData[team],MatchData[[#this row],[team]],MatchData[low bar available])</f>
        <v>#VALUE!</v>
      </c>
      <c r="CI150" s="16" t="e">
        <f aca="false">SUMIF(MatchData[team],MatchData[[#this row],[team]],MatchData[portcullis teleop crossings]:MatchData[portcullis scored crossings])</f>
        <v>#VALUE!</v>
      </c>
      <c r="CJ150" s="16" t="e">
        <f aca="false">SUMIF(MatchData[team],MatchData[[#this row],[team]],MatchData[cheval teleop crossings])+SUMIF(MatchData[team],MatchData[[#this row],[team]],MatchData[cheval scored crossings])</f>
        <v>#VALUE!</v>
      </c>
      <c r="CK150" s="16" t="e">
        <f aca="false">SUMIF(MatchData[team],MatchData[[#this row],[team]],MatchData[moat teleop crossings])+SUMIF(MatchData[team],MatchData[[#this row],[team]],MatchData[moat scored crosings])</f>
        <v>#VALUE!</v>
      </c>
      <c r="CL150" s="16" t="e">
        <f aca="false">SUMIF(MatchData[team],MatchData[[#this row],[team]],MatchData[ramparts teleop crossings])+SUMIF(MatchData[team],MatchData[[#this row],[team]],MatchData[ramparts scored crossings])</f>
        <v>#VALUE!</v>
      </c>
      <c r="CM150" s="16" t="e">
        <f aca="false">SUMIF(MatchData[team],MatchData[[#this row],[team]],MatchData[drawbridge teleop crossings])+SUMIF(MatchData[team],MatchData[[#this row],[team]],MatchData[drawbridge scored crossings])</f>
        <v>#VALUE!</v>
      </c>
      <c r="CN150" s="16" t="e">
        <f aca="false">SUMIF(MatchData[team],MatchData[[#this row],[team]],MatchData[sally port teleop crossings])+SUMIF(MatchData[team],MatchData[[#this row],[team]],MatchData[sally port scored crossings])</f>
        <v>#VALUE!</v>
      </c>
      <c r="CO150" s="16" t="e">
        <f aca="false">SUMIF(MatchData[team],MatchData[[#this row],[team]],MatchData[rock wall teleop crossings])+SUMIF(MatchData[team],MatchData[[#this row],[team]],MatchData[rock wall scored crossings])</f>
        <v>#VALUE!</v>
      </c>
      <c r="CP150" s="16" t="e">
        <f aca="false">SUMIF(MatchData[team],MatchData[[#this row],[team]],MatchData[rough terrain teleop crossings])+SUMIF(MatchData[team],MatchData[[#this row],[team]],MatchData[rough terrain scored crossings])</f>
        <v>#VALUE!</v>
      </c>
      <c r="CQ150" s="16" t="e">
        <f aca="false">SUMIF(MatchData[team],MatchData[[#this row],[team]],MatchData[low bar teleop crossings])+SUMIF(MatchData[team],MatchData[[#this row],[team]],MatchData[low bar scored crossings])</f>
        <v>#VALUE!</v>
      </c>
      <c r="CR150" s="16" t="e">
        <f aca="false">IFERROR(ROUND(MatchData[[#this row],[portcullis sum]]/MatchData[[#this row],[portcullis avail count]],2),0)</f>
        <v>#VALUE!</v>
      </c>
      <c r="CS150" s="16" t="e">
        <f aca="false">IFERROR(ROUND(MatchData[[#this row],[cheval sum]]/MatchData[[#this row],[cheval avail count]],2),0)</f>
        <v>#VALUE!</v>
      </c>
      <c r="CT150" s="16" t="e">
        <f aca="false">IFERROR(ROUND(MatchData[[#this row],[moat sum]]/MatchData[[#this row],[moat avail count]],2),0)</f>
        <v>#VALUE!</v>
      </c>
      <c r="CU150" s="16" t="e">
        <f aca="false">IFERROR(ROUND(MatchData[[#this row],[ramparts sum]]/MatchData[[#this row],[ramparts avail count]],2),0)</f>
        <v>#VALUE!</v>
      </c>
      <c r="CV150" s="16" t="e">
        <f aca="false">IFERROR(ROUND(MatchData[[#this row],[drawbridge sum]]/MatchData[[#this row],[drawbridge avail countigh6]],2),0)</f>
        <v>#VALUE!</v>
      </c>
      <c r="CW150" s="16" t="e">
        <f aca="false">IFERROR(ROUND(MatchData[[#this row],[sally port sum]]/MatchData[[#this row],[sally port avail count]],2),0)</f>
        <v>#VALUE!</v>
      </c>
      <c r="CX150" s="5" t="e">
        <f aca="false">IFERROR(ROUND(MatchData[[#this row],[rock wall sum]]/MatchData[[#this row],[rock wall avail count]],2),0)</f>
        <v>#VALUE!</v>
      </c>
      <c r="CY150" s="5" t="e">
        <f aca="false">IFERROR(ROUND(MatchData[[#this row],[rough terrain sum]]/MatchData[[#this row],[rough terrain avail count]],2),0)</f>
        <v>#VALUE!</v>
      </c>
      <c r="CZ150" s="5" t="e">
        <f aca="false">IFERROR(ROUND(MatchData[[#this row],[low bar sum]]/MatchData[[#this row],[low bar avail count]],2),0)</f>
        <v>#VALUE!</v>
      </c>
      <c r="DA150" s="16" t="e">
        <f aca="false">SUM(MatchData[[#this row],[cheval sum]:[low bar sum]])/MatchData[match count]</f>
        <v>#VALUE!</v>
      </c>
      <c r="DB150" s="16" t="n">
        <f aca="false">MAX(IF(C$2:C$74=C150,BP$2:BP$74))</f>
        <v>-1.79769313486232E+308</v>
      </c>
      <c r="DC150" s="16" t="e">
        <f aca="false">AVERAGEIF(MatchData[team],MatchData[[#this row],[team]],MatchData[total score])</f>
        <v>#VALUE!</v>
      </c>
      <c r="DD150" s="16" t="e">
        <f aca="false">ROUND(AVERAGEIF(MatchData[team],MatchData[team],MatchData[climb or challenge flag]),2)</f>
        <v>#VALUE!</v>
      </c>
    </row>
    <row r="151" customFormat="false" ht="14.5" hidden="false" customHeight="false" outlineLevel="0" collapsed="false">
      <c r="A151" s="17" t="s">
        <v>108</v>
      </c>
      <c r="B151" s="18" t="n">
        <v>25</v>
      </c>
      <c r="C151" s="15" t="n">
        <v>4127</v>
      </c>
      <c r="D151" s="5" t="s">
        <v>113</v>
      </c>
      <c r="E151" s="5" t="s">
        <v>125</v>
      </c>
      <c r="G151" s="16"/>
      <c r="I151" s="16"/>
      <c r="J151" s="5" t="n">
        <v>1</v>
      </c>
      <c r="K151" s="16"/>
      <c r="L151" s="5" t="n">
        <v>1</v>
      </c>
      <c r="N151" s="5" t="n">
        <v>1</v>
      </c>
      <c r="O151" s="0"/>
      <c r="P151" s="5" t="n">
        <v>1</v>
      </c>
      <c r="Q151" s="0"/>
      <c r="R151" s="5" t="n">
        <v>1</v>
      </c>
      <c r="S151" s="16"/>
      <c r="T151" s="0"/>
      <c r="U151" s="16"/>
      <c r="V151" s="16"/>
      <c r="W151" s="0"/>
      <c r="AD151" s="16"/>
      <c r="AE151" s="5"/>
      <c r="AF151" s="16"/>
      <c r="AG151" s="16"/>
      <c r="AH151" s="16"/>
      <c r="AJ151" s="16"/>
      <c r="AL151" s="16"/>
      <c r="AN151" s="16"/>
      <c r="AP151" s="16"/>
      <c r="AR151" s="16"/>
      <c r="AT151" s="16"/>
      <c r="AU151" s="16"/>
      <c r="AV151" s="16"/>
      <c r="AW151" s="16"/>
      <c r="AX151" s="16"/>
      <c r="AY151" s="16"/>
      <c r="AZ151" s="16" t="n">
        <v>1</v>
      </c>
      <c r="BB151" s="16"/>
      <c r="BC151" s="16" t="e">
        <f aca="false">MatchData[cheval scored crossings]*5</f>
        <v>#VALUE!</v>
      </c>
      <c r="BD151" s="16" t="e">
        <f aca="false">MatchData[moat scored crosings]*5</f>
        <v>#VALUE!</v>
      </c>
      <c r="BE151" s="16" t="e">
        <f aca="false">MatchData[ramparts scored crossings]*5</f>
        <v>#VALUE!</v>
      </c>
      <c r="BF151" s="16" t="e">
        <f aca="false">MatchData[drawbridge scored crossings]*5</f>
        <v>#VALUE!</v>
      </c>
      <c r="BG151" s="16" t="e">
        <f aca="false">MatchData[sally port scored crossings]*5</f>
        <v>#VALUE!</v>
      </c>
      <c r="BH151" s="16" t="e">
        <f aca="false">MatchData[rock wall scored crossings]*5</f>
        <v>#VALUE!</v>
      </c>
      <c r="BI151" s="16" t="e">
        <f aca="false">MatchData[rough terrain scored crossings]*5</f>
        <v>#VALUE!</v>
      </c>
      <c r="BJ151" s="16" t="e">
        <f aca="false">MatchData[low bar scored crossings]*5</f>
        <v>#VALUE!</v>
      </c>
      <c r="BK151" s="16" t="e">
        <f aca="false">SUM(MatchData[[#this row],[low bar teleop crossings]:[rough terrain scored crossings]])</f>
        <v>#VALUE!</v>
      </c>
      <c r="BL151" s="16" t="e">
        <f aca="false">IFERROR(IF(OR(MatchData[[#this row],[challenge flag]],MatchData[[#this row],[climb flag]]),1,0),0)</f>
        <v>#VALUE!</v>
      </c>
      <c r="BM151" s="16" t="e">
        <f aca="false">MatchData[auto high goals]*10+MatchData[teleop high goals]*5</f>
        <v>#VALUE!</v>
      </c>
      <c r="BN151" s="16" t="e">
        <f aca="false">MatchData[auto low goals]*5+MatchData[teleop low goals]*2</f>
        <v>#VALUE!</v>
      </c>
      <c r="BO151" s="16" t="e">
        <f aca="false">MatchData[high goal score]+MatchData[low goal score]</f>
        <v>#VALUE!</v>
      </c>
      <c r="BP151" s="16" t="e">
        <f aca="false">MatchData[teleop high goals]+MatchData[teleop low goals]</f>
        <v>#VALUE!</v>
      </c>
      <c r="BQ151" s="16" t="e">
        <f aca="false">MatchData[[#this row],[auto reach flag]]*2+SUM(MatchData[[#this row],[portcullis auto crossings]:[low bar auto crossings]])*10+MatchData[[#this row],[auto low goals]]*5+MatchData[auto high goals]*10</f>
        <v>#VALUE!</v>
      </c>
      <c r="BR151" s="16" t="e">
        <f aca="false">SUM(MatchData[[#this row],[cheval teleop crossing score]:[low bar teleop crossing score]])</f>
        <v>#VALUE!</v>
      </c>
      <c r="BS151" s="16" t="e">
        <f aca="false">SUMIF(MatchData[team],MatchData[[#this row],[team]],MatchData[total auto score])/MatchData[match count]</f>
        <v>#VALUE!</v>
      </c>
      <c r="BT151" s="16" t="e">
        <f aca="false">MatchData[challenge flag]*5</f>
        <v>#VALUE!</v>
      </c>
      <c r="BU151" s="16" t="e">
        <f aca="false">MatchData[climb flag]*15</f>
        <v>#VALUE!</v>
      </c>
      <c r="BV151" s="16" t="e">
        <f aca="false">SUM(MatchData[[#this row],[total goal score]],MatchData[[#this row],[crossing score]],MatchData[[#this row],[challenge score]],MatchData[[#this row],[climb score]],MatchData[[#this row],[total auto score]])</f>
        <v>#VALUE!</v>
      </c>
      <c r="BW151" s="16" t="e">
        <f aca="false">ROUND(SUMIF(MatchData[team],MatchData[[#this row],[team]],MatchData[teleop low goals])/COUNTIF(MatchData[team],MatchData[[#this row],[team]]),2)</f>
        <v>#VALUE!</v>
      </c>
      <c r="BX151" s="16" t="e">
        <f aca="false">ROUND(SUMIF(MatchData[team],MatchData[[#this row],[team]],MatchData[teleop high goals])/COUNTIF(MatchData[team],MatchData[[#this row],[team]]),2)</f>
        <v>#VALUE!</v>
      </c>
      <c r="BY151" s="16" t="e">
        <f aca="false">COUNTIF(MatchData[team],MatchData[[#this row],[team]])</f>
        <v>#VALUE!</v>
      </c>
      <c r="BZ151" s="16" t="e">
        <f aca="false">SUMIF(MatchData[team],MatchData[[#this row],[team]],MatchData[portcullis available])</f>
        <v>#VALUE!</v>
      </c>
      <c r="CA151" s="16" t="e">
        <f aca="false">SUMIF(MatchData[team],MatchData[[#this row],[team]],MatchData[cheval available])</f>
        <v>#VALUE!</v>
      </c>
      <c r="CB151" s="16" t="e">
        <f aca="false">SUMIF(MatchData[team],MatchData[[#this row],[team]],MatchData[moat available])</f>
        <v>#VALUE!</v>
      </c>
      <c r="CC151" s="16" t="e">
        <f aca="false">SUMIF(MatchData[team],MatchData[[#this row],[team]],MatchData[ramparts available])</f>
        <v>#VALUE!</v>
      </c>
      <c r="CD151" s="16" t="e">
        <f aca="false">SUMIF(MatchData[team],MatchData[[#this row],[team]],MatchData[drawbridge available])</f>
        <v>#VALUE!</v>
      </c>
      <c r="CE151" s="16" t="e">
        <f aca="false">SUMIF(MatchData[team],MatchData[[#this row],[team]],MatchData[sally port available])</f>
        <v>#VALUE!</v>
      </c>
      <c r="CF151" s="16" t="e">
        <f aca="false">SUMIF(MatchData[team],MatchData[[#this row],[team]],MatchData[rock wall available])</f>
        <v>#VALUE!</v>
      </c>
      <c r="CG151" s="16" t="e">
        <f aca="false">SUMIF(MatchData[team],MatchData[[#this row],[team]],MatchData[rough terrain available])</f>
        <v>#VALUE!</v>
      </c>
      <c r="CH151" s="16" t="e">
        <f aca="false">SUMIF(MatchData[team],MatchData[[#this row],[team]],MatchData[low bar available])</f>
        <v>#VALUE!</v>
      </c>
      <c r="CI151" s="16" t="e">
        <f aca="false">SUMIF(MatchData[team],MatchData[[#this row],[team]],MatchData[portcullis teleop crossings]:MatchData[portcullis scored crossings])</f>
        <v>#VALUE!</v>
      </c>
      <c r="CJ151" s="16" t="e">
        <f aca="false">SUMIF(MatchData[team],MatchData[[#this row],[team]],MatchData[cheval teleop crossings])+SUMIF(MatchData[team],MatchData[[#this row],[team]],MatchData[cheval scored crossings])</f>
        <v>#VALUE!</v>
      </c>
      <c r="CK151" s="16" t="e">
        <f aca="false">SUMIF(MatchData[team],MatchData[[#this row],[team]],MatchData[moat teleop crossings])+SUMIF(MatchData[team],MatchData[[#this row],[team]],MatchData[moat scored crosings])</f>
        <v>#VALUE!</v>
      </c>
      <c r="CL151" s="16" t="e">
        <f aca="false">SUMIF(MatchData[team],MatchData[[#this row],[team]],MatchData[ramparts teleop crossings])+SUMIF(MatchData[team],MatchData[[#this row],[team]],MatchData[ramparts scored crossings])</f>
        <v>#VALUE!</v>
      </c>
      <c r="CM151" s="16" t="e">
        <f aca="false">SUMIF(MatchData[team],MatchData[[#this row],[team]],MatchData[drawbridge teleop crossings])+SUMIF(MatchData[team],MatchData[[#this row],[team]],MatchData[drawbridge scored crossings])</f>
        <v>#VALUE!</v>
      </c>
      <c r="CN151" s="16" t="e">
        <f aca="false">SUMIF(MatchData[team],MatchData[[#this row],[team]],MatchData[sally port teleop crossings])+SUMIF(MatchData[team],MatchData[[#this row],[team]],MatchData[sally port scored crossings])</f>
        <v>#VALUE!</v>
      </c>
      <c r="CO151" s="16" t="e">
        <f aca="false">SUMIF(MatchData[team],MatchData[[#this row],[team]],MatchData[rock wall teleop crossings])+SUMIF(MatchData[team],MatchData[[#this row],[team]],MatchData[rock wall scored crossings])</f>
        <v>#VALUE!</v>
      </c>
      <c r="CP151" s="16" t="e">
        <f aca="false">SUMIF(MatchData[team],MatchData[[#this row],[team]],MatchData[rough terrain teleop crossings])+SUMIF(MatchData[team],MatchData[[#this row],[team]],MatchData[rough terrain scored crossings])</f>
        <v>#VALUE!</v>
      </c>
      <c r="CQ151" s="16" t="e">
        <f aca="false">SUMIF(MatchData[team],MatchData[[#this row],[team]],MatchData[low bar teleop crossings])+SUMIF(MatchData[team],MatchData[[#this row],[team]],MatchData[low bar scored crossings])</f>
        <v>#VALUE!</v>
      </c>
      <c r="CR151" s="16" t="e">
        <f aca="false">IFERROR(ROUND(MatchData[[#this row],[portcullis sum]]/MatchData[[#this row],[portcullis avail count]],2),0)</f>
        <v>#VALUE!</v>
      </c>
      <c r="CS151" s="16" t="e">
        <f aca="false">IFERROR(ROUND(MatchData[[#this row],[cheval sum]]/MatchData[[#this row],[cheval avail count]],2),0)</f>
        <v>#VALUE!</v>
      </c>
      <c r="CT151" s="16" t="e">
        <f aca="false">IFERROR(ROUND(MatchData[[#this row],[moat sum]]/MatchData[[#this row],[moat avail count]],2),0)</f>
        <v>#VALUE!</v>
      </c>
      <c r="CU151" s="16" t="e">
        <f aca="false">IFERROR(ROUND(MatchData[[#this row],[ramparts sum]]/MatchData[[#this row],[ramparts avail count]],2),0)</f>
        <v>#VALUE!</v>
      </c>
      <c r="CV151" s="16" t="e">
        <f aca="false">IFERROR(ROUND(MatchData[[#this row],[drawbridge sum]]/MatchData[[#this row],[drawbridge avail countigh6]],2),0)</f>
        <v>#VALUE!</v>
      </c>
      <c r="CW151" s="16" t="e">
        <f aca="false">IFERROR(ROUND(MatchData[[#this row],[sally port sum]]/MatchData[[#this row],[sally port avail count]],2),0)</f>
        <v>#VALUE!</v>
      </c>
      <c r="CX151" s="5" t="e">
        <f aca="false">IFERROR(ROUND(MatchData[[#this row],[rock wall sum]]/MatchData[[#this row],[rock wall avail count]],2),0)</f>
        <v>#VALUE!</v>
      </c>
      <c r="CY151" s="5" t="e">
        <f aca="false">IFERROR(ROUND(MatchData[[#this row],[rough terrain sum]]/MatchData[[#this row],[rough terrain avail count]],2),0)</f>
        <v>#VALUE!</v>
      </c>
      <c r="CZ151" s="5" t="e">
        <f aca="false">IFERROR(ROUND(MatchData[[#this row],[low bar sum]]/MatchData[[#this row],[low bar avail count]],2),0)</f>
        <v>#VALUE!</v>
      </c>
      <c r="DA151" s="16" t="e">
        <f aca="false">SUM(MatchData[[#this row],[cheval sum]:[low bar sum]])/MatchData[match count]</f>
        <v>#VALUE!</v>
      </c>
      <c r="DB151" s="16" t="n">
        <f aca="false">MAX(IF(C$2:C$74=C151,BP$2:BP$74))</f>
        <v>-1.79769313486232E+308</v>
      </c>
      <c r="DC151" s="16" t="e">
        <f aca="false">AVERAGEIF(MatchData[team],MatchData[[#this row],[team]],MatchData[total score])</f>
        <v>#VALUE!</v>
      </c>
      <c r="DD151" s="16" t="e">
        <f aca="false">ROUND(AVERAGEIF(MatchData[team],MatchData[team],MatchData[climb or challenge flag]),2)</f>
        <v>#VALUE!</v>
      </c>
    </row>
    <row r="152" customFormat="false" ht="14.5" hidden="false" customHeight="false" outlineLevel="0" collapsed="false">
      <c r="A152" s="13" t="s">
        <v>108</v>
      </c>
      <c r="B152" s="14" t="n">
        <v>26</v>
      </c>
      <c r="C152" s="15" t="n">
        <v>955</v>
      </c>
      <c r="D152" s="5" t="s">
        <v>109</v>
      </c>
      <c r="E152" s="5" t="s">
        <v>123</v>
      </c>
      <c r="G152" s="16" t="n">
        <v>2</v>
      </c>
      <c r="I152" s="16"/>
      <c r="J152" s="5" t="n">
        <v>1</v>
      </c>
      <c r="K152" s="16"/>
      <c r="L152" s="5" t="n">
        <v>1</v>
      </c>
      <c r="M152" s="5" t="n">
        <v>1</v>
      </c>
      <c r="N152" s="0"/>
      <c r="O152" s="0"/>
      <c r="P152" s="5" t="n">
        <v>1</v>
      </c>
      <c r="Q152" s="5" t="n">
        <v>1</v>
      </c>
      <c r="R152" s="0"/>
      <c r="S152" s="16"/>
      <c r="T152" s="0"/>
      <c r="U152" s="16"/>
      <c r="V152" s="16"/>
      <c r="W152" s="0"/>
      <c r="Z152" s="5" t="n">
        <v>1</v>
      </c>
      <c r="AD152" s="16"/>
      <c r="AE152" s="5"/>
      <c r="AF152" s="16"/>
      <c r="AG152" s="16"/>
      <c r="AH152" s="16" t="n">
        <v>1</v>
      </c>
      <c r="AJ152" s="16"/>
      <c r="AL152" s="16"/>
      <c r="AN152" s="16"/>
      <c r="AP152" s="16"/>
      <c r="AR152" s="16" t="n">
        <v>2</v>
      </c>
      <c r="AT152" s="16"/>
      <c r="AU152" s="16"/>
      <c r="AV152" s="16"/>
      <c r="AW152" s="16" t="n">
        <v>1</v>
      </c>
      <c r="AX152" s="16"/>
      <c r="AY152" s="16"/>
      <c r="AZ152" s="16"/>
      <c r="BB152" s="16"/>
      <c r="BC152" s="16" t="e">
        <f aca="false">MatchData[cheval scored crossings]*5</f>
        <v>#VALUE!</v>
      </c>
      <c r="BD152" s="16" t="e">
        <f aca="false">MatchData[moat scored crosings]*5</f>
        <v>#VALUE!</v>
      </c>
      <c r="BE152" s="16" t="e">
        <f aca="false">MatchData[ramparts scored crossings]*5</f>
        <v>#VALUE!</v>
      </c>
      <c r="BF152" s="16" t="e">
        <f aca="false">MatchData[drawbridge scored crossings]*5</f>
        <v>#VALUE!</v>
      </c>
      <c r="BG152" s="16" t="e">
        <f aca="false">MatchData[sally port scored crossings]*5</f>
        <v>#VALUE!</v>
      </c>
      <c r="BH152" s="16" t="e">
        <f aca="false">MatchData[rock wall scored crossings]*5</f>
        <v>#VALUE!</v>
      </c>
      <c r="BI152" s="16" t="e">
        <f aca="false">MatchData[rough terrain scored crossings]*5</f>
        <v>#VALUE!</v>
      </c>
      <c r="BJ152" s="16" t="e">
        <f aca="false">MatchData[low bar scored crossings]*5</f>
        <v>#VALUE!</v>
      </c>
      <c r="BK152" s="16" t="e">
        <f aca="false">SUM(MatchData[[#this row],[low bar teleop crossings]:[rough terrain scored crossings]])</f>
        <v>#VALUE!</v>
      </c>
      <c r="BL152" s="16" t="e">
        <f aca="false">IFERROR(IF(OR(MatchData[[#this row],[challenge flag]],MatchData[[#this row],[climb flag]]),1,0),0)</f>
        <v>#VALUE!</v>
      </c>
      <c r="BM152" s="16" t="e">
        <f aca="false">MatchData[auto high goals]*10+MatchData[teleop high goals]*5</f>
        <v>#VALUE!</v>
      </c>
      <c r="BN152" s="16" t="e">
        <f aca="false">MatchData[auto low goals]*5+MatchData[teleop low goals]*2</f>
        <v>#VALUE!</v>
      </c>
      <c r="BO152" s="16" t="e">
        <f aca="false">MatchData[high goal score]+MatchData[low goal score]</f>
        <v>#VALUE!</v>
      </c>
      <c r="BP152" s="16" t="e">
        <f aca="false">MatchData[teleop high goals]+MatchData[teleop low goals]</f>
        <v>#VALUE!</v>
      </c>
      <c r="BQ152" s="16" t="e">
        <f aca="false">MatchData[[#this row],[auto reach flag]]*2+SUM(MatchData[[#this row],[portcullis auto crossings]:[low bar auto crossings]])*10+MatchData[[#this row],[auto low goals]]*5+MatchData[auto high goals]*10</f>
        <v>#VALUE!</v>
      </c>
      <c r="BR152" s="16" t="e">
        <f aca="false">SUM(MatchData[[#this row],[cheval teleop crossing score]:[low bar teleop crossing score]])</f>
        <v>#VALUE!</v>
      </c>
      <c r="BS152" s="16" t="e">
        <f aca="false">SUMIF(MatchData[team],MatchData[[#this row],[team]],MatchData[total auto score])/MatchData[match count]</f>
        <v>#VALUE!</v>
      </c>
      <c r="BT152" s="16" t="e">
        <f aca="false">MatchData[challenge flag]*5</f>
        <v>#VALUE!</v>
      </c>
      <c r="BU152" s="16" t="e">
        <f aca="false">MatchData[climb flag]*15</f>
        <v>#VALUE!</v>
      </c>
      <c r="BV152" s="16" t="e">
        <f aca="false">SUM(MatchData[[#this row],[total goal score]],MatchData[[#this row],[crossing score]],MatchData[[#this row],[challenge score]],MatchData[[#this row],[climb score]],MatchData[[#this row],[total auto score]])</f>
        <v>#VALUE!</v>
      </c>
      <c r="BW152" s="16" t="e">
        <f aca="false">ROUND(SUMIF(MatchData[team],MatchData[[#this row],[team]],MatchData[teleop low goals])/COUNTIF(MatchData[team],MatchData[[#this row],[team]]),2)</f>
        <v>#VALUE!</v>
      </c>
      <c r="BX152" s="16" t="e">
        <f aca="false">ROUND(SUMIF(MatchData[team],MatchData[[#this row],[team]],MatchData[teleop high goals])/COUNTIF(MatchData[team],MatchData[[#this row],[team]]),2)</f>
        <v>#VALUE!</v>
      </c>
      <c r="BY152" s="16" t="e">
        <f aca="false">COUNTIF(MatchData[team],MatchData[[#this row],[team]])</f>
        <v>#VALUE!</v>
      </c>
      <c r="BZ152" s="16" t="e">
        <f aca="false">SUMIF(MatchData[team],MatchData[[#this row],[team]],MatchData[portcullis available])</f>
        <v>#VALUE!</v>
      </c>
      <c r="CA152" s="16" t="e">
        <f aca="false">SUMIF(MatchData[team],MatchData[[#this row],[team]],MatchData[cheval available])</f>
        <v>#VALUE!</v>
      </c>
      <c r="CB152" s="16" t="e">
        <f aca="false">SUMIF(MatchData[team],MatchData[[#this row],[team]],MatchData[moat available])</f>
        <v>#VALUE!</v>
      </c>
      <c r="CC152" s="16" t="e">
        <f aca="false">SUMIF(MatchData[team],MatchData[[#this row],[team]],MatchData[ramparts available])</f>
        <v>#VALUE!</v>
      </c>
      <c r="CD152" s="16" t="e">
        <f aca="false">SUMIF(MatchData[team],MatchData[[#this row],[team]],MatchData[drawbridge available])</f>
        <v>#VALUE!</v>
      </c>
      <c r="CE152" s="16" t="e">
        <f aca="false">SUMIF(MatchData[team],MatchData[[#this row],[team]],MatchData[sally port available])</f>
        <v>#VALUE!</v>
      </c>
      <c r="CF152" s="16" t="e">
        <f aca="false">SUMIF(MatchData[team],MatchData[[#this row],[team]],MatchData[rock wall available])</f>
        <v>#VALUE!</v>
      </c>
      <c r="CG152" s="16" t="e">
        <f aca="false">SUMIF(MatchData[team],MatchData[[#this row],[team]],MatchData[rough terrain available])</f>
        <v>#VALUE!</v>
      </c>
      <c r="CH152" s="16" t="e">
        <f aca="false">SUMIF(MatchData[team],MatchData[[#this row],[team]],MatchData[low bar available])</f>
        <v>#VALUE!</v>
      </c>
      <c r="CI152" s="16" t="e">
        <f aca="false">SUMIF(MatchData[team],MatchData[[#this row],[team]],MatchData[portcullis teleop crossings]:MatchData[portcullis scored crossings])</f>
        <v>#VALUE!</v>
      </c>
      <c r="CJ152" s="16" t="e">
        <f aca="false">SUMIF(MatchData[team],MatchData[[#this row],[team]],MatchData[cheval teleop crossings])+SUMIF(MatchData[team],MatchData[[#this row],[team]],MatchData[cheval scored crossings])</f>
        <v>#VALUE!</v>
      </c>
      <c r="CK152" s="16" t="e">
        <f aca="false">SUMIF(MatchData[team],MatchData[[#this row],[team]],MatchData[moat teleop crossings])+SUMIF(MatchData[team],MatchData[[#this row],[team]],MatchData[moat scored crosings])</f>
        <v>#VALUE!</v>
      </c>
      <c r="CL152" s="16" t="e">
        <f aca="false">SUMIF(MatchData[team],MatchData[[#this row],[team]],MatchData[ramparts teleop crossings])+SUMIF(MatchData[team],MatchData[[#this row],[team]],MatchData[ramparts scored crossings])</f>
        <v>#VALUE!</v>
      </c>
      <c r="CM152" s="16" t="e">
        <f aca="false">SUMIF(MatchData[team],MatchData[[#this row],[team]],MatchData[drawbridge teleop crossings])+SUMIF(MatchData[team],MatchData[[#this row],[team]],MatchData[drawbridge scored crossings])</f>
        <v>#VALUE!</v>
      </c>
      <c r="CN152" s="16" t="e">
        <f aca="false">SUMIF(MatchData[team],MatchData[[#this row],[team]],MatchData[sally port teleop crossings])+SUMIF(MatchData[team],MatchData[[#this row],[team]],MatchData[sally port scored crossings])</f>
        <v>#VALUE!</v>
      </c>
      <c r="CO152" s="16" t="e">
        <f aca="false">SUMIF(MatchData[team],MatchData[[#this row],[team]],MatchData[rock wall teleop crossings])+SUMIF(MatchData[team],MatchData[[#this row],[team]],MatchData[rock wall scored crossings])</f>
        <v>#VALUE!</v>
      </c>
      <c r="CP152" s="16" t="e">
        <f aca="false">SUMIF(MatchData[team],MatchData[[#this row],[team]],MatchData[rough terrain teleop crossings])+SUMIF(MatchData[team],MatchData[[#this row],[team]],MatchData[rough terrain scored crossings])</f>
        <v>#VALUE!</v>
      </c>
      <c r="CQ152" s="16" t="e">
        <f aca="false">SUMIF(MatchData[team],MatchData[[#this row],[team]],MatchData[low bar teleop crossings])+SUMIF(MatchData[team],MatchData[[#this row],[team]],MatchData[low bar scored crossings])</f>
        <v>#VALUE!</v>
      </c>
      <c r="CR152" s="16" t="e">
        <f aca="false">IFERROR(ROUND(MatchData[[#this row],[portcullis sum]]/MatchData[[#this row],[portcullis avail count]],2),0)</f>
        <v>#VALUE!</v>
      </c>
      <c r="CS152" s="16" t="e">
        <f aca="false">IFERROR(ROUND(MatchData[[#this row],[cheval sum]]/MatchData[[#this row],[cheval avail count]],2),0)</f>
        <v>#VALUE!</v>
      </c>
      <c r="CT152" s="16" t="e">
        <f aca="false">IFERROR(ROUND(MatchData[[#this row],[moat sum]]/MatchData[[#this row],[moat avail count]],2),0)</f>
        <v>#VALUE!</v>
      </c>
      <c r="CU152" s="16" t="e">
        <f aca="false">IFERROR(ROUND(MatchData[[#this row],[ramparts sum]]/MatchData[[#this row],[ramparts avail count]],2),0)</f>
        <v>#VALUE!</v>
      </c>
      <c r="CV152" s="16" t="e">
        <f aca="false">IFERROR(ROUND(MatchData[[#this row],[drawbridge sum]]/MatchData[[#this row],[drawbridge avail countigh6]],2),0)</f>
        <v>#VALUE!</v>
      </c>
      <c r="CW152" s="16" t="e">
        <f aca="false">IFERROR(ROUND(MatchData[[#this row],[sally port sum]]/MatchData[[#this row],[sally port avail count]],2),0)</f>
        <v>#VALUE!</v>
      </c>
      <c r="CX152" s="5" t="e">
        <f aca="false">IFERROR(ROUND(MatchData[[#this row],[rock wall sum]]/MatchData[[#this row],[rock wall avail count]],2),0)</f>
        <v>#VALUE!</v>
      </c>
      <c r="CY152" s="5" t="e">
        <f aca="false">IFERROR(ROUND(MatchData[[#this row],[rough terrain sum]]/MatchData[[#this row],[rough terrain avail count]],2),0)</f>
        <v>#VALUE!</v>
      </c>
      <c r="CZ152" s="5" t="e">
        <f aca="false">IFERROR(ROUND(MatchData[[#this row],[low bar sum]]/MatchData[[#this row],[low bar avail count]],2),0)</f>
        <v>#VALUE!</v>
      </c>
      <c r="DA152" s="16" t="e">
        <f aca="false">SUM(MatchData[[#this row],[cheval sum]:[low bar sum]])/MatchData[match count]</f>
        <v>#VALUE!</v>
      </c>
      <c r="DB152" s="16" t="n">
        <f aca="false">MAX(IF(C$2:C$74=C152,BP$2:BP$74))</f>
        <v>-1.79769313486232E+308</v>
      </c>
      <c r="DC152" s="16" t="e">
        <f aca="false">AVERAGEIF(MatchData[team],MatchData[[#this row],[team]],MatchData[total score])</f>
        <v>#VALUE!</v>
      </c>
      <c r="DD152" s="16" t="e">
        <f aca="false">ROUND(AVERAGEIF(MatchData[team],MatchData[team],MatchData[climb or challenge flag]),2)</f>
        <v>#VALUE!</v>
      </c>
    </row>
    <row r="153" customFormat="false" ht="14.5" hidden="false" customHeight="false" outlineLevel="0" collapsed="false">
      <c r="A153" s="13" t="s">
        <v>108</v>
      </c>
      <c r="B153" s="14" t="n">
        <v>26</v>
      </c>
      <c r="C153" s="15" t="n">
        <v>957</v>
      </c>
      <c r="D153" s="5" t="s">
        <v>109</v>
      </c>
      <c r="E153" s="5" t="s">
        <v>110</v>
      </c>
      <c r="G153" s="16"/>
      <c r="I153" s="16"/>
      <c r="J153" s="5" t="n">
        <v>1</v>
      </c>
      <c r="K153" s="16"/>
      <c r="L153" s="5" t="n">
        <v>1</v>
      </c>
      <c r="M153" s="5" t="n">
        <v>1</v>
      </c>
      <c r="N153" s="0"/>
      <c r="O153" s="0"/>
      <c r="P153" s="5" t="n">
        <v>1</v>
      </c>
      <c r="Q153" s="5" t="n">
        <v>1</v>
      </c>
      <c r="R153" s="0"/>
      <c r="S153" s="16"/>
      <c r="T153" s="0"/>
      <c r="U153" s="16"/>
      <c r="V153" s="16"/>
      <c r="W153" s="0"/>
      <c r="AD153" s="16"/>
      <c r="AE153" s="5"/>
      <c r="AF153" s="16"/>
      <c r="AG153" s="16"/>
      <c r="AH153" s="16"/>
      <c r="AJ153" s="16"/>
      <c r="AL153" s="16"/>
      <c r="AN153" s="16"/>
      <c r="AP153" s="16"/>
      <c r="AR153" s="16"/>
      <c r="AT153" s="16"/>
      <c r="AU153" s="16"/>
      <c r="AV153" s="16"/>
      <c r="AW153" s="16"/>
      <c r="AX153" s="16"/>
      <c r="AY153" s="16"/>
      <c r="AZ153" s="16"/>
      <c r="BB153" s="16"/>
      <c r="BC153" s="16" t="e">
        <f aca="false">MatchData[cheval scored crossings]*5</f>
        <v>#VALUE!</v>
      </c>
      <c r="BD153" s="16" t="e">
        <f aca="false">MatchData[moat scored crosings]*5</f>
        <v>#VALUE!</v>
      </c>
      <c r="BE153" s="16" t="e">
        <f aca="false">MatchData[ramparts scored crossings]*5</f>
        <v>#VALUE!</v>
      </c>
      <c r="BF153" s="16" t="e">
        <f aca="false">MatchData[drawbridge scored crossings]*5</f>
        <v>#VALUE!</v>
      </c>
      <c r="BG153" s="16" t="e">
        <f aca="false">MatchData[sally port scored crossings]*5</f>
        <v>#VALUE!</v>
      </c>
      <c r="BH153" s="16" t="e">
        <f aca="false">MatchData[rock wall scored crossings]*5</f>
        <v>#VALUE!</v>
      </c>
      <c r="BI153" s="16" t="e">
        <f aca="false">MatchData[rough terrain scored crossings]*5</f>
        <v>#VALUE!</v>
      </c>
      <c r="BJ153" s="16" t="e">
        <f aca="false">MatchData[low bar scored crossings]*5</f>
        <v>#VALUE!</v>
      </c>
      <c r="BK153" s="16" t="e">
        <f aca="false">SUM(MatchData[[#this row],[low bar teleop crossings]:[rough terrain scored crossings]])</f>
        <v>#VALUE!</v>
      </c>
      <c r="BL153" s="16" t="e">
        <f aca="false">IFERROR(IF(OR(MatchData[[#this row],[challenge flag]],MatchData[[#this row],[climb flag]]),1,0),0)</f>
        <v>#VALUE!</v>
      </c>
      <c r="BM153" s="16" t="e">
        <f aca="false">MatchData[auto high goals]*10+MatchData[teleop high goals]*5</f>
        <v>#VALUE!</v>
      </c>
      <c r="BN153" s="16" t="e">
        <f aca="false">MatchData[auto low goals]*5+MatchData[teleop low goals]*2</f>
        <v>#VALUE!</v>
      </c>
      <c r="BO153" s="16" t="e">
        <f aca="false">MatchData[high goal score]+MatchData[low goal score]</f>
        <v>#VALUE!</v>
      </c>
      <c r="BP153" s="16" t="e">
        <f aca="false">MatchData[teleop high goals]+MatchData[teleop low goals]</f>
        <v>#VALUE!</v>
      </c>
      <c r="BQ153" s="16" t="e">
        <f aca="false">MatchData[[#this row],[auto reach flag]]*2+SUM(MatchData[[#this row],[portcullis auto crossings]:[low bar auto crossings]])*10+MatchData[[#this row],[auto low goals]]*5+MatchData[auto high goals]*10</f>
        <v>#VALUE!</v>
      </c>
      <c r="BR153" s="16" t="e">
        <f aca="false">SUM(MatchData[[#this row],[cheval teleop crossing score]:[low bar teleop crossing score]])</f>
        <v>#VALUE!</v>
      </c>
      <c r="BS153" s="16" t="e">
        <f aca="false">SUMIF(MatchData[team],MatchData[[#this row],[team]],MatchData[total auto score])/MatchData[match count]</f>
        <v>#VALUE!</v>
      </c>
      <c r="BT153" s="16" t="e">
        <f aca="false">MatchData[challenge flag]*5</f>
        <v>#VALUE!</v>
      </c>
      <c r="BU153" s="16" t="e">
        <f aca="false">MatchData[climb flag]*15</f>
        <v>#VALUE!</v>
      </c>
      <c r="BV153" s="16" t="e">
        <f aca="false">SUM(MatchData[[#this row],[total goal score]],MatchData[[#this row],[crossing score]],MatchData[[#this row],[challenge score]],MatchData[[#this row],[climb score]],MatchData[[#this row],[total auto score]])</f>
        <v>#VALUE!</v>
      </c>
      <c r="BW153" s="16" t="e">
        <f aca="false">ROUND(SUMIF(MatchData[team],MatchData[[#this row],[team]],MatchData[teleop low goals])/COUNTIF(MatchData[team],MatchData[[#this row],[team]]),2)</f>
        <v>#VALUE!</v>
      </c>
      <c r="BX153" s="16" t="e">
        <f aca="false">ROUND(SUMIF(MatchData[team],MatchData[[#this row],[team]],MatchData[teleop high goals])/COUNTIF(MatchData[team],MatchData[[#this row],[team]]),2)</f>
        <v>#VALUE!</v>
      </c>
      <c r="BY153" s="16" t="e">
        <f aca="false">COUNTIF(MatchData[team],MatchData[[#this row],[team]])</f>
        <v>#VALUE!</v>
      </c>
      <c r="BZ153" s="16" t="e">
        <f aca="false">SUMIF(MatchData[team],MatchData[[#this row],[team]],MatchData[portcullis available])</f>
        <v>#VALUE!</v>
      </c>
      <c r="CA153" s="16" t="e">
        <f aca="false">SUMIF(MatchData[team],MatchData[[#this row],[team]],MatchData[cheval available])</f>
        <v>#VALUE!</v>
      </c>
      <c r="CB153" s="16" t="e">
        <f aca="false">SUMIF(MatchData[team],MatchData[[#this row],[team]],MatchData[moat available])</f>
        <v>#VALUE!</v>
      </c>
      <c r="CC153" s="16" t="e">
        <f aca="false">SUMIF(MatchData[team],MatchData[[#this row],[team]],MatchData[ramparts available])</f>
        <v>#VALUE!</v>
      </c>
      <c r="CD153" s="16" t="e">
        <f aca="false">SUMIF(MatchData[team],MatchData[[#this row],[team]],MatchData[drawbridge available])</f>
        <v>#VALUE!</v>
      </c>
      <c r="CE153" s="16" t="e">
        <f aca="false">SUMIF(MatchData[team],MatchData[[#this row],[team]],MatchData[sally port available])</f>
        <v>#VALUE!</v>
      </c>
      <c r="CF153" s="16" t="e">
        <f aca="false">SUMIF(MatchData[team],MatchData[[#this row],[team]],MatchData[rock wall available])</f>
        <v>#VALUE!</v>
      </c>
      <c r="CG153" s="16" t="e">
        <f aca="false">SUMIF(MatchData[team],MatchData[[#this row],[team]],MatchData[rough terrain available])</f>
        <v>#VALUE!</v>
      </c>
      <c r="CH153" s="16" t="e">
        <f aca="false">SUMIF(MatchData[team],MatchData[[#this row],[team]],MatchData[low bar available])</f>
        <v>#VALUE!</v>
      </c>
      <c r="CI153" s="16" t="e">
        <f aca="false">SUMIF(MatchData[team],MatchData[[#this row],[team]],MatchData[portcullis teleop crossings]:MatchData[portcullis scored crossings])</f>
        <v>#VALUE!</v>
      </c>
      <c r="CJ153" s="16" t="e">
        <f aca="false">SUMIF(MatchData[team],MatchData[[#this row],[team]],MatchData[cheval teleop crossings])+SUMIF(MatchData[team],MatchData[[#this row],[team]],MatchData[cheval scored crossings])</f>
        <v>#VALUE!</v>
      </c>
      <c r="CK153" s="16" t="e">
        <f aca="false">SUMIF(MatchData[team],MatchData[[#this row],[team]],MatchData[moat teleop crossings])+SUMIF(MatchData[team],MatchData[[#this row],[team]],MatchData[moat scored crosings])</f>
        <v>#VALUE!</v>
      </c>
      <c r="CL153" s="16" t="e">
        <f aca="false">SUMIF(MatchData[team],MatchData[[#this row],[team]],MatchData[ramparts teleop crossings])+SUMIF(MatchData[team],MatchData[[#this row],[team]],MatchData[ramparts scored crossings])</f>
        <v>#VALUE!</v>
      </c>
      <c r="CM153" s="16" t="e">
        <f aca="false">SUMIF(MatchData[team],MatchData[[#this row],[team]],MatchData[drawbridge teleop crossings])+SUMIF(MatchData[team],MatchData[[#this row],[team]],MatchData[drawbridge scored crossings])</f>
        <v>#VALUE!</v>
      </c>
      <c r="CN153" s="16" t="e">
        <f aca="false">SUMIF(MatchData[team],MatchData[[#this row],[team]],MatchData[sally port teleop crossings])+SUMIF(MatchData[team],MatchData[[#this row],[team]],MatchData[sally port scored crossings])</f>
        <v>#VALUE!</v>
      </c>
      <c r="CO153" s="16" t="e">
        <f aca="false">SUMIF(MatchData[team],MatchData[[#this row],[team]],MatchData[rock wall teleop crossings])+SUMIF(MatchData[team],MatchData[[#this row],[team]],MatchData[rock wall scored crossings])</f>
        <v>#VALUE!</v>
      </c>
      <c r="CP153" s="16" t="e">
        <f aca="false">SUMIF(MatchData[team],MatchData[[#this row],[team]],MatchData[rough terrain teleop crossings])+SUMIF(MatchData[team],MatchData[[#this row],[team]],MatchData[rough terrain scored crossings])</f>
        <v>#VALUE!</v>
      </c>
      <c r="CQ153" s="16" t="e">
        <f aca="false">SUMIF(MatchData[team],MatchData[[#this row],[team]],MatchData[low bar teleop crossings])+SUMIF(MatchData[team],MatchData[[#this row],[team]],MatchData[low bar scored crossings])</f>
        <v>#VALUE!</v>
      </c>
      <c r="CR153" s="16" t="e">
        <f aca="false">IFERROR(ROUND(MatchData[[#this row],[portcullis sum]]/MatchData[[#this row],[portcullis avail count]],2),0)</f>
        <v>#VALUE!</v>
      </c>
      <c r="CS153" s="16" t="e">
        <f aca="false">IFERROR(ROUND(MatchData[[#this row],[cheval sum]]/MatchData[[#this row],[cheval avail count]],2),0)</f>
        <v>#VALUE!</v>
      </c>
      <c r="CT153" s="16" t="e">
        <f aca="false">IFERROR(ROUND(MatchData[[#this row],[moat sum]]/MatchData[[#this row],[moat avail count]],2),0)</f>
        <v>#VALUE!</v>
      </c>
      <c r="CU153" s="16" t="e">
        <f aca="false">IFERROR(ROUND(MatchData[[#this row],[ramparts sum]]/MatchData[[#this row],[ramparts avail count]],2),0)</f>
        <v>#VALUE!</v>
      </c>
      <c r="CV153" s="16" t="e">
        <f aca="false">IFERROR(ROUND(MatchData[[#this row],[drawbridge sum]]/MatchData[[#this row],[drawbridge avail countigh6]],2),0)</f>
        <v>#VALUE!</v>
      </c>
      <c r="CW153" s="16" t="e">
        <f aca="false">IFERROR(ROUND(MatchData[[#this row],[sally port sum]]/MatchData[[#this row],[sally port avail count]],2),0)</f>
        <v>#VALUE!</v>
      </c>
      <c r="CX153" s="5" t="e">
        <f aca="false">IFERROR(ROUND(MatchData[[#this row],[rock wall sum]]/MatchData[[#this row],[rock wall avail count]],2),0)</f>
        <v>#VALUE!</v>
      </c>
      <c r="CY153" s="5" t="e">
        <f aca="false">IFERROR(ROUND(MatchData[[#this row],[rough terrain sum]]/MatchData[[#this row],[rough terrain avail count]],2),0)</f>
        <v>#VALUE!</v>
      </c>
      <c r="CZ153" s="5" t="e">
        <f aca="false">IFERROR(ROUND(MatchData[[#this row],[low bar sum]]/MatchData[[#this row],[low bar avail count]],2),0)</f>
        <v>#VALUE!</v>
      </c>
      <c r="DA153" s="16" t="e">
        <f aca="false">SUM(MatchData[[#this row],[cheval sum]:[low bar sum]])/MatchData[match count]</f>
        <v>#VALUE!</v>
      </c>
      <c r="DB153" s="16" t="n">
        <f aca="false">MAX(IF(C$2:C$74=C153,BP$2:BP$74))</f>
        <v>-1.79769313486232E+308</v>
      </c>
      <c r="DC153" s="16" t="e">
        <f aca="false">AVERAGEIF(MatchData[team],MatchData[[#this row],[team]],MatchData[total score])</f>
        <v>#VALUE!</v>
      </c>
      <c r="DD153" s="16" t="e">
        <f aca="false">ROUND(AVERAGEIF(MatchData[team],MatchData[team],MatchData[climb or challenge flag]),2)</f>
        <v>#VALUE!</v>
      </c>
    </row>
    <row r="154" customFormat="false" ht="14.5" hidden="false" customHeight="false" outlineLevel="0" collapsed="false">
      <c r="A154" s="17" t="s">
        <v>108</v>
      </c>
      <c r="B154" s="18" t="n">
        <v>26</v>
      </c>
      <c r="C154" s="15" t="n">
        <v>3812</v>
      </c>
      <c r="D154" s="5" t="s">
        <v>109</v>
      </c>
      <c r="E154" s="5" t="s">
        <v>151</v>
      </c>
      <c r="G154" s="16"/>
      <c r="I154" s="16"/>
      <c r="J154" s="5" t="n">
        <v>1</v>
      </c>
      <c r="K154" s="16"/>
      <c r="L154" s="5" t="n">
        <v>1</v>
      </c>
      <c r="M154" s="5" t="n">
        <v>1</v>
      </c>
      <c r="N154" s="0"/>
      <c r="O154" s="0"/>
      <c r="P154" s="5" t="n">
        <v>1</v>
      </c>
      <c r="Q154" s="5" t="n">
        <v>1</v>
      </c>
      <c r="R154" s="0"/>
      <c r="S154" s="16"/>
      <c r="T154" s="0"/>
      <c r="U154" s="16"/>
      <c r="V154" s="16"/>
      <c r="W154" s="0"/>
      <c r="AD154" s="16" t="n">
        <v>1</v>
      </c>
      <c r="AE154" s="5"/>
      <c r="AF154" s="16"/>
      <c r="AG154" s="16"/>
      <c r="AH154" s="16"/>
      <c r="AJ154" s="16" t="n">
        <v>2</v>
      </c>
      <c r="AL154" s="16"/>
      <c r="AN154" s="16"/>
      <c r="AP154" s="16"/>
      <c r="AR154" s="16"/>
      <c r="AT154" s="16"/>
      <c r="AU154" s="16"/>
      <c r="AV154" s="16"/>
      <c r="AW154" s="16" t="n">
        <v>1</v>
      </c>
      <c r="AX154" s="16"/>
      <c r="AY154" s="16"/>
      <c r="AZ154" s="16"/>
      <c r="BB154" s="16"/>
      <c r="BC154" s="16" t="e">
        <f aca="false">MatchData[cheval scored crossings]*5</f>
        <v>#VALUE!</v>
      </c>
      <c r="BD154" s="16" t="e">
        <f aca="false">MatchData[moat scored crosings]*5</f>
        <v>#VALUE!</v>
      </c>
      <c r="BE154" s="16" t="e">
        <f aca="false">MatchData[ramparts scored crossings]*5</f>
        <v>#VALUE!</v>
      </c>
      <c r="BF154" s="16" t="e">
        <f aca="false">MatchData[drawbridge scored crossings]*5</f>
        <v>#VALUE!</v>
      </c>
      <c r="BG154" s="16" t="e">
        <f aca="false">MatchData[sally port scored crossings]*5</f>
        <v>#VALUE!</v>
      </c>
      <c r="BH154" s="16" t="e">
        <f aca="false">MatchData[rock wall scored crossings]*5</f>
        <v>#VALUE!</v>
      </c>
      <c r="BI154" s="16" t="e">
        <f aca="false">MatchData[rough terrain scored crossings]*5</f>
        <v>#VALUE!</v>
      </c>
      <c r="BJ154" s="16" t="e">
        <f aca="false">MatchData[low bar scored crossings]*5</f>
        <v>#VALUE!</v>
      </c>
      <c r="BK154" s="16" t="e">
        <f aca="false">SUM(MatchData[[#this row],[low bar teleop crossings]:[rough terrain scored crossings]])</f>
        <v>#VALUE!</v>
      </c>
      <c r="BL154" s="16" t="e">
        <f aca="false">IFERROR(IF(OR(MatchData[[#this row],[challenge flag]],MatchData[[#this row],[climb flag]]),1,0),0)</f>
        <v>#VALUE!</v>
      </c>
      <c r="BM154" s="16" t="e">
        <f aca="false">MatchData[auto high goals]*10+MatchData[teleop high goals]*5</f>
        <v>#VALUE!</v>
      </c>
      <c r="BN154" s="16" t="e">
        <f aca="false">MatchData[auto low goals]*5+MatchData[teleop low goals]*2</f>
        <v>#VALUE!</v>
      </c>
      <c r="BO154" s="16" t="e">
        <f aca="false">MatchData[high goal score]+MatchData[low goal score]</f>
        <v>#VALUE!</v>
      </c>
      <c r="BP154" s="16" t="e">
        <f aca="false">MatchData[teleop high goals]+MatchData[teleop low goals]</f>
        <v>#VALUE!</v>
      </c>
      <c r="BQ154" s="16" t="e">
        <f aca="false">MatchData[[#this row],[auto reach flag]]*2+SUM(MatchData[[#this row],[portcullis auto crossings]:[low bar auto crossings]])*10+MatchData[[#this row],[auto low goals]]*5+MatchData[auto high goals]*10</f>
        <v>#VALUE!</v>
      </c>
      <c r="BR154" s="16" t="e">
        <f aca="false">SUM(MatchData[[#this row],[cheval teleop crossing score]:[low bar teleop crossing score]])</f>
        <v>#VALUE!</v>
      </c>
      <c r="BS154" s="16" t="e">
        <f aca="false">SUMIF(MatchData[team],MatchData[[#this row],[team]],MatchData[total auto score])/MatchData[match count]</f>
        <v>#VALUE!</v>
      </c>
      <c r="BT154" s="16" t="e">
        <f aca="false">MatchData[challenge flag]*5</f>
        <v>#VALUE!</v>
      </c>
      <c r="BU154" s="16" t="e">
        <f aca="false">MatchData[climb flag]*15</f>
        <v>#VALUE!</v>
      </c>
      <c r="BV154" s="16" t="e">
        <f aca="false">SUM(MatchData[[#this row],[total goal score]],MatchData[[#this row],[crossing score]],MatchData[[#this row],[challenge score]],MatchData[[#this row],[climb score]],MatchData[[#this row],[total auto score]])</f>
        <v>#VALUE!</v>
      </c>
      <c r="BW154" s="16" t="e">
        <f aca="false">ROUND(SUMIF(MatchData[team],MatchData[[#this row],[team]],MatchData[teleop low goals])/COUNTIF(MatchData[team],MatchData[[#this row],[team]]),2)</f>
        <v>#VALUE!</v>
      </c>
      <c r="BX154" s="16" t="e">
        <f aca="false">ROUND(SUMIF(MatchData[team],MatchData[[#this row],[team]],MatchData[teleop high goals])/COUNTIF(MatchData[team],MatchData[[#this row],[team]]),2)</f>
        <v>#VALUE!</v>
      </c>
      <c r="BY154" s="16" t="e">
        <f aca="false">COUNTIF(MatchData[team],MatchData[[#this row],[team]])</f>
        <v>#VALUE!</v>
      </c>
      <c r="BZ154" s="16" t="e">
        <f aca="false">SUMIF(MatchData[team],MatchData[[#this row],[team]],MatchData[portcullis available])</f>
        <v>#VALUE!</v>
      </c>
      <c r="CA154" s="16" t="e">
        <f aca="false">SUMIF(MatchData[team],MatchData[[#this row],[team]],MatchData[cheval available])</f>
        <v>#VALUE!</v>
      </c>
      <c r="CB154" s="16" t="e">
        <f aca="false">SUMIF(MatchData[team],MatchData[[#this row],[team]],MatchData[moat available])</f>
        <v>#VALUE!</v>
      </c>
      <c r="CC154" s="16" t="e">
        <f aca="false">SUMIF(MatchData[team],MatchData[[#this row],[team]],MatchData[ramparts available])</f>
        <v>#VALUE!</v>
      </c>
      <c r="CD154" s="16" t="e">
        <f aca="false">SUMIF(MatchData[team],MatchData[[#this row],[team]],MatchData[drawbridge available])</f>
        <v>#VALUE!</v>
      </c>
      <c r="CE154" s="16" t="e">
        <f aca="false">SUMIF(MatchData[team],MatchData[[#this row],[team]],MatchData[sally port available])</f>
        <v>#VALUE!</v>
      </c>
      <c r="CF154" s="16" t="e">
        <f aca="false">SUMIF(MatchData[team],MatchData[[#this row],[team]],MatchData[rock wall available])</f>
        <v>#VALUE!</v>
      </c>
      <c r="CG154" s="16" t="e">
        <f aca="false">SUMIF(MatchData[team],MatchData[[#this row],[team]],MatchData[rough terrain available])</f>
        <v>#VALUE!</v>
      </c>
      <c r="CH154" s="16" t="e">
        <f aca="false">SUMIF(MatchData[team],MatchData[[#this row],[team]],MatchData[low bar available])</f>
        <v>#VALUE!</v>
      </c>
      <c r="CI154" s="16" t="e">
        <f aca="false">SUMIF(MatchData[team],MatchData[[#this row],[team]],MatchData[portcullis teleop crossings]:MatchData[portcullis scored crossings])</f>
        <v>#VALUE!</v>
      </c>
      <c r="CJ154" s="16" t="e">
        <f aca="false">SUMIF(MatchData[team],MatchData[[#this row],[team]],MatchData[cheval teleop crossings])+SUMIF(MatchData[team],MatchData[[#this row],[team]],MatchData[cheval scored crossings])</f>
        <v>#VALUE!</v>
      </c>
      <c r="CK154" s="16" t="e">
        <f aca="false">SUMIF(MatchData[team],MatchData[[#this row],[team]],MatchData[moat teleop crossings])+SUMIF(MatchData[team],MatchData[[#this row],[team]],MatchData[moat scored crosings])</f>
        <v>#VALUE!</v>
      </c>
      <c r="CL154" s="16" t="e">
        <f aca="false">SUMIF(MatchData[team],MatchData[[#this row],[team]],MatchData[ramparts teleop crossings])+SUMIF(MatchData[team],MatchData[[#this row],[team]],MatchData[ramparts scored crossings])</f>
        <v>#VALUE!</v>
      </c>
      <c r="CM154" s="16" t="e">
        <f aca="false">SUMIF(MatchData[team],MatchData[[#this row],[team]],MatchData[drawbridge teleop crossings])+SUMIF(MatchData[team],MatchData[[#this row],[team]],MatchData[drawbridge scored crossings])</f>
        <v>#VALUE!</v>
      </c>
      <c r="CN154" s="16" t="e">
        <f aca="false">SUMIF(MatchData[team],MatchData[[#this row],[team]],MatchData[sally port teleop crossings])+SUMIF(MatchData[team],MatchData[[#this row],[team]],MatchData[sally port scored crossings])</f>
        <v>#VALUE!</v>
      </c>
      <c r="CO154" s="16" t="e">
        <f aca="false">SUMIF(MatchData[team],MatchData[[#this row],[team]],MatchData[rock wall teleop crossings])+SUMIF(MatchData[team],MatchData[[#this row],[team]],MatchData[rock wall scored crossings])</f>
        <v>#VALUE!</v>
      </c>
      <c r="CP154" s="16" t="e">
        <f aca="false">SUMIF(MatchData[team],MatchData[[#this row],[team]],MatchData[rough terrain teleop crossings])+SUMIF(MatchData[team],MatchData[[#this row],[team]],MatchData[rough terrain scored crossings])</f>
        <v>#VALUE!</v>
      </c>
      <c r="CQ154" s="16" t="e">
        <f aca="false">SUMIF(MatchData[team],MatchData[[#this row],[team]],MatchData[low bar teleop crossings])+SUMIF(MatchData[team],MatchData[[#this row],[team]],MatchData[low bar scored crossings])</f>
        <v>#VALUE!</v>
      </c>
      <c r="CR154" s="16" t="e">
        <f aca="false">IFERROR(ROUND(MatchData[[#this row],[portcullis sum]]/MatchData[[#this row],[portcullis avail count]],2),0)</f>
        <v>#VALUE!</v>
      </c>
      <c r="CS154" s="16" t="e">
        <f aca="false">IFERROR(ROUND(MatchData[[#this row],[cheval sum]]/MatchData[[#this row],[cheval avail count]],2),0)</f>
        <v>#VALUE!</v>
      </c>
      <c r="CT154" s="16" t="e">
        <f aca="false">IFERROR(ROUND(MatchData[[#this row],[moat sum]]/MatchData[[#this row],[moat avail count]],2),0)</f>
        <v>#VALUE!</v>
      </c>
      <c r="CU154" s="16" t="e">
        <f aca="false">IFERROR(ROUND(MatchData[[#this row],[ramparts sum]]/MatchData[[#this row],[ramparts avail count]],2),0)</f>
        <v>#VALUE!</v>
      </c>
      <c r="CV154" s="16" t="e">
        <f aca="false">IFERROR(ROUND(MatchData[[#this row],[drawbridge sum]]/MatchData[[#this row],[drawbridge avail countigh6]],2),0)</f>
        <v>#VALUE!</v>
      </c>
      <c r="CW154" s="16" t="e">
        <f aca="false">IFERROR(ROUND(MatchData[[#this row],[sally port sum]]/MatchData[[#this row],[sally port avail count]],2),0)</f>
        <v>#VALUE!</v>
      </c>
      <c r="CX154" s="5" t="e">
        <f aca="false">IFERROR(ROUND(MatchData[[#this row],[rock wall sum]]/MatchData[[#this row],[rock wall avail count]],2),0)</f>
        <v>#VALUE!</v>
      </c>
      <c r="CY154" s="5" t="e">
        <f aca="false">IFERROR(ROUND(MatchData[[#this row],[rough terrain sum]]/MatchData[[#this row],[rough terrain avail count]],2),0)</f>
        <v>#VALUE!</v>
      </c>
      <c r="CZ154" s="5" t="e">
        <f aca="false">IFERROR(ROUND(MatchData[[#this row],[low bar sum]]/MatchData[[#this row],[low bar avail count]],2),0)</f>
        <v>#VALUE!</v>
      </c>
      <c r="DA154" s="16" t="e">
        <f aca="false">SUM(MatchData[[#this row],[cheval sum]:[low bar sum]])/MatchData[match count]</f>
        <v>#VALUE!</v>
      </c>
      <c r="DB154" s="16" t="n">
        <f aca="false">MAX(IF(C$2:C$74=C154,BP$2:BP$74))</f>
        <v>-1.79769313486232E+308</v>
      </c>
      <c r="DC154" s="16" t="e">
        <f aca="false">AVERAGEIF(MatchData[team],MatchData[[#this row],[team]],MatchData[total score])</f>
        <v>#VALUE!</v>
      </c>
      <c r="DD154" s="16" t="e">
        <f aca="false">ROUND(AVERAGEIF(MatchData[team],MatchData[team],MatchData[climb or challenge flag]),2)</f>
        <v>#VALUE!</v>
      </c>
    </row>
    <row r="155" customFormat="false" ht="14.5" hidden="false" customHeight="false" outlineLevel="0" collapsed="false">
      <c r="A155" s="13" t="s">
        <v>108</v>
      </c>
      <c r="B155" s="14" t="n">
        <v>26</v>
      </c>
      <c r="C155" s="15" t="n">
        <v>1540</v>
      </c>
      <c r="D155" s="5" t="s">
        <v>113</v>
      </c>
      <c r="E155" s="5" t="s">
        <v>152</v>
      </c>
      <c r="G155" s="16"/>
      <c r="I155" s="16"/>
      <c r="J155" s="5" t="n">
        <v>1</v>
      </c>
      <c r="K155" s="16"/>
      <c r="L155" s="5" t="n">
        <v>1</v>
      </c>
      <c r="N155" s="5" t="n">
        <v>1</v>
      </c>
      <c r="O155" s="0"/>
      <c r="P155" s="5" t="n">
        <v>1</v>
      </c>
      <c r="Q155" s="5" t="n">
        <v>1</v>
      </c>
      <c r="R155" s="0"/>
      <c r="S155" s="16"/>
      <c r="T155" s="0"/>
      <c r="U155" s="16"/>
      <c r="V155" s="16"/>
      <c r="W155" s="0"/>
      <c r="Z155" s="5" t="n">
        <v>1</v>
      </c>
      <c r="AD155" s="16"/>
      <c r="AE155" s="5"/>
      <c r="AF155" s="16"/>
      <c r="AG155" s="16"/>
      <c r="AH155" s="16" t="n">
        <v>2</v>
      </c>
      <c r="AJ155" s="16"/>
      <c r="AL155" s="16"/>
      <c r="AN155" s="16"/>
      <c r="AP155" s="16"/>
      <c r="AR155" s="16" t="n">
        <v>1</v>
      </c>
      <c r="AT155" s="16"/>
      <c r="AU155" s="16"/>
      <c r="AV155" s="16"/>
      <c r="AW155" s="16" t="n">
        <v>1</v>
      </c>
      <c r="AX155" s="16"/>
      <c r="AY155" s="16"/>
      <c r="AZ155" s="16"/>
      <c r="BB155" s="16" t="n">
        <v>1</v>
      </c>
      <c r="BC155" s="16" t="e">
        <f aca="false">MatchData[cheval scored crossings]*5</f>
        <v>#VALUE!</v>
      </c>
      <c r="BD155" s="16" t="e">
        <f aca="false">MatchData[moat scored crosings]*5</f>
        <v>#VALUE!</v>
      </c>
      <c r="BE155" s="16" t="e">
        <f aca="false">MatchData[ramparts scored crossings]*5</f>
        <v>#VALUE!</v>
      </c>
      <c r="BF155" s="16" t="e">
        <f aca="false">MatchData[drawbridge scored crossings]*5</f>
        <v>#VALUE!</v>
      </c>
      <c r="BG155" s="16" t="e">
        <f aca="false">MatchData[sally port scored crossings]*5</f>
        <v>#VALUE!</v>
      </c>
      <c r="BH155" s="16" t="e">
        <f aca="false">MatchData[rock wall scored crossings]*5</f>
        <v>#VALUE!</v>
      </c>
      <c r="BI155" s="16" t="e">
        <f aca="false">MatchData[rough terrain scored crossings]*5</f>
        <v>#VALUE!</v>
      </c>
      <c r="BJ155" s="16" t="e">
        <f aca="false">MatchData[low bar scored crossings]*5</f>
        <v>#VALUE!</v>
      </c>
      <c r="BK155" s="16" t="e">
        <f aca="false">SUM(MatchData[[#this row],[low bar teleop crossings]:[rough terrain scored crossings]])</f>
        <v>#VALUE!</v>
      </c>
      <c r="BL155" s="16" t="e">
        <f aca="false">IFERROR(IF(OR(MatchData[[#this row],[challenge flag]],MatchData[[#this row],[climb flag]]),1,0),0)</f>
        <v>#VALUE!</v>
      </c>
      <c r="BM155" s="16" t="e">
        <f aca="false">MatchData[auto high goals]*10+MatchData[teleop high goals]*5</f>
        <v>#VALUE!</v>
      </c>
      <c r="BN155" s="16" t="e">
        <f aca="false">MatchData[auto low goals]*5+MatchData[teleop low goals]*2</f>
        <v>#VALUE!</v>
      </c>
      <c r="BO155" s="16" t="e">
        <f aca="false">MatchData[high goal score]+MatchData[low goal score]</f>
        <v>#VALUE!</v>
      </c>
      <c r="BP155" s="16" t="e">
        <f aca="false">MatchData[teleop high goals]+MatchData[teleop low goals]</f>
        <v>#VALUE!</v>
      </c>
      <c r="BQ155" s="16" t="e">
        <f aca="false">MatchData[[#this row],[auto reach flag]]*2+SUM(MatchData[[#this row],[portcullis auto crossings]:[low bar auto crossings]])*10+MatchData[[#this row],[auto low goals]]*5+MatchData[auto high goals]*10</f>
        <v>#VALUE!</v>
      </c>
      <c r="BR155" s="16" t="e">
        <f aca="false">SUM(MatchData[[#this row],[cheval teleop crossing score]:[low bar teleop crossing score]])</f>
        <v>#VALUE!</v>
      </c>
      <c r="BS155" s="16" t="e">
        <f aca="false">SUMIF(MatchData[team],MatchData[[#this row],[team]],MatchData[total auto score])/MatchData[match count]</f>
        <v>#VALUE!</v>
      </c>
      <c r="BT155" s="16" t="e">
        <f aca="false">MatchData[challenge flag]*5</f>
        <v>#VALUE!</v>
      </c>
      <c r="BU155" s="16" t="e">
        <f aca="false">MatchData[climb flag]*15</f>
        <v>#VALUE!</v>
      </c>
      <c r="BV155" s="16" t="e">
        <f aca="false">SUM(MatchData[[#this row],[total goal score]],MatchData[[#this row],[crossing score]],MatchData[[#this row],[challenge score]],MatchData[[#this row],[climb score]],MatchData[[#this row],[total auto score]])</f>
        <v>#VALUE!</v>
      </c>
      <c r="BW155" s="16" t="e">
        <f aca="false">ROUND(SUMIF(MatchData[team],MatchData[[#this row],[team]],MatchData[teleop low goals])/COUNTIF(MatchData[team],MatchData[[#this row],[team]]),2)</f>
        <v>#VALUE!</v>
      </c>
      <c r="BX155" s="16" t="e">
        <f aca="false">ROUND(SUMIF(MatchData[team],MatchData[[#this row],[team]],MatchData[teleop high goals])/COUNTIF(MatchData[team],MatchData[[#this row],[team]]),2)</f>
        <v>#VALUE!</v>
      </c>
      <c r="BY155" s="16" t="e">
        <f aca="false">COUNTIF(MatchData[team],MatchData[[#this row],[team]])</f>
        <v>#VALUE!</v>
      </c>
      <c r="BZ155" s="16" t="e">
        <f aca="false">SUMIF(MatchData[team],MatchData[[#this row],[team]],MatchData[portcullis available])</f>
        <v>#VALUE!</v>
      </c>
      <c r="CA155" s="16" t="e">
        <f aca="false">SUMIF(MatchData[team],MatchData[[#this row],[team]],MatchData[cheval available])</f>
        <v>#VALUE!</v>
      </c>
      <c r="CB155" s="16" t="e">
        <f aca="false">SUMIF(MatchData[team],MatchData[[#this row],[team]],MatchData[moat available])</f>
        <v>#VALUE!</v>
      </c>
      <c r="CC155" s="16" t="e">
        <f aca="false">SUMIF(MatchData[team],MatchData[[#this row],[team]],MatchData[ramparts available])</f>
        <v>#VALUE!</v>
      </c>
      <c r="CD155" s="16" t="e">
        <f aca="false">SUMIF(MatchData[team],MatchData[[#this row],[team]],MatchData[drawbridge available])</f>
        <v>#VALUE!</v>
      </c>
      <c r="CE155" s="16" t="e">
        <f aca="false">SUMIF(MatchData[team],MatchData[[#this row],[team]],MatchData[sally port available])</f>
        <v>#VALUE!</v>
      </c>
      <c r="CF155" s="16" t="e">
        <f aca="false">SUMIF(MatchData[team],MatchData[[#this row],[team]],MatchData[rock wall available])</f>
        <v>#VALUE!</v>
      </c>
      <c r="CG155" s="16" t="e">
        <f aca="false">SUMIF(MatchData[team],MatchData[[#this row],[team]],MatchData[rough terrain available])</f>
        <v>#VALUE!</v>
      </c>
      <c r="CH155" s="16" t="e">
        <f aca="false">SUMIF(MatchData[team],MatchData[[#this row],[team]],MatchData[low bar available])</f>
        <v>#VALUE!</v>
      </c>
      <c r="CI155" s="16" t="e">
        <f aca="false">SUMIF(MatchData[team],MatchData[[#this row],[team]],MatchData[portcullis teleop crossings]:MatchData[portcullis scored crossings])</f>
        <v>#VALUE!</v>
      </c>
      <c r="CJ155" s="16" t="e">
        <f aca="false">SUMIF(MatchData[team],MatchData[[#this row],[team]],MatchData[cheval teleop crossings])+SUMIF(MatchData[team],MatchData[[#this row],[team]],MatchData[cheval scored crossings])</f>
        <v>#VALUE!</v>
      </c>
      <c r="CK155" s="16" t="e">
        <f aca="false">SUMIF(MatchData[team],MatchData[[#this row],[team]],MatchData[moat teleop crossings])+SUMIF(MatchData[team],MatchData[[#this row],[team]],MatchData[moat scored crosings])</f>
        <v>#VALUE!</v>
      </c>
      <c r="CL155" s="16" t="e">
        <f aca="false">SUMIF(MatchData[team],MatchData[[#this row],[team]],MatchData[ramparts teleop crossings])+SUMIF(MatchData[team],MatchData[[#this row],[team]],MatchData[ramparts scored crossings])</f>
        <v>#VALUE!</v>
      </c>
      <c r="CM155" s="16" t="e">
        <f aca="false">SUMIF(MatchData[team],MatchData[[#this row],[team]],MatchData[drawbridge teleop crossings])+SUMIF(MatchData[team],MatchData[[#this row],[team]],MatchData[drawbridge scored crossings])</f>
        <v>#VALUE!</v>
      </c>
      <c r="CN155" s="16" t="e">
        <f aca="false">SUMIF(MatchData[team],MatchData[[#this row],[team]],MatchData[sally port teleop crossings])+SUMIF(MatchData[team],MatchData[[#this row],[team]],MatchData[sally port scored crossings])</f>
        <v>#VALUE!</v>
      </c>
      <c r="CO155" s="16" t="e">
        <f aca="false">SUMIF(MatchData[team],MatchData[[#this row],[team]],MatchData[rock wall teleop crossings])+SUMIF(MatchData[team],MatchData[[#this row],[team]],MatchData[rock wall scored crossings])</f>
        <v>#VALUE!</v>
      </c>
      <c r="CP155" s="16" t="e">
        <f aca="false">SUMIF(MatchData[team],MatchData[[#this row],[team]],MatchData[rough terrain teleop crossings])+SUMIF(MatchData[team],MatchData[[#this row],[team]],MatchData[rough terrain scored crossings])</f>
        <v>#VALUE!</v>
      </c>
      <c r="CQ155" s="16" t="e">
        <f aca="false">SUMIF(MatchData[team],MatchData[[#this row],[team]],MatchData[low bar teleop crossings])+SUMIF(MatchData[team],MatchData[[#this row],[team]],MatchData[low bar scored crossings])</f>
        <v>#VALUE!</v>
      </c>
      <c r="CR155" s="16" t="e">
        <f aca="false">IFERROR(ROUND(MatchData[[#this row],[portcullis sum]]/MatchData[[#this row],[portcullis avail count]],2),0)</f>
        <v>#VALUE!</v>
      </c>
      <c r="CS155" s="16" t="e">
        <f aca="false">IFERROR(ROUND(MatchData[[#this row],[cheval sum]]/MatchData[[#this row],[cheval avail count]],2),0)</f>
        <v>#VALUE!</v>
      </c>
      <c r="CT155" s="16" t="e">
        <f aca="false">IFERROR(ROUND(MatchData[[#this row],[moat sum]]/MatchData[[#this row],[moat avail count]],2),0)</f>
        <v>#VALUE!</v>
      </c>
      <c r="CU155" s="16" t="e">
        <f aca="false">IFERROR(ROUND(MatchData[[#this row],[ramparts sum]]/MatchData[[#this row],[ramparts avail count]],2),0)</f>
        <v>#VALUE!</v>
      </c>
      <c r="CV155" s="16" t="e">
        <f aca="false">IFERROR(ROUND(MatchData[[#this row],[drawbridge sum]]/MatchData[[#this row],[drawbridge avail countigh6]],2),0)</f>
        <v>#VALUE!</v>
      </c>
      <c r="CW155" s="16" t="e">
        <f aca="false">IFERROR(ROUND(MatchData[[#this row],[sally port sum]]/MatchData[[#this row],[sally port avail count]],2),0)</f>
        <v>#VALUE!</v>
      </c>
      <c r="CX155" s="5" t="e">
        <f aca="false">IFERROR(ROUND(MatchData[[#this row],[rock wall sum]]/MatchData[[#this row],[rock wall avail count]],2),0)</f>
        <v>#VALUE!</v>
      </c>
      <c r="CY155" s="5" t="e">
        <f aca="false">IFERROR(ROUND(MatchData[[#this row],[rough terrain sum]]/MatchData[[#this row],[rough terrain avail count]],2),0)</f>
        <v>#VALUE!</v>
      </c>
      <c r="CZ155" s="5" t="e">
        <f aca="false">IFERROR(ROUND(MatchData[[#this row],[low bar sum]]/MatchData[[#this row],[low bar avail count]],2),0)</f>
        <v>#VALUE!</v>
      </c>
      <c r="DA155" s="16" t="e">
        <f aca="false">SUM(MatchData[[#this row],[cheval sum]:[low bar sum]])/MatchData[match count]</f>
        <v>#VALUE!</v>
      </c>
      <c r="DB155" s="16" t="n">
        <f aca="false">MAX(IF(C$2:C$74=C155,BP$2:BP$74))</f>
        <v>-1.79769313486232E+308</v>
      </c>
      <c r="DC155" s="16" t="e">
        <f aca="false">AVERAGEIF(MatchData[team],MatchData[[#this row],[team]],MatchData[total score])</f>
        <v>#VALUE!</v>
      </c>
      <c r="DD155" s="16" t="e">
        <f aca="false">ROUND(AVERAGEIF(MatchData[team],MatchData[team],MatchData[climb or challenge flag]),2)</f>
        <v>#VALUE!</v>
      </c>
    </row>
    <row r="156" customFormat="false" ht="14.5" hidden="false" customHeight="false" outlineLevel="0" collapsed="false">
      <c r="A156" s="13" t="s">
        <v>108</v>
      </c>
      <c r="B156" s="14" t="n">
        <v>26</v>
      </c>
      <c r="C156" s="15" t="n">
        <v>3673</v>
      </c>
      <c r="D156" s="5" t="s">
        <v>113</v>
      </c>
      <c r="E156" s="5" t="s">
        <v>128</v>
      </c>
      <c r="G156" s="16"/>
      <c r="I156" s="16"/>
      <c r="J156" s="5" t="n">
        <v>1</v>
      </c>
      <c r="K156" s="16"/>
      <c r="L156" s="5" t="n">
        <v>1</v>
      </c>
      <c r="N156" s="5" t="n">
        <v>1</v>
      </c>
      <c r="O156" s="0"/>
      <c r="P156" s="5" t="n">
        <v>1</v>
      </c>
      <c r="Q156" s="5" t="n">
        <v>1</v>
      </c>
      <c r="R156" s="0"/>
      <c r="S156" s="16" t="n">
        <v>1</v>
      </c>
      <c r="T156" s="0"/>
      <c r="U156" s="16"/>
      <c r="V156" s="16"/>
      <c r="W156" s="0"/>
      <c r="AD156" s="16"/>
      <c r="AE156" s="5"/>
      <c r="AF156" s="16"/>
      <c r="AG156" s="16"/>
      <c r="AH156" s="16"/>
      <c r="AJ156" s="16"/>
      <c r="AL156" s="16"/>
      <c r="AN156" s="16"/>
      <c r="AP156" s="16"/>
      <c r="AR156" s="16"/>
      <c r="AT156" s="16"/>
      <c r="AU156" s="16"/>
      <c r="AV156" s="16"/>
      <c r="AW156" s="16"/>
      <c r="AX156" s="16"/>
      <c r="AY156" s="16"/>
      <c r="AZ156" s="16"/>
      <c r="BB156" s="16" t="n">
        <v>1</v>
      </c>
      <c r="BC156" s="16" t="e">
        <f aca="false">MatchData[cheval scored crossings]*5</f>
        <v>#VALUE!</v>
      </c>
      <c r="BD156" s="16" t="e">
        <f aca="false">MatchData[moat scored crosings]*5</f>
        <v>#VALUE!</v>
      </c>
      <c r="BE156" s="16" t="e">
        <f aca="false">MatchData[ramparts scored crossings]*5</f>
        <v>#VALUE!</v>
      </c>
      <c r="BF156" s="16" t="e">
        <f aca="false">MatchData[drawbridge scored crossings]*5</f>
        <v>#VALUE!</v>
      </c>
      <c r="BG156" s="16" t="e">
        <f aca="false">MatchData[sally port scored crossings]*5</f>
        <v>#VALUE!</v>
      </c>
      <c r="BH156" s="16" t="e">
        <f aca="false">MatchData[rock wall scored crossings]*5</f>
        <v>#VALUE!</v>
      </c>
      <c r="BI156" s="16" t="e">
        <f aca="false">MatchData[rough terrain scored crossings]*5</f>
        <v>#VALUE!</v>
      </c>
      <c r="BJ156" s="16" t="e">
        <f aca="false">MatchData[low bar scored crossings]*5</f>
        <v>#VALUE!</v>
      </c>
      <c r="BK156" s="16" t="e">
        <f aca="false">SUM(MatchData[[#this row],[low bar teleop crossings]:[rough terrain scored crossings]])</f>
        <v>#VALUE!</v>
      </c>
      <c r="BL156" s="16" t="e">
        <f aca="false">IFERROR(IF(OR(MatchData[[#this row],[challenge flag]],MatchData[[#this row],[climb flag]]),1,0),0)</f>
        <v>#VALUE!</v>
      </c>
      <c r="BM156" s="16" t="e">
        <f aca="false">MatchData[auto high goals]*10+MatchData[teleop high goals]*5</f>
        <v>#VALUE!</v>
      </c>
      <c r="BN156" s="16" t="e">
        <f aca="false">MatchData[auto low goals]*5+MatchData[teleop low goals]*2</f>
        <v>#VALUE!</v>
      </c>
      <c r="BO156" s="16" t="e">
        <f aca="false">MatchData[high goal score]+MatchData[low goal score]</f>
        <v>#VALUE!</v>
      </c>
      <c r="BP156" s="16" t="e">
        <f aca="false">MatchData[teleop high goals]+MatchData[teleop low goals]</f>
        <v>#VALUE!</v>
      </c>
      <c r="BQ156" s="16" t="e">
        <f aca="false">MatchData[[#this row],[auto reach flag]]*2+SUM(MatchData[[#this row],[portcullis auto crossings]:[low bar auto crossings]])*10+MatchData[[#this row],[auto low goals]]*5+MatchData[auto high goals]*10</f>
        <v>#VALUE!</v>
      </c>
      <c r="BR156" s="16" t="e">
        <f aca="false">SUM(MatchData[[#this row],[cheval teleop crossing score]:[low bar teleop crossing score]])</f>
        <v>#VALUE!</v>
      </c>
      <c r="BS156" s="16" t="e">
        <f aca="false">SUMIF(MatchData[team],MatchData[[#this row],[team]],MatchData[total auto score])/MatchData[match count]</f>
        <v>#VALUE!</v>
      </c>
      <c r="BT156" s="16" t="e">
        <f aca="false">MatchData[challenge flag]*5</f>
        <v>#VALUE!</v>
      </c>
      <c r="BU156" s="16" t="e">
        <f aca="false">MatchData[climb flag]*15</f>
        <v>#VALUE!</v>
      </c>
      <c r="BV156" s="16" t="e">
        <f aca="false">SUM(MatchData[[#this row],[total goal score]],MatchData[[#this row],[crossing score]],MatchData[[#this row],[challenge score]],MatchData[[#this row],[climb score]],MatchData[[#this row],[total auto score]])</f>
        <v>#VALUE!</v>
      </c>
      <c r="BW156" s="16" t="e">
        <f aca="false">ROUND(SUMIF(MatchData[team],MatchData[[#this row],[team]],MatchData[teleop low goals])/COUNTIF(MatchData[team],MatchData[[#this row],[team]]),2)</f>
        <v>#VALUE!</v>
      </c>
      <c r="BX156" s="16" t="e">
        <f aca="false">ROUND(SUMIF(MatchData[team],MatchData[[#this row],[team]],MatchData[teleop high goals])/COUNTIF(MatchData[team],MatchData[[#this row],[team]]),2)</f>
        <v>#VALUE!</v>
      </c>
      <c r="BY156" s="16" t="e">
        <f aca="false">COUNTIF(MatchData[team],MatchData[[#this row],[team]])</f>
        <v>#VALUE!</v>
      </c>
      <c r="BZ156" s="16" t="e">
        <f aca="false">SUMIF(MatchData[team],MatchData[[#this row],[team]],MatchData[portcullis available])</f>
        <v>#VALUE!</v>
      </c>
      <c r="CA156" s="16" t="e">
        <f aca="false">SUMIF(MatchData[team],MatchData[[#this row],[team]],MatchData[cheval available])</f>
        <v>#VALUE!</v>
      </c>
      <c r="CB156" s="16" t="e">
        <f aca="false">SUMIF(MatchData[team],MatchData[[#this row],[team]],MatchData[moat available])</f>
        <v>#VALUE!</v>
      </c>
      <c r="CC156" s="16" t="e">
        <f aca="false">SUMIF(MatchData[team],MatchData[[#this row],[team]],MatchData[ramparts available])</f>
        <v>#VALUE!</v>
      </c>
      <c r="CD156" s="16" t="e">
        <f aca="false">SUMIF(MatchData[team],MatchData[[#this row],[team]],MatchData[drawbridge available])</f>
        <v>#VALUE!</v>
      </c>
      <c r="CE156" s="16" t="e">
        <f aca="false">SUMIF(MatchData[team],MatchData[[#this row],[team]],MatchData[sally port available])</f>
        <v>#VALUE!</v>
      </c>
      <c r="CF156" s="16" t="e">
        <f aca="false">SUMIF(MatchData[team],MatchData[[#this row],[team]],MatchData[rock wall available])</f>
        <v>#VALUE!</v>
      </c>
      <c r="CG156" s="16" t="e">
        <f aca="false">SUMIF(MatchData[team],MatchData[[#this row],[team]],MatchData[rough terrain available])</f>
        <v>#VALUE!</v>
      </c>
      <c r="CH156" s="16" t="e">
        <f aca="false">SUMIF(MatchData[team],MatchData[[#this row],[team]],MatchData[low bar available])</f>
        <v>#VALUE!</v>
      </c>
      <c r="CI156" s="16" t="e">
        <f aca="false">SUMIF(MatchData[team],MatchData[[#this row],[team]],MatchData[portcullis teleop crossings]:MatchData[portcullis scored crossings])</f>
        <v>#VALUE!</v>
      </c>
      <c r="CJ156" s="16" t="e">
        <f aca="false">SUMIF(MatchData[team],MatchData[[#this row],[team]],MatchData[cheval teleop crossings])+SUMIF(MatchData[team],MatchData[[#this row],[team]],MatchData[cheval scored crossings])</f>
        <v>#VALUE!</v>
      </c>
      <c r="CK156" s="16" t="e">
        <f aca="false">SUMIF(MatchData[team],MatchData[[#this row],[team]],MatchData[moat teleop crossings])+SUMIF(MatchData[team],MatchData[[#this row],[team]],MatchData[moat scored crosings])</f>
        <v>#VALUE!</v>
      </c>
      <c r="CL156" s="16" t="e">
        <f aca="false">SUMIF(MatchData[team],MatchData[[#this row],[team]],MatchData[ramparts teleop crossings])+SUMIF(MatchData[team],MatchData[[#this row],[team]],MatchData[ramparts scored crossings])</f>
        <v>#VALUE!</v>
      </c>
      <c r="CM156" s="16" t="e">
        <f aca="false">SUMIF(MatchData[team],MatchData[[#this row],[team]],MatchData[drawbridge teleop crossings])+SUMIF(MatchData[team],MatchData[[#this row],[team]],MatchData[drawbridge scored crossings])</f>
        <v>#VALUE!</v>
      </c>
      <c r="CN156" s="16" t="e">
        <f aca="false">SUMIF(MatchData[team],MatchData[[#this row],[team]],MatchData[sally port teleop crossings])+SUMIF(MatchData[team],MatchData[[#this row],[team]],MatchData[sally port scored crossings])</f>
        <v>#VALUE!</v>
      </c>
      <c r="CO156" s="16" t="e">
        <f aca="false">SUMIF(MatchData[team],MatchData[[#this row],[team]],MatchData[rock wall teleop crossings])+SUMIF(MatchData[team],MatchData[[#this row],[team]],MatchData[rock wall scored crossings])</f>
        <v>#VALUE!</v>
      </c>
      <c r="CP156" s="16" t="e">
        <f aca="false">SUMIF(MatchData[team],MatchData[[#this row],[team]],MatchData[rough terrain teleop crossings])+SUMIF(MatchData[team],MatchData[[#this row],[team]],MatchData[rough terrain scored crossings])</f>
        <v>#VALUE!</v>
      </c>
      <c r="CQ156" s="16" t="e">
        <f aca="false">SUMIF(MatchData[team],MatchData[[#this row],[team]],MatchData[low bar teleop crossings])+SUMIF(MatchData[team],MatchData[[#this row],[team]],MatchData[low bar scored crossings])</f>
        <v>#VALUE!</v>
      </c>
      <c r="CR156" s="16" t="e">
        <f aca="false">IFERROR(ROUND(MatchData[[#this row],[portcullis sum]]/MatchData[[#this row],[portcullis avail count]],2),0)</f>
        <v>#VALUE!</v>
      </c>
      <c r="CS156" s="16" t="e">
        <f aca="false">IFERROR(ROUND(MatchData[[#this row],[cheval sum]]/MatchData[[#this row],[cheval avail count]],2),0)</f>
        <v>#VALUE!</v>
      </c>
      <c r="CT156" s="16" t="e">
        <f aca="false">IFERROR(ROUND(MatchData[[#this row],[moat sum]]/MatchData[[#this row],[moat avail count]],2),0)</f>
        <v>#VALUE!</v>
      </c>
      <c r="CU156" s="16" t="e">
        <f aca="false">IFERROR(ROUND(MatchData[[#this row],[ramparts sum]]/MatchData[[#this row],[ramparts avail count]],2),0)</f>
        <v>#VALUE!</v>
      </c>
      <c r="CV156" s="16" t="e">
        <f aca="false">IFERROR(ROUND(MatchData[[#this row],[drawbridge sum]]/MatchData[[#this row],[drawbridge avail countigh6]],2),0)</f>
        <v>#VALUE!</v>
      </c>
      <c r="CW156" s="16" t="e">
        <f aca="false">IFERROR(ROUND(MatchData[[#this row],[sally port sum]]/MatchData[[#this row],[sally port avail count]],2),0)</f>
        <v>#VALUE!</v>
      </c>
      <c r="CX156" s="5" t="e">
        <f aca="false">IFERROR(ROUND(MatchData[[#this row],[rock wall sum]]/MatchData[[#this row],[rock wall avail count]],2),0)</f>
        <v>#VALUE!</v>
      </c>
      <c r="CY156" s="5" t="e">
        <f aca="false">IFERROR(ROUND(MatchData[[#this row],[rough terrain sum]]/MatchData[[#this row],[rough terrain avail count]],2),0)</f>
        <v>#VALUE!</v>
      </c>
      <c r="CZ156" s="5" t="e">
        <f aca="false">IFERROR(ROUND(MatchData[[#this row],[low bar sum]]/MatchData[[#this row],[low bar avail count]],2),0)</f>
        <v>#VALUE!</v>
      </c>
      <c r="DA156" s="16" t="e">
        <f aca="false">SUM(MatchData[[#this row],[cheval sum]:[low bar sum]])/MatchData[match count]</f>
        <v>#VALUE!</v>
      </c>
      <c r="DB156" s="16" t="n">
        <f aca="false">MAX(IF(C$2:C$74=C156,BP$2:BP$74))</f>
        <v>-1.79769313486232E+308</v>
      </c>
      <c r="DC156" s="16" t="e">
        <f aca="false">AVERAGEIF(MatchData[team],MatchData[[#this row],[team]],MatchData[total score])</f>
        <v>#VALUE!</v>
      </c>
      <c r="DD156" s="16" t="e">
        <f aca="false">ROUND(AVERAGEIF(MatchData[team],MatchData[team],MatchData[climb or challenge flag]),2)</f>
        <v>#VALUE!</v>
      </c>
    </row>
    <row r="157" customFormat="false" ht="14.5" hidden="false" customHeight="false" outlineLevel="0" collapsed="false">
      <c r="A157" s="17" t="s">
        <v>108</v>
      </c>
      <c r="B157" s="18" t="n">
        <v>26</v>
      </c>
      <c r="C157" s="15" t="n">
        <v>4110</v>
      </c>
      <c r="D157" s="5" t="s">
        <v>113</v>
      </c>
      <c r="E157" s="5" t="s">
        <v>124</v>
      </c>
      <c r="G157" s="16"/>
      <c r="I157" s="16"/>
      <c r="J157" s="5" t="n">
        <v>1</v>
      </c>
      <c r="K157" s="16"/>
      <c r="L157" s="5" t="n">
        <v>1</v>
      </c>
      <c r="N157" s="5" t="n">
        <v>1</v>
      </c>
      <c r="O157" s="0"/>
      <c r="P157" s="5" t="n">
        <v>1</v>
      </c>
      <c r="Q157" s="5" t="n">
        <v>1</v>
      </c>
      <c r="R157" s="0"/>
      <c r="S157" s="16"/>
      <c r="T157" s="0"/>
      <c r="U157" s="16"/>
      <c r="V157" s="16"/>
      <c r="W157" s="0"/>
      <c r="AC157" s="5" t="n">
        <v>1</v>
      </c>
      <c r="AD157" s="16" t="n">
        <v>2</v>
      </c>
      <c r="AE157" s="5"/>
      <c r="AF157" s="16"/>
      <c r="AG157" s="16"/>
      <c r="AH157" s="16"/>
      <c r="AJ157" s="16"/>
      <c r="AL157" s="16" t="n">
        <v>1</v>
      </c>
      <c r="AN157" s="16"/>
      <c r="AP157" s="16"/>
      <c r="AR157" s="16"/>
      <c r="AT157" s="16"/>
      <c r="AU157" s="16"/>
      <c r="AV157" s="16"/>
      <c r="AW157" s="16" t="n">
        <v>1</v>
      </c>
      <c r="AX157" s="16"/>
      <c r="AY157" s="16"/>
      <c r="AZ157" s="16"/>
      <c r="BB157" s="16" t="n">
        <v>1</v>
      </c>
      <c r="BC157" s="16" t="e">
        <f aca="false">MatchData[cheval scored crossings]*5</f>
        <v>#VALUE!</v>
      </c>
      <c r="BD157" s="16" t="e">
        <f aca="false">MatchData[moat scored crosings]*5</f>
        <v>#VALUE!</v>
      </c>
      <c r="BE157" s="16" t="e">
        <f aca="false">MatchData[ramparts scored crossings]*5</f>
        <v>#VALUE!</v>
      </c>
      <c r="BF157" s="16" t="e">
        <f aca="false">MatchData[drawbridge scored crossings]*5</f>
        <v>#VALUE!</v>
      </c>
      <c r="BG157" s="16" t="e">
        <f aca="false">MatchData[sally port scored crossings]*5</f>
        <v>#VALUE!</v>
      </c>
      <c r="BH157" s="16" t="e">
        <f aca="false">MatchData[rock wall scored crossings]*5</f>
        <v>#VALUE!</v>
      </c>
      <c r="BI157" s="16" t="e">
        <f aca="false">MatchData[rough terrain scored crossings]*5</f>
        <v>#VALUE!</v>
      </c>
      <c r="BJ157" s="16" t="e">
        <f aca="false">MatchData[low bar scored crossings]*5</f>
        <v>#VALUE!</v>
      </c>
      <c r="BK157" s="16" t="e">
        <f aca="false">SUM(MatchData[[#this row],[low bar teleop crossings]:[rough terrain scored crossings]])</f>
        <v>#VALUE!</v>
      </c>
      <c r="BL157" s="16" t="e">
        <f aca="false">IFERROR(IF(OR(MatchData[[#this row],[challenge flag]],MatchData[[#this row],[climb flag]]),1,0),0)</f>
        <v>#VALUE!</v>
      </c>
      <c r="BM157" s="16" t="e">
        <f aca="false">MatchData[auto high goals]*10+MatchData[teleop high goals]*5</f>
        <v>#VALUE!</v>
      </c>
      <c r="BN157" s="16" t="e">
        <f aca="false">MatchData[auto low goals]*5+MatchData[teleop low goals]*2</f>
        <v>#VALUE!</v>
      </c>
      <c r="BO157" s="16" t="e">
        <f aca="false">MatchData[high goal score]+MatchData[low goal score]</f>
        <v>#VALUE!</v>
      </c>
      <c r="BP157" s="16" t="e">
        <f aca="false">MatchData[teleop high goals]+MatchData[teleop low goals]</f>
        <v>#VALUE!</v>
      </c>
      <c r="BQ157" s="16" t="e">
        <f aca="false">MatchData[[#this row],[auto reach flag]]*2+SUM(MatchData[[#this row],[portcullis auto crossings]:[low bar auto crossings]])*10+MatchData[[#this row],[auto low goals]]*5+MatchData[auto high goals]*10</f>
        <v>#VALUE!</v>
      </c>
      <c r="BR157" s="16" t="e">
        <f aca="false">SUM(MatchData[[#this row],[cheval teleop crossing score]:[low bar teleop crossing score]])</f>
        <v>#VALUE!</v>
      </c>
      <c r="BS157" s="16" t="e">
        <f aca="false">SUMIF(MatchData[team],MatchData[[#this row],[team]],MatchData[total auto score])/MatchData[match count]</f>
        <v>#VALUE!</v>
      </c>
      <c r="BT157" s="16" t="e">
        <f aca="false">MatchData[challenge flag]*5</f>
        <v>#VALUE!</v>
      </c>
      <c r="BU157" s="16" t="e">
        <f aca="false">MatchData[climb flag]*15</f>
        <v>#VALUE!</v>
      </c>
      <c r="BV157" s="16" t="e">
        <f aca="false">SUM(MatchData[[#this row],[total goal score]],MatchData[[#this row],[crossing score]],MatchData[[#this row],[challenge score]],MatchData[[#this row],[climb score]],MatchData[[#this row],[total auto score]])</f>
        <v>#VALUE!</v>
      </c>
      <c r="BW157" s="16" t="e">
        <f aca="false">ROUND(SUMIF(MatchData[team],MatchData[[#this row],[team]],MatchData[teleop low goals])/COUNTIF(MatchData[team],MatchData[[#this row],[team]]),2)</f>
        <v>#VALUE!</v>
      </c>
      <c r="BX157" s="16" t="e">
        <f aca="false">ROUND(SUMIF(MatchData[team],MatchData[[#this row],[team]],MatchData[teleop high goals])/COUNTIF(MatchData[team],MatchData[[#this row],[team]]),2)</f>
        <v>#VALUE!</v>
      </c>
      <c r="BY157" s="16" t="e">
        <f aca="false">COUNTIF(MatchData[team],MatchData[[#this row],[team]])</f>
        <v>#VALUE!</v>
      </c>
      <c r="BZ157" s="16" t="e">
        <f aca="false">SUMIF(MatchData[team],MatchData[[#this row],[team]],MatchData[portcullis available])</f>
        <v>#VALUE!</v>
      </c>
      <c r="CA157" s="16" t="e">
        <f aca="false">SUMIF(MatchData[team],MatchData[[#this row],[team]],MatchData[cheval available])</f>
        <v>#VALUE!</v>
      </c>
      <c r="CB157" s="16" t="e">
        <f aca="false">SUMIF(MatchData[team],MatchData[[#this row],[team]],MatchData[moat available])</f>
        <v>#VALUE!</v>
      </c>
      <c r="CC157" s="16" t="e">
        <f aca="false">SUMIF(MatchData[team],MatchData[[#this row],[team]],MatchData[ramparts available])</f>
        <v>#VALUE!</v>
      </c>
      <c r="CD157" s="16" t="e">
        <f aca="false">SUMIF(MatchData[team],MatchData[[#this row],[team]],MatchData[drawbridge available])</f>
        <v>#VALUE!</v>
      </c>
      <c r="CE157" s="16" t="e">
        <f aca="false">SUMIF(MatchData[team],MatchData[[#this row],[team]],MatchData[sally port available])</f>
        <v>#VALUE!</v>
      </c>
      <c r="CF157" s="16" t="e">
        <f aca="false">SUMIF(MatchData[team],MatchData[[#this row],[team]],MatchData[rock wall available])</f>
        <v>#VALUE!</v>
      </c>
      <c r="CG157" s="16" t="e">
        <f aca="false">SUMIF(MatchData[team],MatchData[[#this row],[team]],MatchData[rough terrain available])</f>
        <v>#VALUE!</v>
      </c>
      <c r="CH157" s="16" t="e">
        <f aca="false">SUMIF(MatchData[team],MatchData[[#this row],[team]],MatchData[low bar available])</f>
        <v>#VALUE!</v>
      </c>
      <c r="CI157" s="16" t="e">
        <f aca="false">SUMIF(MatchData[team],MatchData[[#this row],[team]],MatchData[portcullis teleop crossings]:MatchData[portcullis scored crossings])</f>
        <v>#VALUE!</v>
      </c>
      <c r="CJ157" s="16" t="e">
        <f aca="false">SUMIF(MatchData[team],MatchData[[#this row],[team]],MatchData[cheval teleop crossings])+SUMIF(MatchData[team],MatchData[[#this row],[team]],MatchData[cheval scored crossings])</f>
        <v>#VALUE!</v>
      </c>
      <c r="CK157" s="16" t="e">
        <f aca="false">SUMIF(MatchData[team],MatchData[[#this row],[team]],MatchData[moat teleop crossings])+SUMIF(MatchData[team],MatchData[[#this row],[team]],MatchData[moat scored crosings])</f>
        <v>#VALUE!</v>
      </c>
      <c r="CL157" s="16" t="e">
        <f aca="false">SUMIF(MatchData[team],MatchData[[#this row],[team]],MatchData[ramparts teleop crossings])+SUMIF(MatchData[team],MatchData[[#this row],[team]],MatchData[ramparts scored crossings])</f>
        <v>#VALUE!</v>
      </c>
      <c r="CM157" s="16" t="e">
        <f aca="false">SUMIF(MatchData[team],MatchData[[#this row],[team]],MatchData[drawbridge teleop crossings])+SUMIF(MatchData[team],MatchData[[#this row],[team]],MatchData[drawbridge scored crossings])</f>
        <v>#VALUE!</v>
      </c>
      <c r="CN157" s="16" t="e">
        <f aca="false">SUMIF(MatchData[team],MatchData[[#this row],[team]],MatchData[sally port teleop crossings])+SUMIF(MatchData[team],MatchData[[#this row],[team]],MatchData[sally port scored crossings])</f>
        <v>#VALUE!</v>
      </c>
      <c r="CO157" s="16" t="e">
        <f aca="false">SUMIF(MatchData[team],MatchData[[#this row],[team]],MatchData[rock wall teleop crossings])+SUMIF(MatchData[team],MatchData[[#this row],[team]],MatchData[rock wall scored crossings])</f>
        <v>#VALUE!</v>
      </c>
      <c r="CP157" s="16" t="e">
        <f aca="false">SUMIF(MatchData[team],MatchData[[#this row],[team]],MatchData[rough terrain teleop crossings])+SUMIF(MatchData[team],MatchData[[#this row],[team]],MatchData[rough terrain scored crossings])</f>
        <v>#VALUE!</v>
      </c>
      <c r="CQ157" s="16" t="e">
        <f aca="false">SUMIF(MatchData[team],MatchData[[#this row],[team]],MatchData[low bar teleop crossings])+SUMIF(MatchData[team],MatchData[[#this row],[team]],MatchData[low bar scored crossings])</f>
        <v>#VALUE!</v>
      </c>
      <c r="CR157" s="16" t="e">
        <f aca="false">IFERROR(ROUND(MatchData[[#this row],[portcullis sum]]/MatchData[[#this row],[portcullis avail count]],2),0)</f>
        <v>#VALUE!</v>
      </c>
      <c r="CS157" s="16" t="e">
        <f aca="false">IFERROR(ROUND(MatchData[[#this row],[cheval sum]]/MatchData[[#this row],[cheval avail count]],2),0)</f>
        <v>#VALUE!</v>
      </c>
      <c r="CT157" s="16" t="e">
        <f aca="false">IFERROR(ROUND(MatchData[[#this row],[moat sum]]/MatchData[[#this row],[moat avail count]],2),0)</f>
        <v>#VALUE!</v>
      </c>
      <c r="CU157" s="16" t="e">
        <f aca="false">IFERROR(ROUND(MatchData[[#this row],[ramparts sum]]/MatchData[[#this row],[ramparts avail count]],2),0)</f>
        <v>#VALUE!</v>
      </c>
      <c r="CV157" s="16" t="e">
        <f aca="false">IFERROR(ROUND(MatchData[[#this row],[drawbridge sum]]/MatchData[[#this row],[drawbridge avail countigh6]],2),0)</f>
        <v>#VALUE!</v>
      </c>
      <c r="CW157" s="16" t="e">
        <f aca="false">IFERROR(ROUND(MatchData[[#this row],[sally port sum]]/MatchData[[#this row],[sally port avail count]],2),0)</f>
        <v>#VALUE!</v>
      </c>
      <c r="CX157" s="5" t="e">
        <f aca="false">IFERROR(ROUND(MatchData[[#this row],[rock wall sum]]/MatchData[[#this row],[rock wall avail count]],2),0)</f>
        <v>#VALUE!</v>
      </c>
      <c r="CY157" s="5" t="e">
        <f aca="false">IFERROR(ROUND(MatchData[[#this row],[rough terrain sum]]/MatchData[[#this row],[rough terrain avail count]],2),0)</f>
        <v>#VALUE!</v>
      </c>
      <c r="CZ157" s="5" t="e">
        <f aca="false">IFERROR(ROUND(MatchData[[#this row],[low bar sum]]/MatchData[[#this row],[low bar avail count]],2),0)</f>
        <v>#VALUE!</v>
      </c>
      <c r="DA157" s="16" t="e">
        <f aca="false">SUM(MatchData[[#this row],[cheval sum]:[low bar sum]])/MatchData[match count]</f>
        <v>#VALUE!</v>
      </c>
      <c r="DB157" s="16" t="n">
        <f aca="false">MAX(IF(C$2:C$74=C157,BP$2:BP$74))</f>
        <v>-1.79769313486232E+308</v>
      </c>
      <c r="DC157" s="16" t="e">
        <f aca="false">AVERAGEIF(MatchData[team],MatchData[[#this row],[team]],MatchData[total score])</f>
        <v>#VALUE!</v>
      </c>
      <c r="DD157" s="16" t="e">
        <f aca="false">ROUND(AVERAGEIF(MatchData[team],MatchData[team],MatchData[climb or challenge flag]),2)</f>
        <v>#VALUE!</v>
      </c>
    </row>
    <row r="158" customFormat="false" ht="14.5" hidden="false" customHeight="false" outlineLevel="0" collapsed="false">
      <c r="A158" s="13" t="s">
        <v>108</v>
      </c>
      <c r="B158" s="14" t="n">
        <v>27</v>
      </c>
      <c r="C158" s="15" t="n">
        <v>2374</v>
      </c>
      <c r="D158" s="5" t="s">
        <v>109</v>
      </c>
      <c r="E158" s="5" t="s">
        <v>127</v>
      </c>
      <c r="G158" s="16"/>
      <c r="I158" s="16"/>
      <c r="J158" s="5" t="n">
        <v>1</v>
      </c>
      <c r="K158" s="16"/>
      <c r="L158" s="5" t="n">
        <v>1</v>
      </c>
      <c r="M158" s="5" t="n">
        <v>1</v>
      </c>
      <c r="N158" s="0"/>
      <c r="O158" s="5" t="n">
        <v>1</v>
      </c>
      <c r="P158" s="0"/>
      <c r="Q158" s="5" t="n">
        <v>1</v>
      </c>
      <c r="R158" s="0"/>
      <c r="S158" s="16"/>
      <c r="T158" s="0"/>
      <c r="U158" s="16"/>
      <c r="V158" s="16"/>
      <c r="W158" s="0"/>
      <c r="AD158" s="16"/>
      <c r="AE158" s="5"/>
      <c r="AF158" s="16"/>
      <c r="AG158" s="16"/>
      <c r="AH158" s="16"/>
      <c r="AJ158" s="16" t="n">
        <v>2</v>
      </c>
      <c r="AL158" s="16"/>
      <c r="AN158" s="16"/>
      <c r="AP158" s="16"/>
      <c r="AQ158" s="5" t="n">
        <v>1</v>
      </c>
      <c r="AR158" s="16" t="n">
        <v>2</v>
      </c>
      <c r="AT158" s="16"/>
      <c r="AU158" s="16"/>
      <c r="AV158" s="16"/>
      <c r="AW158" s="16" t="n">
        <v>1</v>
      </c>
      <c r="AX158" s="16"/>
      <c r="AY158" s="16"/>
      <c r="AZ158" s="16"/>
      <c r="BB158" s="16" t="n">
        <v>1</v>
      </c>
      <c r="BC158" s="16" t="e">
        <f aca="false">MatchData[cheval scored crossings]*5</f>
        <v>#VALUE!</v>
      </c>
      <c r="BD158" s="16" t="e">
        <f aca="false">MatchData[moat scored crosings]*5</f>
        <v>#VALUE!</v>
      </c>
      <c r="BE158" s="16" t="e">
        <f aca="false">MatchData[ramparts scored crossings]*5</f>
        <v>#VALUE!</v>
      </c>
      <c r="BF158" s="16" t="e">
        <f aca="false">MatchData[drawbridge scored crossings]*5</f>
        <v>#VALUE!</v>
      </c>
      <c r="BG158" s="16" t="e">
        <f aca="false">MatchData[sally port scored crossings]*5</f>
        <v>#VALUE!</v>
      </c>
      <c r="BH158" s="16" t="e">
        <f aca="false">MatchData[rock wall scored crossings]*5</f>
        <v>#VALUE!</v>
      </c>
      <c r="BI158" s="16" t="e">
        <f aca="false">MatchData[rough terrain scored crossings]*5</f>
        <v>#VALUE!</v>
      </c>
      <c r="BJ158" s="16" t="e">
        <f aca="false">MatchData[low bar scored crossings]*5</f>
        <v>#VALUE!</v>
      </c>
      <c r="BK158" s="16" t="e">
        <f aca="false">SUM(MatchData[[#this row],[low bar teleop crossings]:[rough terrain scored crossings]])</f>
        <v>#VALUE!</v>
      </c>
      <c r="BL158" s="16" t="e">
        <f aca="false">IFERROR(IF(OR(MatchData[[#this row],[challenge flag]],MatchData[[#this row],[climb flag]]),1,0),0)</f>
        <v>#VALUE!</v>
      </c>
      <c r="BM158" s="16" t="e">
        <f aca="false">MatchData[auto high goals]*10+MatchData[teleop high goals]*5</f>
        <v>#VALUE!</v>
      </c>
      <c r="BN158" s="16" t="e">
        <f aca="false">MatchData[auto low goals]*5+MatchData[teleop low goals]*2</f>
        <v>#VALUE!</v>
      </c>
      <c r="BO158" s="16" t="e">
        <f aca="false">MatchData[high goal score]+MatchData[low goal score]</f>
        <v>#VALUE!</v>
      </c>
      <c r="BP158" s="16" t="e">
        <f aca="false">MatchData[teleop high goals]+MatchData[teleop low goals]</f>
        <v>#VALUE!</v>
      </c>
      <c r="BQ158" s="16" t="e">
        <f aca="false">MatchData[[#this row],[auto reach flag]]*2+SUM(MatchData[[#this row],[portcullis auto crossings]:[low bar auto crossings]])*10+MatchData[[#this row],[auto low goals]]*5+MatchData[auto high goals]*10</f>
        <v>#VALUE!</v>
      </c>
      <c r="BR158" s="16" t="e">
        <f aca="false">SUM(MatchData[[#this row],[cheval teleop crossing score]:[low bar teleop crossing score]])</f>
        <v>#VALUE!</v>
      </c>
      <c r="BS158" s="16" t="e">
        <f aca="false">SUMIF(MatchData[team],MatchData[[#this row],[team]],MatchData[total auto score])/MatchData[match count]</f>
        <v>#VALUE!</v>
      </c>
      <c r="BT158" s="16" t="e">
        <f aca="false">MatchData[challenge flag]*5</f>
        <v>#VALUE!</v>
      </c>
      <c r="BU158" s="16" t="e">
        <f aca="false">MatchData[climb flag]*15</f>
        <v>#VALUE!</v>
      </c>
      <c r="BV158" s="16" t="e">
        <f aca="false">SUM(MatchData[[#this row],[total goal score]],MatchData[[#this row],[crossing score]],MatchData[[#this row],[challenge score]],MatchData[[#this row],[climb score]],MatchData[[#this row],[total auto score]])</f>
        <v>#VALUE!</v>
      </c>
      <c r="BW158" s="16" t="e">
        <f aca="false">ROUND(SUMIF(MatchData[team],MatchData[[#this row],[team]],MatchData[teleop low goals])/COUNTIF(MatchData[team],MatchData[[#this row],[team]]),2)</f>
        <v>#VALUE!</v>
      </c>
      <c r="BX158" s="16" t="e">
        <f aca="false">ROUND(SUMIF(MatchData[team],MatchData[[#this row],[team]],MatchData[teleop high goals])/COUNTIF(MatchData[team],MatchData[[#this row],[team]]),2)</f>
        <v>#VALUE!</v>
      </c>
      <c r="BY158" s="16" t="e">
        <f aca="false">COUNTIF(MatchData[team],MatchData[[#this row],[team]])</f>
        <v>#VALUE!</v>
      </c>
      <c r="BZ158" s="16" t="e">
        <f aca="false">SUMIF(MatchData[team],MatchData[[#this row],[team]],MatchData[portcullis available])</f>
        <v>#VALUE!</v>
      </c>
      <c r="CA158" s="16" t="e">
        <f aca="false">SUMIF(MatchData[team],MatchData[[#this row],[team]],MatchData[cheval available])</f>
        <v>#VALUE!</v>
      </c>
      <c r="CB158" s="16" t="e">
        <f aca="false">SUMIF(MatchData[team],MatchData[[#this row],[team]],MatchData[moat available])</f>
        <v>#VALUE!</v>
      </c>
      <c r="CC158" s="16" t="e">
        <f aca="false">SUMIF(MatchData[team],MatchData[[#this row],[team]],MatchData[ramparts available])</f>
        <v>#VALUE!</v>
      </c>
      <c r="CD158" s="16" t="e">
        <f aca="false">SUMIF(MatchData[team],MatchData[[#this row],[team]],MatchData[drawbridge available])</f>
        <v>#VALUE!</v>
      </c>
      <c r="CE158" s="16" t="e">
        <f aca="false">SUMIF(MatchData[team],MatchData[[#this row],[team]],MatchData[sally port available])</f>
        <v>#VALUE!</v>
      </c>
      <c r="CF158" s="16" t="e">
        <f aca="false">SUMIF(MatchData[team],MatchData[[#this row],[team]],MatchData[rock wall available])</f>
        <v>#VALUE!</v>
      </c>
      <c r="CG158" s="16" t="e">
        <f aca="false">SUMIF(MatchData[team],MatchData[[#this row],[team]],MatchData[rough terrain available])</f>
        <v>#VALUE!</v>
      </c>
      <c r="CH158" s="16" t="e">
        <f aca="false">SUMIF(MatchData[team],MatchData[[#this row],[team]],MatchData[low bar available])</f>
        <v>#VALUE!</v>
      </c>
      <c r="CI158" s="16" t="e">
        <f aca="false">SUMIF(MatchData[team],MatchData[[#this row],[team]],MatchData[portcullis teleop crossings]:MatchData[portcullis scored crossings])</f>
        <v>#VALUE!</v>
      </c>
      <c r="CJ158" s="16" t="e">
        <f aca="false">SUMIF(MatchData[team],MatchData[[#this row],[team]],MatchData[cheval teleop crossings])+SUMIF(MatchData[team],MatchData[[#this row],[team]],MatchData[cheval scored crossings])</f>
        <v>#VALUE!</v>
      </c>
      <c r="CK158" s="16" t="e">
        <f aca="false">SUMIF(MatchData[team],MatchData[[#this row],[team]],MatchData[moat teleop crossings])+SUMIF(MatchData[team],MatchData[[#this row],[team]],MatchData[moat scored crosings])</f>
        <v>#VALUE!</v>
      </c>
      <c r="CL158" s="16" t="e">
        <f aca="false">SUMIF(MatchData[team],MatchData[[#this row],[team]],MatchData[ramparts teleop crossings])+SUMIF(MatchData[team],MatchData[[#this row],[team]],MatchData[ramparts scored crossings])</f>
        <v>#VALUE!</v>
      </c>
      <c r="CM158" s="16" t="e">
        <f aca="false">SUMIF(MatchData[team],MatchData[[#this row],[team]],MatchData[drawbridge teleop crossings])+SUMIF(MatchData[team],MatchData[[#this row],[team]],MatchData[drawbridge scored crossings])</f>
        <v>#VALUE!</v>
      </c>
      <c r="CN158" s="16" t="e">
        <f aca="false">SUMIF(MatchData[team],MatchData[[#this row],[team]],MatchData[sally port teleop crossings])+SUMIF(MatchData[team],MatchData[[#this row],[team]],MatchData[sally port scored crossings])</f>
        <v>#VALUE!</v>
      </c>
      <c r="CO158" s="16" t="e">
        <f aca="false">SUMIF(MatchData[team],MatchData[[#this row],[team]],MatchData[rock wall teleop crossings])+SUMIF(MatchData[team],MatchData[[#this row],[team]],MatchData[rock wall scored crossings])</f>
        <v>#VALUE!</v>
      </c>
      <c r="CP158" s="16" t="e">
        <f aca="false">SUMIF(MatchData[team],MatchData[[#this row],[team]],MatchData[rough terrain teleop crossings])+SUMIF(MatchData[team],MatchData[[#this row],[team]],MatchData[rough terrain scored crossings])</f>
        <v>#VALUE!</v>
      </c>
      <c r="CQ158" s="16" t="e">
        <f aca="false">SUMIF(MatchData[team],MatchData[[#this row],[team]],MatchData[low bar teleop crossings])+SUMIF(MatchData[team],MatchData[[#this row],[team]],MatchData[low bar scored crossings])</f>
        <v>#VALUE!</v>
      </c>
      <c r="CR158" s="16" t="e">
        <f aca="false">IFERROR(ROUND(MatchData[[#this row],[portcullis sum]]/MatchData[[#this row],[portcullis avail count]],2),0)</f>
        <v>#VALUE!</v>
      </c>
      <c r="CS158" s="16" t="e">
        <f aca="false">IFERROR(ROUND(MatchData[[#this row],[cheval sum]]/MatchData[[#this row],[cheval avail count]],2),0)</f>
        <v>#VALUE!</v>
      </c>
      <c r="CT158" s="16" t="e">
        <f aca="false">IFERROR(ROUND(MatchData[[#this row],[moat sum]]/MatchData[[#this row],[moat avail count]],2),0)</f>
        <v>#VALUE!</v>
      </c>
      <c r="CU158" s="16" t="e">
        <f aca="false">IFERROR(ROUND(MatchData[[#this row],[ramparts sum]]/MatchData[[#this row],[ramparts avail count]],2),0)</f>
        <v>#VALUE!</v>
      </c>
      <c r="CV158" s="16" t="e">
        <f aca="false">IFERROR(ROUND(MatchData[[#this row],[drawbridge sum]]/MatchData[[#this row],[drawbridge avail countigh6]],2),0)</f>
        <v>#VALUE!</v>
      </c>
      <c r="CW158" s="16" t="e">
        <f aca="false">IFERROR(ROUND(MatchData[[#this row],[sally port sum]]/MatchData[[#this row],[sally port avail count]],2),0)</f>
        <v>#VALUE!</v>
      </c>
      <c r="CX158" s="5" t="e">
        <f aca="false">IFERROR(ROUND(MatchData[[#this row],[rock wall sum]]/MatchData[[#this row],[rock wall avail count]],2),0)</f>
        <v>#VALUE!</v>
      </c>
      <c r="CY158" s="5" t="e">
        <f aca="false">IFERROR(ROUND(MatchData[[#this row],[rough terrain sum]]/MatchData[[#this row],[rough terrain avail count]],2),0)</f>
        <v>#VALUE!</v>
      </c>
      <c r="CZ158" s="5" t="e">
        <f aca="false">IFERROR(ROUND(MatchData[[#this row],[low bar sum]]/MatchData[[#this row],[low bar avail count]],2),0)</f>
        <v>#VALUE!</v>
      </c>
      <c r="DA158" s="16" t="e">
        <f aca="false">SUM(MatchData[[#this row],[cheval sum]:[low bar sum]])/MatchData[match count]</f>
        <v>#VALUE!</v>
      </c>
      <c r="DB158" s="16" t="n">
        <f aca="false">MAX(IF(C$2:C$74=C158,BP$2:BP$74))</f>
        <v>-1.79769313486232E+308</v>
      </c>
      <c r="DC158" s="16" t="e">
        <f aca="false">AVERAGEIF(MatchData[team],MatchData[[#this row],[team]],MatchData[total score])</f>
        <v>#VALUE!</v>
      </c>
      <c r="DD158" s="16" t="e">
        <f aca="false">ROUND(AVERAGEIF(MatchData[team],MatchData[team],MatchData[climb or challenge flag]),2)</f>
        <v>#VALUE!</v>
      </c>
    </row>
    <row r="159" customFormat="false" ht="14.5" hidden="false" customHeight="false" outlineLevel="0" collapsed="false">
      <c r="A159" s="13" t="s">
        <v>108</v>
      </c>
      <c r="B159" s="14" t="n">
        <v>27</v>
      </c>
      <c r="C159" s="15" t="n">
        <v>3674</v>
      </c>
      <c r="D159" s="5" t="s">
        <v>109</v>
      </c>
      <c r="E159" s="5" t="s">
        <v>153</v>
      </c>
      <c r="G159" s="16"/>
      <c r="I159" s="16"/>
      <c r="J159" s="5" t="n">
        <v>1</v>
      </c>
      <c r="K159" s="16"/>
      <c r="L159" s="5" t="n">
        <v>1</v>
      </c>
      <c r="M159" s="5" t="n">
        <v>1</v>
      </c>
      <c r="N159" s="0"/>
      <c r="O159" s="5" t="n">
        <v>1</v>
      </c>
      <c r="P159" s="0"/>
      <c r="Q159" s="5" t="n">
        <v>1</v>
      </c>
      <c r="R159" s="0"/>
      <c r="S159" s="16"/>
      <c r="T159" s="0"/>
      <c r="U159" s="16"/>
      <c r="V159" s="16"/>
      <c r="W159" s="0"/>
      <c r="AC159" s="5" t="n">
        <v>1</v>
      </c>
      <c r="AD159" s="16" t="n">
        <v>1</v>
      </c>
      <c r="AE159" s="5"/>
      <c r="AF159" s="16"/>
      <c r="AG159" s="16"/>
      <c r="AH159" s="16" t="n">
        <v>2</v>
      </c>
      <c r="AJ159" s="16"/>
      <c r="AL159" s="16"/>
      <c r="AN159" s="16"/>
      <c r="AP159" s="16"/>
      <c r="AR159" s="16"/>
      <c r="AT159" s="16"/>
      <c r="AU159" s="16" t="n">
        <v>1</v>
      </c>
      <c r="AV159" s="16"/>
      <c r="AW159" s="16" t="n">
        <v>1</v>
      </c>
      <c r="AX159" s="16"/>
      <c r="AY159" s="16"/>
      <c r="AZ159" s="16"/>
      <c r="BB159" s="16" t="n">
        <v>1</v>
      </c>
      <c r="BC159" s="16" t="e">
        <f aca="false">MatchData[cheval scored crossings]*5</f>
        <v>#VALUE!</v>
      </c>
      <c r="BD159" s="16" t="e">
        <f aca="false">MatchData[moat scored crosings]*5</f>
        <v>#VALUE!</v>
      </c>
      <c r="BE159" s="16" t="e">
        <f aca="false">MatchData[ramparts scored crossings]*5</f>
        <v>#VALUE!</v>
      </c>
      <c r="BF159" s="16" t="e">
        <f aca="false">MatchData[drawbridge scored crossings]*5</f>
        <v>#VALUE!</v>
      </c>
      <c r="BG159" s="16" t="e">
        <f aca="false">MatchData[sally port scored crossings]*5</f>
        <v>#VALUE!</v>
      </c>
      <c r="BH159" s="16" t="e">
        <f aca="false">MatchData[rock wall scored crossings]*5</f>
        <v>#VALUE!</v>
      </c>
      <c r="BI159" s="16" t="e">
        <f aca="false">MatchData[rough terrain scored crossings]*5</f>
        <v>#VALUE!</v>
      </c>
      <c r="BJ159" s="16" t="e">
        <f aca="false">MatchData[low bar scored crossings]*5</f>
        <v>#VALUE!</v>
      </c>
      <c r="BK159" s="16" t="e">
        <f aca="false">SUM(MatchData[[#this row],[low bar teleop crossings]:[rough terrain scored crossings]])</f>
        <v>#VALUE!</v>
      </c>
      <c r="BL159" s="16" t="e">
        <f aca="false">IFERROR(IF(OR(MatchData[[#this row],[challenge flag]],MatchData[[#this row],[climb flag]]),1,0),0)</f>
        <v>#VALUE!</v>
      </c>
      <c r="BM159" s="16" t="e">
        <f aca="false">MatchData[auto high goals]*10+MatchData[teleop high goals]*5</f>
        <v>#VALUE!</v>
      </c>
      <c r="BN159" s="16" t="e">
        <f aca="false">MatchData[auto low goals]*5+MatchData[teleop low goals]*2</f>
        <v>#VALUE!</v>
      </c>
      <c r="BO159" s="16" t="e">
        <f aca="false">MatchData[high goal score]+MatchData[low goal score]</f>
        <v>#VALUE!</v>
      </c>
      <c r="BP159" s="16" t="e">
        <f aca="false">MatchData[teleop high goals]+MatchData[teleop low goals]</f>
        <v>#VALUE!</v>
      </c>
      <c r="BQ159" s="16" t="e">
        <f aca="false">MatchData[[#this row],[auto reach flag]]*2+SUM(MatchData[[#this row],[portcullis auto crossings]:[low bar auto crossings]])*10+MatchData[[#this row],[auto low goals]]*5+MatchData[auto high goals]*10</f>
        <v>#VALUE!</v>
      </c>
      <c r="BR159" s="16" t="e">
        <f aca="false">SUM(MatchData[[#this row],[cheval teleop crossing score]:[low bar teleop crossing score]])</f>
        <v>#VALUE!</v>
      </c>
      <c r="BS159" s="16" t="e">
        <f aca="false">SUMIF(MatchData[team],MatchData[[#this row],[team]],MatchData[total auto score])/MatchData[match count]</f>
        <v>#VALUE!</v>
      </c>
      <c r="BT159" s="16" t="e">
        <f aca="false">MatchData[challenge flag]*5</f>
        <v>#VALUE!</v>
      </c>
      <c r="BU159" s="16" t="e">
        <f aca="false">MatchData[climb flag]*15</f>
        <v>#VALUE!</v>
      </c>
      <c r="BV159" s="16" t="e">
        <f aca="false">SUM(MatchData[[#this row],[total goal score]],MatchData[[#this row],[crossing score]],MatchData[[#this row],[challenge score]],MatchData[[#this row],[climb score]],MatchData[[#this row],[total auto score]])</f>
        <v>#VALUE!</v>
      </c>
      <c r="BW159" s="16" t="e">
        <f aca="false">ROUND(SUMIF(MatchData[team],MatchData[[#this row],[team]],MatchData[teleop low goals])/COUNTIF(MatchData[team],MatchData[[#this row],[team]]),2)</f>
        <v>#VALUE!</v>
      </c>
      <c r="BX159" s="16" t="e">
        <f aca="false">ROUND(SUMIF(MatchData[team],MatchData[[#this row],[team]],MatchData[teleop high goals])/COUNTIF(MatchData[team],MatchData[[#this row],[team]]),2)</f>
        <v>#VALUE!</v>
      </c>
      <c r="BY159" s="16" t="e">
        <f aca="false">COUNTIF(MatchData[team],MatchData[[#this row],[team]])</f>
        <v>#VALUE!</v>
      </c>
      <c r="BZ159" s="16" t="e">
        <f aca="false">SUMIF(MatchData[team],MatchData[[#this row],[team]],MatchData[portcullis available])</f>
        <v>#VALUE!</v>
      </c>
      <c r="CA159" s="16" t="e">
        <f aca="false">SUMIF(MatchData[team],MatchData[[#this row],[team]],MatchData[cheval available])</f>
        <v>#VALUE!</v>
      </c>
      <c r="CB159" s="16" t="e">
        <f aca="false">SUMIF(MatchData[team],MatchData[[#this row],[team]],MatchData[moat available])</f>
        <v>#VALUE!</v>
      </c>
      <c r="CC159" s="16" t="e">
        <f aca="false">SUMIF(MatchData[team],MatchData[[#this row],[team]],MatchData[ramparts available])</f>
        <v>#VALUE!</v>
      </c>
      <c r="CD159" s="16" t="e">
        <f aca="false">SUMIF(MatchData[team],MatchData[[#this row],[team]],MatchData[drawbridge available])</f>
        <v>#VALUE!</v>
      </c>
      <c r="CE159" s="16" t="e">
        <f aca="false">SUMIF(MatchData[team],MatchData[[#this row],[team]],MatchData[sally port available])</f>
        <v>#VALUE!</v>
      </c>
      <c r="CF159" s="16" t="e">
        <f aca="false">SUMIF(MatchData[team],MatchData[[#this row],[team]],MatchData[rock wall available])</f>
        <v>#VALUE!</v>
      </c>
      <c r="CG159" s="16" t="e">
        <f aca="false">SUMIF(MatchData[team],MatchData[[#this row],[team]],MatchData[rough terrain available])</f>
        <v>#VALUE!</v>
      </c>
      <c r="CH159" s="16" t="e">
        <f aca="false">SUMIF(MatchData[team],MatchData[[#this row],[team]],MatchData[low bar available])</f>
        <v>#VALUE!</v>
      </c>
      <c r="CI159" s="16" t="e">
        <f aca="false">SUMIF(MatchData[team],MatchData[[#this row],[team]],MatchData[portcullis teleop crossings]:MatchData[portcullis scored crossings])</f>
        <v>#VALUE!</v>
      </c>
      <c r="CJ159" s="16" t="e">
        <f aca="false">SUMIF(MatchData[team],MatchData[[#this row],[team]],MatchData[cheval teleop crossings])+SUMIF(MatchData[team],MatchData[[#this row],[team]],MatchData[cheval scored crossings])</f>
        <v>#VALUE!</v>
      </c>
      <c r="CK159" s="16" t="e">
        <f aca="false">SUMIF(MatchData[team],MatchData[[#this row],[team]],MatchData[moat teleop crossings])+SUMIF(MatchData[team],MatchData[[#this row],[team]],MatchData[moat scored crosings])</f>
        <v>#VALUE!</v>
      </c>
      <c r="CL159" s="16" t="e">
        <f aca="false">SUMIF(MatchData[team],MatchData[[#this row],[team]],MatchData[ramparts teleop crossings])+SUMIF(MatchData[team],MatchData[[#this row],[team]],MatchData[ramparts scored crossings])</f>
        <v>#VALUE!</v>
      </c>
      <c r="CM159" s="16" t="e">
        <f aca="false">SUMIF(MatchData[team],MatchData[[#this row],[team]],MatchData[drawbridge teleop crossings])+SUMIF(MatchData[team],MatchData[[#this row],[team]],MatchData[drawbridge scored crossings])</f>
        <v>#VALUE!</v>
      </c>
      <c r="CN159" s="16" t="e">
        <f aca="false">SUMIF(MatchData[team],MatchData[[#this row],[team]],MatchData[sally port teleop crossings])+SUMIF(MatchData[team],MatchData[[#this row],[team]],MatchData[sally port scored crossings])</f>
        <v>#VALUE!</v>
      </c>
      <c r="CO159" s="16" t="e">
        <f aca="false">SUMIF(MatchData[team],MatchData[[#this row],[team]],MatchData[rock wall teleop crossings])+SUMIF(MatchData[team],MatchData[[#this row],[team]],MatchData[rock wall scored crossings])</f>
        <v>#VALUE!</v>
      </c>
      <c r="CP159" s="16" t="e">
        <f aca="false">SUMIF(MatchData[team],MatchData[[#this row],[team]],MatchData[rough terrain teleop crossings])+SUMIF(MatchData[team],MatchData[[#this row],[team]],MatchData[rough terrain scored crossings])</f>
        <v>#VALUE!</v>
      </c>
      <c r="CQ159" s="16" t="e">
        <f aca="false">SUMIF(MatchData[team],MatchData[[#this row],[team]],MatchData[low bar teleop crossings])+SUMIF(MatchData[team],MatchData[[#this row],[team]],MatchData[low bar scored crossings])</f>
        <v>#VALUE!</v>
      </c>
      <c r="CR159" s="16" t="e">
        <f aca="false">IFERROR(ROUND(MatchData[[#this row],[portcullis sum]]/MatchData[[#this row],[portcullis avail count]],2),0)</f>
        <v>#VALUE!</v>
      </c>
      <c r="CS159" s="16" t="e">
        <f aca="false">IFERROR(ROUND(MatchData[[#this row],[cheval sum]]/MatchData[[#this row],[cheval avail count]],2),0)</f>
        <v>#VALUE!</v>
      </c>
      <c r="CT159" s="16" t="e">
        <f aca="false">IFERROR(ROUND(MatchData[[#this row],[moat sum]]/MatchData[[#this row],[moat avail count]],2),0)</f>
        <v>#VALUE!</v>
      </c>
      <c r="CU159" s="16" t="e">
        <f aca="false">IFERROR(ROUND(MatchData[[#this row],[ramparts sum]]/MatchData[[#this row],[ramparts avail count]],2),0)</f>
        <v>#VALUE!</v>
      </c>
      <c r="CV159" s="16" t="e">
        <f aca="false">IFERROR(ROUND(MatchData[[#this row],[drawbridge sum]]/MatchData[[#this row],[drawbridge avail countigh6]],2),0)</f>
        <v>#VALUE!</v>
      </c>
      <c r="CW159" s="16" t="e">
        <f aca="false">IFERROR(ROUND(MatchData[[#this row],[sally port sum]]/MatchData[[#this row],[sally port avail count]],2),0)</f>
        <v>#VALUE!</v>
      </c>
      <c r="CX159" s="5" t="e">
        <f aca="false">IFERROR(ROUND(MatchData[[#this row],[rock wall sum]]/MatchData[[#this row],[rock wall avail count]],2),0)</f>
        <v>#VALUE!</v>
      </c>
      <c r="CY159" s="5" t="e">
        <f aca="false">IFERROR(ROUND(MatchData[[#this row],[rough terrain sum]]/MatchData[[#this row],[rough terrain avail count]],2),0)</f>
        <v>#VALUE!</v>
      </c>
      <c r="CZ159" s="5" t="e">
        <f aca="false">IFERROR(ROUND(MatchData[[#this row],[low bar sum]]/MatchData[[#this row],[low bar avail count]],2),0)</f>
        <v>#VALUE!</v>
      </c>
      <c r="DA159" s="16" t="e">
        <f aca="false">SUM(MatchData[[#this row],[cheval sum]:[low bar sum]])/MatchData[match count]</f>
        <v>#VALUE!</v>
      </c>
      <c r="DB159" s="16" t="n">
        <f aca="false">MAX(IF(C$2:C$74=C159,BP$2:BP$74))</f>
        <v>-1.79769313486232E+308</v>
      </c>
      <c r="DC159" s="16" t="e">
        <f aca="false">AVERAGEIF(MatchData[team],MatchData[[#this row],[team]],MatchData[total score])</f>
        <v>#VALUE!</v>
      </c>
      <c r="DD159" s="16" t="e">
        <f aca="false">ROUND(AVERAGEIF(MatchData[team],MatchData[team],MatchData[climb or challenge flag]),2)</f>
        <v>#VALUE!</v>
      </c>
    </row>
    <row r="160" customFormat="false" ht="14.5" hidden="false" customHeight="false" outlineLevel="0" collapsed="false">
      <c r="A160" s="17" t="s">
        <v>108</v>
      </c>
      <c r="B160" s="14" t="n">
        <v>27</v>
      </c>
      <c r="C160" s="15" t="n">
        <v>5468</v>
      </c>
      <c r="D160" s="5" t="s">
        <v>109</v>
      </c>
      <c r="E160" s="5" t="s">
        <v>110</v>
      </c>
      <c r="G160" s="16" t="n">
        <v>1</v>
      </c>
      <c r="I160" s="16"/>
      <c r="J160" s="5" t="n">
        <v>1</v>
      </c>
      <c r="K160" s="16"/>
      <c r="L160" s="5" t="n">
        <v>1</v>
      </c>
      <c r="M160" s="5" t="n">
        <v>1</v>
      </c>
      <c r="N160" s="0"/>
      <c r="O160" s="5" t="n">
        <v>1</v>
      </c>
      <c r="P160" s="0"/>
      <c r="Q160" s="5" t="n">
        <v>1</v>
      </c>
      <c r="R160" s="0"/>
      <c r="S160" s="16"/>
      <c r="T160" s="0"/>
      <c r="U160" s="16"/>
      <c r="V160" s="16"/>
      <c r="W160" s="0"/>
      <c r="AB160" s="5" t="n">
        <v>1</v>
      </c>
      <c r="AD160" s="16"/>
      <c r="AE160" s="5"/>
      <c r="AF160" s="16"/>
      <c r="AG160" s="16"/>
      <c r="AH160" s="16"/>
      <c r="AJ160" s="16"/>
      <c r="AL160" s="16"/>
      <c r="AN160" s="16"/>
      <c r="AP160" s="16"/>
      <c r="AR160" s="16"/>
      <c r="AT160" s="16"/>
      <c r="AU160" s="16"/>
      <c r="AV160" s="16"/>
      <c r="AW160" s="16" t="n">
        <v>1</v>
      </c>
      <c r="AX160" s="16"/>
      <c r="AY160" s="16"/>
      <c r="AZ160" s="16"/>
      <c r="BB160" s="16"/>
      <c r="BC160" s="16" t="e">
        <f aca="false">MatchData[cheval scored crossings]*5</f>
        <v>#VALUE!</v>
      </c>
      <c r="BD160" s="16" t="e">
        <f aca="false">MatchData[moat scored crosings]*5</f>
        <v>#VALUE!</v>
      </c>
      <c r="BE160" s="16" t="e">
        <f aca="false">MatchData[ramparts scored crossings]*5</f>
        <v>#VALUE!</v>
      </c>
      <c r="BF160" s="16" t="e">
        <f aca="false">MatchData[drawbridge scored crossings]*5</f>
        <v>#VALUE!</v>
      </c>
      <c r="BG160" s="16" t="e">
        <f aca="false">MatchData[sally port scored crossings]*5</f>
        <v>#VALUE!</v>
      </c>
      <c r="BH160" s="16" t="e">
        <f aca="false">MatchData[rock wall scored crossings]*5</f>
        <v>#VALUE!</v>
      </c>
      <c r="BI160" s="16" t="e">
        <f aca="false">MatchData[rough terrain scored crossings]*5</f>
        <v>#VALUE!</v>
      </c>
      <c r="BJ160" s="16" t="e">
        <f aca="false">MatchData[low bar scored crossings]*5</f>
        <v>#VALUE!</v>
      </c>
      <c r="BK160" s="16" t="e">
        <f aca="false">SUM(MatchData[[#this row],[low bar teleop crossings]:[rough terrain scored crossings]])</f>
        <v>#VALUE!</v>
      </c>
      <c r="BL160" s="16" t="e">
        <f aca="false">IFERROR(IF(OR(MatchData[[#this row],[challenge flag]],MatchData[[#this row],[climb flag]]),1,0),0)</f>
        <v>#VALUE!</v>
      </c>
      <c r="BM160" s="16" t="e">
        <f aca="false">MatchData[auto high goals]*10+MatchData[teleop high goals]*5</f>
        <v>#VALUE!</v>
      </c>
      <c r="BN160" s="16" t="e">
        <f aca="false">MatchData[auto low goals]*5+MatchData[teleop low goals]*2</f>
        <v>#VALUE!</v>
      </c>
      <c r="BO160" s="16" t="e">
        <f aca="false">MatchData[high goal score]+MatchData[low goal score]</f>
        <v>#VALUE!</v>
      </c>
      <c r="BP160" s="16" t="e">
        <f aca="false">MatchData[teleop high goals]+MatchData[teleop low goals]</f>
        <v>#VALUE!</v>
      </c>
      <c r="BQ160" s="16" t="e">
        <f aca="false">MatchData[[#this row],[auto reach flag]]*2+SUM(MatchData[[#this row],[portcullis auto crossings]:[low bar auto crossings]])*10+MatchData[[#this row],[auto low goals]]*5+MatchData[auto high goals]*10</f>
        <v>#VALUE!</v>
      </c>
      <c r="BR160" s="16" t="e">
        <f aca="false">SUM(MatchData[[#this row],[cheval teleop crossing score]:[low bar teleop crossing score]])</f>
        <v>#VALUE!</v>
      </c>
      <c r="BS160" s="16" t="e">
        <f aca="false">SUMIF(MatchData[team],MatchData[[#this row],[team]],MatchData[total auto score])/MatchData[match count]</f>
        <v>#VALUE!</v>
      </c>
      <c r="BT160" s="16" t="e">
        <f aca="false">MatchData[challenge flag]*5</f>
        <v>#VALUE!</v>
      </c>
      <c r="BU160" s="16" t="e">
        <f aca="false">MatchData[climb flag]*15</f>
        <v>#VALUE!</v>
      </c>
      <c r="BV160" s="16" t="e">
        <f aca="false">SUM(MatchData[[#this row],[total goal score]],MatchData[[#this row],[crossing score]],MatchData[[#this row],[challenge score]],MatchData[[#this row],[climb score]],MatchData[[#this row],[total auto score]])</f>
        <v>#VALUE!</v>
      </c>
      <c r="BW160" s="16" t="e">
        <f aca="false">ROUND(SUMIF(MatchData[team],MatchData[[#this row],[team]],MatchData[teleop low goals])/COUNTIF(MatchData[team],MatchData[[#this row],[team]]),2)</f>
        <v>#VALUE!</v>
      </c>
      <c r="BX160" s="16" t="e">
        <f aca="false">ROUND(SUMIF(MatchData[team],MatchData[[#this row],[team]],MatchData[teleop high goals])/COUNTIF(MatchData[team],MatchData[[#this row],[team]]),2)</f>
        <v>#VALUE!</v>
      </c>
      <c r="BY160" s="16" t="e">
        <f aca="false">COUNTIF(MatchData[team],MatchData[[#this row],[team]])</f>
        <v>#VALUE!</v>
      </c>
      <c r="BZ160" s="16" t="e">
        <f aca="false">SUMIF(MatchData[team],MatchData[[#this row],[team]],MatchData[portcullis available])</f>
        <v>#VALUE!</v>
      </c>
      <c r="CA160" s="16" t="e">
        <f aca="false">SUMIF(MatchData[team],MatchData[[#this row],[team]],MatchData[cheval available])</f>
        <v>#VALUE!</v>
      </c>
      <c r="CB160" s="16" t="e">
        <f aca="false">SUMIF(MatchData[team],MatchData[[#this row],[team]],MatchData[moat available])</f>
        <v>#VALUE!</v>
      </c>
      <c r="CC160" s="16" t="e">
        <f aca="false">SUMIF(MatchData[team],MatchData[[#this row],[team]],MatchData[ramparts available])</f>
        <v>#VALUE!</v>
      </c>
      <c r="CD160" s="16" t="e">
        <f aca="false">SUMIF(MatchData[team],MatchData[[#this row],[team]],MatchData[drawbridge available])</f>
        <v>#VALUE!</v>
      </c>
      <c r="CE160" s="16" t="e">
        <f aca="false">SUMIF(MatchData[team],MatchData[[#this row],[team]],MatchData[sally port available])</f>
        <v>#VALUE!</v>
      </c>
      <c r="CF160" s="16" t="e">
        <f aca="false">SUMIF(MatchData[team],MatchData[[#this row],[team]],MatchData[rock wall available])</f>
        <v>#VALUE!</v>
      </c>
      <c r="CG160" s="16" t="e">
        <f aca="false">SUMIF(MatchData[team],MatchData[[#this row],[team]],MatchData[rough terrain available])</f>
        <v>#VALUE!</v>
      </c>
      <c r="CH160" s="16" t="e">
        <f aca="false">SUMIF(MatchData[team],MatchData[[#this row],[team]],MatchData[low bar available])</f>
        <v>#VALUE!</v>
      </c>
      <c r="CI160" s="16" t="e">
        <f aca="false">SUMIF(MatchData[team],MatchData[[#this row],[team]],MatchData[portcullis teleop crossings]:MatchData[portcullis scored crossings])</f>
        <v>#VALUE!</v>
      </c>
      <c r="CJ160" s="16" t="e">
        <f aca="false">SUMIF(MatchData[team],MatchData[[#this row],[team]],MatchData[cheval teleop crossings])+SUMIF(MatchData[team],MatchData[[#this row],[team]],MatchData[cheval scored crossings])</f>
        <v>#VALUE!</v>
      </c>
      <c r="CK160" s="16" t="e">
        <f aca="false">SUMIF(MatchData[team],MatchData[[#this row],[team]],MatchData[moat teleop crossings])+SUMIF(MatchData[team],MatchData[[#this row],[team]],MatchData[moat scored crosings])</f>
        <v>#VALUE!</v>
      </c>
      <c r="CL160" s="16" t="e">
        <f aca="false">SUMIF(MatchData[team],MatchData[[#this row],[team]],MatchData[ramparts teleop crossings])+SUMIF(MatchData[team],MatchData[[#this row],[team]],MatchData[ramparts scored crossings])</f>
        <v>#VALUE!</v>
      </c>
      <c r="CM160" s="16" t="e">
        <f aca="false">SUMIF(MatchData[team],MatchData[[#this row],[team]],MatchData[drawbridge teleop crossings])+SUMIF(MatchData[team],MatchData[[#this row],[team]],MatchData[drawbridge scored crossings])</f>
        <v>#VALUE!</v>
      </c>
      <c r="CN160" s="16" t="e">
        <f aca="false">SUMIF(MatchData[team],MatchData[[#this row],[team]],MatchData[sally port teleop crossings])+SUMIF(MatchData[team],MatchData[[#this row],[team]],MatchData[sally port scored crossings])</f>
        <v>#VALUE!</v>
      </c>
      <c r="CO160" s="16" t="e">
        <f aca="false">SUMIF(MatchData[team],MatchData[[#this row],[team]],MatchData[rock wall teleop crossings])+SUMIF(MatchData[team],MatchData[[#this row],[team]],MatchData[rock wall scored crossings])</f>
        <v>#VALUE!</v>
      </c>
      <c r="CP160" s="16" t="e">
        <f aca="false">SUMIF(MatchData[team],MatchData[[#this row],[team]],MatchData[rough terrain teleop crossings])+SUMIF(MatchData[team],MatchData[[#this row],[team]],MatchData[rough terrain scored crossings])</f>
        <v>#VALUE!</v>
      </c>
      <c r="CQ160" s="16" t="e">
        <f aca="false">SUMIF(MatchData[team],MatchData[[#this row],[team]],MatchData[low bar teleop crossings])+SUMIF(MatchData[team],MatchData[[#this row],[team]],MatchData[low bar scored crossings])</f>
        <v>#VALUE!</v>
      </c>
      <c r="CR160" s="16" t="e">
        <f aca="false">IFERROR(ROUND(MatchData[[#this row],[portcullis sum]]/MatchData[[#this row],[portcullis avail count]],2),0)</f>
        <v>#VALUE!</v>
      </c>
      <c r="CS160" s="16" t="e">
        <f aca="false">IFERROR(ROUND(MatchData[[#this row],[cheval sum]]/MatchData[[#this row],[cheval avail count]],2),0)</f>
        <v>#VALUE!</v>
      </c>
      <c r="CT160" s="16" t="e">
        <f aca="false">IFERROR(ROUND(MatchData[[#this row],[moat sum]]/MatchData[[#this row],[moat avail count]],2),0)</f>
        <v>#VALUE!</v>
      </c>
      <c r="CU160" s="16" t="e">
        <f aca="false">IFERROR(ROUND(MatchData[[#this row],[ramparts sum]]/MatchData[[#this row],[ramparts avail count]],2),0)</f>
        <v>#VALUE!</v>
      </c>
      <c r="CV160" s="16" t="e">
        <f aca="false">IFERROR(ROUND(MatchData[[#this row],[drawbridge sum]]/MatchData[[#this row],[drawbridge avail countigh6]],2),0)</f>
        <v>#VALUE!</v>
      </c>
      <c r="CW160" s="16" t="e">
        <f aca="false">IFERROR(ROUND(MatchData[[#this row],[sally port sum]]/MatchData[[#this row],[sally port avail count]],2),0)</f>
        <v>#VALUE!</v>
      </c>
      <c r="CX160" s="5" t="e">
        <f aca="false">IFERROR(ROUND(MatchData[[#this row],[rock wall sum]]/MatchData[[#this row],[rock wall avail count]],2),0)</f>
        <v>#VALUE!</v>
      </c>
      <c r="CY160" s="5" t="e">
        <f aca="false">IFERROR(ROUND(MatchData[[#this row],[rough terrain sum]]/MatchData[[#this row],[rough terrain avail count]],2),0)</f>
        <v>#VALUE!</v>
      </c>
      <c r="CZ160" s="5" t="e">
        <f aca="false">IFERROR(ROUND(MatchData[[#this row],[low bar sum]]/MatchData[[#this row],[low bar avail count]],2),0)</f>
        <v>#VALUE!</v>
      </c>
      <c r="DA160" s="16" t="e">
        <f aca="false">SUM(MatchData[[#this row],[cheval sum]:[low bar sum]])/MatchData[match count]</f>
        <v>#VALUE!</v>
      </c>
      <c r="DB160" s="16" t="n">
        <f aca="false">MAX(IF(C$2:C$74=C160,BP$2:BP$74))</f>
        <v>-1.79769313486232E+308</v>
      </c>
      <c r="DC160" s="16" t="e">
        <f aca="false">AVERAGEIF(MatchData[team],MatchData[[#this row],[team]],MatchData[total score])</f>
        <v>#VALUE!</v>
      </c>
      <c r="DD160" s="16" t="e">
        <f aca="false">ROUND(AVERAGEIF(MatchData[team],MatchData[team],MatchData[climb or challenge flag]),2)</f>
        <v>#VALUE!</v>
      </c>
    </row>
    <row r="161" customFormat="false" ht="14.5" hidden="false" customHeight="false" outlineLevel="0" collapsed="false">
      <c r="A161" s="13" t="s">
        <v>108</v>
      </c>
      <c r="B161" s="14" t="n">
        <v>27</v>
      </c>
      <c r="C161" s="15" t="n">
        <v>997</v>
      </c>
      <c r="D161" s="5" t="s">
        <v>113</v>
      </c>
      <c r="E161" s="5" t="s">
        <v>124</v>
      </c>
      <c r="G161" s="16"/>
      <c r="I161" s="16"/>
      <c r="J161" s="5" t="n">
        <v>1</v>
      </c>
      <c r="K161" s="16"/>
      <c r="L161" s="5" t="n">
        <v>1</v>
      </c>
      <c r="N161" s="5" t="n">
        <v>1</v>
      </c>
      <c r="O161" s="5" t="n">
        <v>1</v>
      </c>
      <c r="P161" s="0"/>
      <c r="Q161" s="5" t="n">
        <v>1</v>
      </c>
      <c r="R161" s="0"/>
      <c r="S161" s="16"/>
      <c r="T161" s="0"/>
      <c r="U161" s="16"/>
      <c r="V161" s="16"/>
      <c r="W161" s="0"/>
      <c r="AD161" s="16" t="n">
        <v>2</v>
      </c>
      <c r="AE161" s="5"/>
      <c r="AF161" s="16"/>
      <c r="AG161" s="16"/>
      <c r="AH161" s="16" t="n">
        <v>2</v>
      </c>
      <c r="AJ161" s="16"/>
      <c r="AL161" s="16"/>
      <c r="AN161" s="16"/>
      <c r="AP161" s="16"/>
      <c r="AR161" s="16"/>
      <c r="AT161" s="16"/>
      <c r="AU161" s="16"/>
      <c r="AV161" s="16"/>
      <c r="AW161" s="16" t="n">
        <v>1</v>
      </c>
      <c r="AX161" s="16"/>
      <c r="AY161" s="16"/>
      <c r="AZ161" s="16"/>
      <c r="BB161" s="16" t="n">
        <v>1</v>
      </c>
      <c r="BC161" s="16" t="e">
        <f aca="false">MatchData[cheval scored crossings]*5</f>
        <v>#VALUE!</v>
      </c>
      <c r="BD161" s="16" t="e">
        <f aca="false">MatchData[moat scored crosings]*5</f>
        <v>#VALUE!</v>
      </c>
      <c r="BE161" s="16" t="e">
        <f aca="false">MatchData[ramparts scored crossings]*5</f>
        <v>#VALUE!</v>
      </c>
      <c r="BF161" s="16" t="e">
        <f aca="false">MatchData[drawbridge scored crossings]*5</f>
        <v>#VALUE!</v>
      </c>
      <c r="BG161" s="16" t="e">
        <f aca="false">MatchData[sally port scored crossings]*5</f>
        <v>#VALUE!</v>
      </c>
      <c r="BH161" s="16" t="e">
        <f aca="false">MatchData[rock wall scored crossings]*5</f>
        <v>#VALUE!</v>
      </c>
      <c r="BI161" s="16" t="e">
        <f aca="false">MatchData[rough terrain scored crossings]*5</f>
        <v>#VALUE!</v>
      </c>
      <c r="BJ161" s="16" t="e">
        <f aca="false">MatchData[low bar scored crossings]*5</f>
        <v>#VALUE!</v>
      </c>
      <c r="BK161" s="16" t="e">
        <f aca="false">SUM(MatchData[[#this row],[low bar teleop crossings]:[rough terrain scored crossings]])</f>
        <v>#VALUE!</v>
      </c>
      <c r="BL161" s="16" t="e">
        <f aca="false">IFERROR(IF(OR(MatchData[[#this row],[challenge flag]],MatchData[[#this row],[climb flag]]),1,0),0)</f>
        <v>#VALUE!</v>
      </c>
      <c r="BM161" s="16" t="e">
        <f aca="false">MatchData[auto high goals]*10+MatchData[teleop high goals]*5</f>
        <v>#VALUE!</v>
      </c>
      <c r="BN161" s="16" t="e">
        <f aca="false">MatchData[auto low goals]*5+MatchData[teleop low goals]*2</f>
        <v>#VALUE!</v>
      </c>
      <c r="BO161" s="16" t="e">
        <f aca="false">MatchData[high goal score]+MatchData[low goal score]</f>
        <v>#VALUE!</v>
      </c>
      <c r="BP161" s="16" t="e">
        <f aca="false">MatchData[teleop high goals]+MatchData[teleop low goals]</f>
        <v>#VALUE!</v>
      </c>
      <c r="BQ161" s="16" t="e">
        <f aca="false">MatchData[[#this row],[auto reach flag]]*2+SUM(MatchData[[#this row],[portcullis auto crossings]:[low bar auto crossings]])*10+MatchData[[#this row],[auto low goals]]*5+MatchData[auto high goals]*10</f>
        <v>#VALUE!</v>
      </c>
      <c r="BR161" s="16" t="e">
        <f aca="false">SUM(MatchData[[#this row],[cheval teleop crossing score]:[low bar teleop crossing score]])</f>
        <v>#VALUE!</v>
      </c>
      <c r="BS161" s="16" t="e">
        <f aca="false">SUMIF(MatchData[team],MatchData[[#this row],[team]],MatchData[total auto score])/MatchData[match count]</f>
        <v>#VALUE!</v>
      </c>
      <c r="BT161" s="16" t="e">
        <f aca="false">MatchData[challenge flag]*5</f>
        <v>#VALUE!</v>
      </c>
      <c r="BU161" s="16" t="e">
        <f aca="false">MatchData[climb flag]*15</f>
        <v>#VALUE!</v>
      </c>
      <c r="BV161" s="16" t="e">
        <f aca="false">SUM(MatchData[[#this row],[total goal score]],MatchData[[#this row],[crossing score]],MatchData[[#this row],[challenge score]],MatchData[[#this row],[climb score]],MatchData[[#this row],[total auto score]])</f>
        <v>#VALUE!</v>
      </c>
      <c r="BW161" s="16" t="e">
        <f aca="false">ROUND(SUMIF(MatchData[team],MatchData[[#this row],[team]],MatchData[teleop low goals])/COUNTIF(MatchData[team],MatchData[[#this row],[team]]),2)</f>
        <v>#VALUE!</v>
      </c>
      <c r="BX161" s="16" t="e">
        <f aca="false">ROUND(SUMIF(MatchData[team],MatchData[[#this row],[team]],MatchData[teleop high goals])/COUNTIF(MatchData[team],MatchData[[#this row],[team]]),2)</f>
        <v>#VALUE!</v>
      </c>
      <c r="BY161" s="16" t="e">
        <f aca="false">COUNTIF(MatchData[team],MatchData[[#this row],[team]])</f>
        <v>#VALUE!</v>
      </c>
      <c r="BZ161" s="16" t="e">
        <f aca="false">SUMIF(MatchData[team],MatchData[[#this row],[team]],MatchData[portcullis available])</f>
        <v>#VALUE!</v>
      </c>
      <c r="CA161" s="16" t="e">
        <f aca="false">SUMIF(MatchData[team],MatchData[[#this row],[team]],MatchData[cheval available])</f>
        <v>#VALUE!</v>
      </c>
      <c r="CB161" s="16" t="e">
        <f aca="false">SUMIF(MatchData[team],MatchData[[#this row],[team]],MatchData[moat available])</f>
        <v>#VALUE!</v>
      </c>
      <c r="CC161" s="16" t="e">
        <f aca="false">SUMIF(MatchData[team],MatchData[[#this row],[team]],MatchData[ramparts available])</f>
        <v>#VALUE!</v>
      </c>
      <c r="CD161" s="16" t="e">
        <f aca="false">SUMIF(MatchData[team],MatchData[[#this row],[team]],MatchData[drawbridge available])</f>
        <v>#VALUE!</v>
      </c>
      <c r="CE161" s="16" t="e">
        <f aca="false">SUMIF(MatchData[team],MatchData[[#this row],[team]],MatchData[sally port available])</f>
        <v>#VALUE!</v>
      </c>
      <c r="CF161" s="16" t="e">
        <f aca="false">SUMIF(MatchData[team],MatchData[[#this row],[team]],MatchData[rock wall available])</f>
        <v>#VALUE!</v>
      </c>
      <c r="CG161" s="16" t="e">
        <f aca="false">SUMIF(MatchData[team],MatchData[[#this row],[team]],MatchData[rough terrain available])</f>
        <v>#VALUE!</v>
      </c>
      <c r="CH161" s="16" t="e">
        <f aca="false">SUMIF(MatchData[team],MatchData[[#this row],[team]],MatchData[low bar available])</f>
        <v>#VALUE!</v>
      </c>
      <c r="CI161" s="16" t="e">
        <f aca="false">SUMIF(MatchData[team],MatchData[[#this row],[team]],MatchData[portcullis teleop crossings]:MatchData[portcullis scored crossings])</f>
        <v>#VALUE!</v>
      </c>
      <c r="CJ161" s="16" t="e">
        <f aca="false">SUMIF(MatchData[team],MatchData[[#this row],[team]],MatchData[cheval teleop crossings])+SUMIF(MatchData[team],MatchData[[#this row],[team]],MatchData[cheval scored crossings])</f>
        <v>#VALUE!</v>
      </c>
      <c r="CK161" s="16" t="e">
        <f aca="false">SUMIF(MatchData[team],MatchData[[#this row],[team]],MatchData[moat teleop crossings])+SUMIF(MatchData[team],MatchData[[#this row],[team]],MatchData[moat scored crosings])</f>
        <v>#VALUE!</v>
      </c>
      <c r="CL161" s="16" t="e">
        <f aca="false">SUMIF(MatchData[team],MatchData[[#this row],[team]],MatchData[ramparts teleop crossings])+SUMIF(MatchData[team],MatchData[[#this row],[team]],MatchData[ramparts scored crossings])</f>
        <v>#VALUE!</v>
      </c>
      <c r="CM161" s="16" t="e">
        <f aca="false">SUMIF(MatchData[team],MatchData[[#this row],[team]],MatchData[drawbridge teleop crossings])+SUMIF(MatchData[team],MatchData[[#this row],[team]],MatchData[drawbridge scored crossings])</f>
        <v>#VALUE!</v>
      </c>
      <c r="CN161" s="16" t="e">
        <f aca="false">SUMIF(MatchData[team],MatchData[[#this row],[team]],MatchData[sally port teleop crossings])+SUMIF(MatchData[team],MatchData[[#this row],[team]],MatchData[sally port scored crossings])</f>
        <v>#VALUE!</v>
      </c>
      <c r="CO161" s="16" t="e">
        <f aca="false">SUMIF(MatchData[team],MatchData[[#this row],[team]],MatchData[rock wall teleop crossings])+SUMIF(MatchData[team],MatchData[[#this row],[team]],MatchData[rock wall scored crossings])</f>
        <v>#VALUE!</v>
      </c>
      <c r="CP161" s="16" t="e">
        <f aca="false">SUMIF(MatchData[team],MatchData[[#this row],[team]],MatchData[rough terrain teleop crossings])+SUMIF(MatchData[team],MatchData[[#this row],[team]],MatchData[rough terrain scored crossings])</f>
        <v>#VALUE!</v>
      </c>
      <c r="CQ161" s="16" t="e">
        <f aca="false">SUMIF(MatchData[team],MatchData[[#this row],[team]],MatchData[low bar teleop crossings])+SUMIF(MatchData[team],MatchData[[#this row],[team]],MatchData[low bar scored crossings])</f>
        <v>#VALUE!</v>
      </c>
      <c r="CR161" s="16" t="e">
        <f aca="false">IFERROR(ROUND(MatchData[[#this row],[portcullis sum]]/MatchData[[#this row],[portcullis avail count]],2),0)</f>
        <v>#VALUE!</v>
      </c>
      <c r="CS161" s="16" t="e">
        <f aca="false">IFERROR(ROUND(MatchData[[#this row],[cheval sum]]/MatchData[[#this row],[cheval avail count]],2),0)</f>
        <v>#VALUE!</v>
      </c>
      <c r="CT161" s="16" t="e">
        <f aca="false">IFERROR(ROUND(MatchData[[#this row],[moat sum]]/MatchData[[#this row],[moat avail count]],2),0)</f>
        <v>#VALUE!</v>
      </c>
      <c r="CU161" s="16" t="e">
        <f aca="false">IFERROR(ROUND(MatchData[[#this row],[ramparts sum]]/MatchData[[#this row],[ramparts avail count]],2),0)</f>
        <v>#VALUE!</v>
      </c>
      <c r="CV161" s="16" t="e">
        <f aca="false">IFERROR(ROUND(MatchData[[#this row],[drawbridge sum]]/MatchData[[#this row],[drawbridge avail countigh6]],2),0)</f>
        <v>#VALUE!</v>
      </c>
      <c r="CW161" s="16" t="e">
        <f aca="false">IFERROR(ROUND(MatchData[[#this row],[sally port sum]]/MatchData[[#this row],[sally port avail count]],2),0)</f>
        <v>#VALUE!</v>
      </c>
      <c r="CX161" s="5" t="e">
        <f aca="false">IFERROR(ROUND(MatchData[[#this row],[rock wall sum]]/MatchData[[#this row],[rock wall avail count]],2),0)</f>
        <v>#VALUE!</v>
      </c>
      <c r="CY161" s="5" t="e">
        <f aca="false">IFERROR(ROUND(MatchData[[#this row],[rough terrain sum]]/MatchData[[#this row],[rough terrain avail count]],2),0)</f>
        <v>#VALUE!</v>
      </c>
      <c r="CZ161" s="5" t="e">
        <f aca="false">IFERROR(ROUND(MatchData[[#this row],[low bar sum]]/MatchData[[#this row],[low bar avail count]],2),0)</f>
        <v>#VALUE!</v>
      </c>
      <c r="DA161" s="16" t="e">
        <f aca="false">SUM(MatchData[[#this row],[cheval sum]:[low bar sum]])/MatchData[match count]</f>
        <v>#VALUE!</v>
      </c>
      <c r="DB161" s="16" t="n">
        <f aca="false">MAX(IF(C$2:C$74=C161,BP$2:BP$74))</f>
        <v>-1.79769313486232E+308</v>
      </c>
      <c r="DC161" s="16" t="e">
        <f aca="false">AVERAGEIF(MatchData[team],MatchData[[#this row],[team]],MatchData[total score])</f>
        <v>#VALUE!</v>
      </c>
      <c r="DD161" s="16" t="e">
        <f aca="false">ROUND(AVERAGEIF(MatchData[team],MatchData[team],MatchData[climb or challenge flag]),2)</f>
        <v>#VALUE!</v>
      </c>
    </row>
    <row r="162" customFormat="false" ht="14.5" hidden="false" customHeight="false" outlineLevel="0" collapsed="false">
      <c r="A162" s="13" t="s">
        <v>108</v>
      </c>
      <c r="B162" s="14" t="n">
        <v>27</v>
      </c>
      <c r="C162" s="15" t="n">
        <v>2002</v>
      </c>
      <c r="D162" s="5" t="s">
        <v>113</v>
      </c>
      <c r="E162" s="5" t="s">
        <v>151</v>
      </c>
      <c r="G162" s="16"/>
      <c r="I162" s="16"/>
      <c r="J162" s="5" t="n">
        <v>1</v>
      </c>
      <c r="K162" s="16"/>
      <c r="L162" s="5" t="n">
        <v>1</v>
      </c>
      <c r="N162" s="5" t="n">
        <v>1</v>
      </c>
      <c r="O162" s="5" t="n">
        <v>1</v>
      </c>
      <c r="P162" s="0"/>
      <c r="Q162" s="5" t="n">
        <v>1</v>
      </c>
      <c r="R162" s="0"/>
      <c r="S162" s="16"/>
      <c r="T162" s="0"/>
      <c r="U162" s="16"/>
      <c r="V162" s="16"/>
      <c r="W162" s="0"/>
      <c r="AD162" s="16" t="n">
        <v>2</v>
      </c>
      <c r="AE162" s="5"/>
      <c r="AF162" s="16"/>
      <c r="AG162" s="16"/>
      <c r="AH162" s="16"/>
      <c r="AJ162" s="16"/>
      <c r="AL162" s="16" t="n">
        <v>1</v>
      </c>
      <c r="AN162" s="16"/>
      <c r="AP162" s="16"/>
      <c r="AR162" s="16"/>
      <c r="AT162" s="16"/>
      <c r="AU162" s="16"/>
      <c r="AV162" s="16"/>
      <c r="AW162" s="16" t="n">
        <v>1</v>
      </c>
      <c r="AX162" s="16"/>
      <c r="AY162" s="16"/>
      <c r="AZ162" s="16"/>
      <c r="BB162" s="16" t="n">
        <v>1</v>
      </c>
      <c r="BC162" s="16" t="e">
        <f aca="false">MatchData[cheval scored crossings]*5</f>
        <v>#VALUE!</v>
      </c>
      <c r="BD162" s="16" t="e">
        <f aca="false">MatchData[moat scored crosings]*5</f>
        <v>#VALUE!</v>
      </c>
      <c r="BE162" s="16" t="e">
        <f aca="false">MatchData[ramparts scored crossings]*5</f>
        <v>#VALUE!</v>
      </c>
      <c r="BF162" s="16" t="e">
        <f aca="false">MatchData[drawbridge scored crossings]*5</f>
        <v>#VALUE!</v>
      </c>
      <c r="BG162" s="16" t="e">
        <f aca="false">MatchData[sally port scored crossings]*5</f>
        <v>#VALUE!</v>
      </c>
      <c r="BH162" s="16" t="e">
        <f aca="false">MatchData[rock wall scored crossings]*5</f>
        <v>#VALUE!</v>
      </c>
      <c r="BI162" s="16" t="e">
        <f aca="false">MatchData[rough terrain scored crossings]*5</f>
        <v>#VALUE!</v>
      </c>
      <c r="BJ162" s="16" t="e">
        <f aca="false">MatchData[low bar scored crossings]*5</f>
        <v>#VALUE!</v>
      </c>
      <c r="BK162" s="16" t="e">
        <f aca="false">SUM(MatchData[[#this row],[low bar teleop crossings]:[rough terrain scored crossings]])</f>
        <v>#VALUE!</v>
      </c>
      <c r="BL162" s="16" t="e">
        <f aca="false">IFERROR(IF(OR(MatchData[[#this row],[challenge flag]],MatchData[[#this row],[climb flag]]),1,0),0)</f>
        <v>#VALUE!</v>
      </c>
      <c r="BM162" s="16" t="e">
        <f aca="false">MatchData[auto high goals]*10+MatchData[teleop high goals]*5</f>
        <v>#VALUE!</v>
      </c>
      <c r="BN162" s="16" t="e">
        <f aca="false">MatchData[auto low goals]*5+MatchData[teleop low goals]*2</f>
        <v>#VALUE!</v>
      </c>
      <c r="BO162" s="16" t="e">
        <f aca="false">MatchData[high goal score]+MatchData[low goal score]</f>
        <v>#VALUE!</v>
      </c>
      <c r="BP162" s="16" t="e">
        <f aca="false">MatchData[teleop high goals]+MatchData[teleop low goals]</f>
        <v>#VALUE!</v>
      </c>
      <c r="BQ162" s="16" t="e">
        <f aca="false">MatchData[[#this row],[auto reach flag]]*2+SUM(MatchData[[#this row],[portcullis auto crossings]:[low bar auto crossings]])*10+MatchData[[#this row],[auto low goals]]*5+MatchData[auto high goals]*10</f>
        <v>#VALUE!</v>
      </c>
      <c r="BR162" s="16" t="e">
        <f aca="false">SUM(MatchData[[#this row],[cheval teleop crossing score]:[low bar teleop crossing score]])</f>
        <v>#VALUE!</v>
      </c>
      <c r="BS162" s="16" t="e">
        <f aca="false">SUMIF(MatchData[team],MatchData[[#this row],[team]],MatchData[total auto score])/MatchData[match count]</f>
        <v>#VALUE!</v>
      </c>
      <c r="BT162" s="16" t="e">
        <f aca="false">MatchData[challenge flag]*5</f>
        <v>#VALUE!</v>
      </c>
      <c r="BU162" s="16" t="e">
        <f aca="false">MatchData[climb flag]*15</f>
        <v>#VALUE!</v>
      </c>
      <c r="BV162" s="16" t="e">
        <f aca="false">SUM(MatchData[[#this row],[total goal score]],MatchData[[#this row],[crossing score]],MatchData[[#this row],[challenge score]],MatchData[[#this row],[climb score]],MatchData[[#this row],[total auto score]])</f>
        <v>#VALUE!</v>
      </c>
      <c r="BW162" s="16" t="e">
        <f aca="false">ROUND(SUMIF(MatchData[team],MatchData[[#this row],[team]],MatchData[teleop low goals])/COUNTIF(MatchData[team],MatchData[[#this row],[team]]),2)</f>
        <v>#VALUE!</v>
      </c>
      <c r="BX162" s="16" t="e">
        <f aca="false">ROUND(SUMIF(MatchData[team],MatchData[[#this row],[team]],MatchData[teleop high goals])/COUNTIF(MatchData[team],MatchData[[#this row],[team]]),2)</f>
        <v>#VALUE!</v>
      </c>
      <c r="BY162" s="16" t="e">
        <f aca="false">COUNTIF(MatchData[team],MatchData[[#this row],[team]])</f>
        <v>#VALUE!</v>
      </c>
      <c r="BZ162" s="16" t="e">
        <f aca="false">SUMIF(MatchData[team],MatchData[[#this row],[team]],MatchData[portcullis available])</f>
        <v>#VALUE!</v>
      </c>
      <c r="CA162" s="16" t="e">
        <f aca="false">SUMIF(MatchData[team],MatchData[[#this row],[team]],MatchData[cheval available])</f>
        <v>#VALUE!</v>
      </c>
      <c r="CB162" s="16" t="e">
        <f aca="false">SUMIF(MatchData[team],MatchData[[#this row],[team]],MatchData[moat available])</f>
        <v>#VALUE!</v>
      </c>
      <c r="CC162" s="16" t="e">
        <f aca="false">SUMIF(MatchData[team],MatchData[[#this row],[team]],MatchData[ramparts available])</f>
        <v>#VALUE!</v>
      </c>
      <c r="CD162" s="16" t="e">
        <f aca="false">SUMIF(MatchData[team],MatchData[[#this row],[team]],MatchData[drawbridge available])</f>
        <v>#VALUE!</v>
      </c>
      <c r="CE162" s="16" t="e">
        <f aca="false">SUMIF(MatchData[team],MatchData[[#this row],[team]],MatchData[sally port available])</f>
        <v>#VALUE!</v>
      </c>
      <c r="CF162" s="16" t="e">
        <f aca="false">SUMIF(MatchData[team],MatchData[[#this row],[team]],MatchData[rock wall available])</f>
        <v>#VALUE!</v>
      </c>
      <c r="CG162" s="16" t="e">
        <f aca="false">SUMIF(MatchData[team],MatchData[[#this row],[team]],MatchData[rough terrain available])</f>
        <v>#VALUE!</v>
      </c>
      <c r="CH162" s="16" t="e">
        <f aca="false">SUMIF(MatchData[team],MatchData[[#this row],[team]],MatchData[low bar available])</f>
        <v>#VALUE!</v>
      </c>
      <c r="CI162" s="16" t="e">
        <f aca="false">SUMIF(MatchData[team],MatchData[[#this row],[team]],MatchData[portcullis teleop crossings]:MatchData[portcullis scored crossings])</f>
        <v>#VALUE!</v>
      </c>
      <c r="CJ162" s="16" t="e">
        <f aca="false">SUMIF(MatchData[team],MatchData[[#this row],[team]],MatchData[cheval teleop crossings])+SUMIF(MatchData[team],MatchData[[#this row],[team]],MatchData[cheval scored crossings])</f>
        <v>#VALUE!</v>
      </c>
      <c r="CK162" s="16" t="e">
        <f aca="false">SUMIF(MatchData[team],MatchData[[#this row],[team]],MatchData[moat teleop crossings])+SUMIF(MatchData[team],MatchData[[#this row],[team]],MatchData[moat scored crosings])</f>
        <v>#VALUE!</v>
      </c>
      <c r="CL162" s="16" t="e">
        <f aca="false">SUMIF(MatchData[team],MatchData[[#this row],[team]],MatchData[ramparts teleop crossings])+SUMIF(MatchData[team],MatchData[[#this row],[team]],MatchData[ramparts scored crossings])</f>
        <v>#VALUE!</v>
      </c>
      <c r="CM162" s="16" t="e">
        <f aca="false">SUMIF(MatchData[team],MatchData[[#this row],[team]],MatchData[drawbridge teleop crossings])+SUMIF(MatchData[team],MatchData[[#this row],[team]],MatchData[drawbridge scored crossings])</f>
        <v>#VALUE!</v>
      </c>
      <c r="CN162" s="16" t="e">
        <f aca="false">SUMIF(MatchData[team],MatchData[[#this row],[team]],MatchData[sally port teleop crossings])+SUMIF(MatchData[team],MatchData[[#this row],[team]],MatchData[sally port scored crossings])</f>
        <v>#VALUE!</v>
      </c>
      <c r="CO162" s="16" t="e">
        <f aca="false">SUMIF(MatchData[team],MatchData[[#this row],[team]],MatchData[rock wall teleop crossings])+SUMIF(MatchData[team],MatchData[[#this row],[team]],MatchData[rock wall scored crossings])</f>
        <v>#VALUE!</v>
      </c>
      <c r="CP162" s="16" t="e">
        <f aca="false">SUMIF(MatchData[team],MatchData[[#this row],[team]],MatchData[rough terrain teleop crossings])+SUMIF(MatchData[team],MatchData[[#this row],[team]],MatchData[rough terrain scored crossings])</f>
        <v>#VALUE!</v>
      </c>
      <c r="CQ162" s="16" t="e">
        <f aca="false">SUMIF(MatchData[team],MatchData[[#this row],[team]],MatchData[low bar teleop crossings])+SUMIF(MatchData[team],MatchData[[#this row],[team]],MatchData[low bar scored crossings])</f>
        <v>#VALUE!</v>
      </c>
      <c r="CR162" s="16" t="e">
        <f aca="false">IFERROR(ROUND(MatchData[[#this row],[portcullis sum]]/MatchData[[#this row],[portcullis avail count]],2),0)</f>
        <v>#VALUE!</v>
      </c>
      <c r="CS162" s="16" t="e">
        <f aca="false">IFERROR(ROUND(MatchData[[#this row],[cheval sum]]/MatchData[[#this row],[cheval avail count]],2),0)</f>
        <v>#VALUE!</v>
      </c>
      <c r="CT162" s="16" t="e">
        <f aca="false">IFERROR(ROUND(MatchData[[#this row],[moat sum]]/MatchData[[#this row],[moat avail count]],2),0)</f>
        <v>#VALUE!</v>
      </c>
      <c r="CU162" s="16" t="e">
        <f aca="false">IFERROR(ROUND(MatchData[[#this row],[ramparts sum]]/MatchData[[#this row],[ramparts avail count]],2),0)</f>
        <v>#VALUE!</v>
      </c>
      <c r="CV162" s="16" t="e">
        <f aca="false">IFERROR(ROUND(MatchData[[#this row],[drawbridge sum]]/MatchData[[#this row],[drawbridge avail countigh6]],2),0)</f>
        <v>#VALUE!</v>
      </c>
      <c r="CW162" s="16" t="e">
        <f aca="false">IFERROR(ROUND(MatchData[[#this row],[sally port sum]]/MatchData[[#this row],[sally port avail count]],2),0)</f>
        <v>#VALUE!</v>
      </c>
      <c r="CX162" s="5" t="e">
        <f aca="false">IFERROR(ROUND(MatchData[[#this row],[rock wall sum]]/MatchData[[#this row],[rock wall avail count]],2),0)</f>
        <v>#VALUE!</v>
      </c>
      <c r="CY162" s="5" t="e">
        <f aca="false">IFERROR(ROUND(MatchData[[#this row],[rough terrain sum]]/MatchData[[#this row],[rough terrain avail count]],2),0)</f>
        <v>#VALUE!</v>
      </c>
      <c r="CZ162" s="5" t="e">
        <f aca="false">IFERROR(ROUND(MatchData[[#this row],[low bar sum]]/MatchData[[#this row],[low bar avail count]],2),0)</f>
        <v>#VALUE!</v>
      </c>
      <c r="DA162" s="16" t="e">
        <f aca="false">SUM(MatchData[[#this row],[cheval sum]:[low bar sum]])/MatchData[match count]</f>
        <v>#VALUE!</v>
      </c>
      <c r="DB162" s="16" t="n">
        <f aca="false">MAX(IF(C$2:C$74=C162,BP$2:BP$74))</f>
        <v>-1.79769313486232E+308</v>
      </c>
      <c r="DC162" s="16" t="e">
        <f aca="false">AVERAGEIF(MatchData[team],MatchData[[#this row],[team]],MatchData[total score])</f>
        <v>#VALUE!</v>
      </c>
      <c r="DD162" s="16" t="e">
        <f aca="false">ROUND(AVERAGEIF(MatchData[team],MatchData[team],MatchData[climb or challenge flag]),2)</f>
        <v>#VALUE!</v>
      </c>
    </row>
    <row r="163" customFormat="false" ht="14.5" hidden="false" customHeight="false" outlineLevel="0" collapsed="false">
      <c r="A163" s="13" t="s">
        <v>108</v>
      </c>
      <c r="B163" s="14" t="n">
        <v>27</v>
      </c>
      <c r="C163" s="15" t="n">
        <v>2521</v>
      </c>
      <c r="D163" s="5" t="s">
        <v>113</v>
      </c>
      <c r="E163" s="5" t="s">
        <v>123</v>
      </c>
      <c r="G163" s="16"/>
      <c r="I163" s="16"/>
      <c r="J163" s="5" t="n">
        <v>1</v>
      </c>
      <c r="K163" s="16"/>
      <c r="L163" s="5" t="n">
        <v>1</v>
      </c>
      <c r="N163" s="5" t="n">
        <v>1</v>
      </c>
      <c r="O163" s="5" t="n">
        <v>1</v>
      </c>
      <c r="P163" s="0"/>
      <c r="Q163" s="5" t="n">
        <v>1</v>
      </c>
      <c r="R163" s="0"/>
      <c r="S163" s="16" t="n">
        <v>1</v>
      </c>
      <c r="T163" s="0"/>
      <c r="U163" s="16"/>
      <c r="V163" s="16"/>
      <c r="W163" s="0"/>
      <c r="Z163" s="5" t="n">
        <v>1</v>
      </c>
      <c r="AD163" s="16"/>
      <c r="AE163" s="5"/>
      <c r="AF163" s="16"/>
      <c r="AG163" s="16"/>
      <c r="AH163" s="16"/>
      <c r="AJ163" s="16"/>
      <c r="AL163" s="16"/>
      <c r="AN163" s="16"/>
      <c r="AP163" s="16"/>
      <c r="AR163" s="16" t="n">
        <v>1</v>
      </c>
      <c r="AT163" s="16"/>
      <c r="AU163" s="16"/>
      <c r="AV163" s="16"/>
      <c r="AW163" s="16"/>
      <c r="AX163" s="16"/>
      <c r="AY163" s="16"/>
      <c r="AZ163" s="16" t="n">
        <v>1</v>
      </c>
      <c r="BB163" s="16"/>
      <c r="BC163" s="16" t="e">
        <f aca="false">MatchData[cheval scored crossings]*5</f>
        <v>#VALUE!</v>
      </c>
      <c r="BD163" s="16" t="e">
        <f aca="false">MatchData[moat scored crosings]*5</f>
        <v>#VALUE!</v>
      </c>
      <c r="BE163" s="16" t="e">
        <f aca="false">MatchData[ramparts scored crossings]*5</f>
        <v>#VALUE!</v>
      </c>
      <c r="BF163" s="16" t="e">
        <f aca="false">MatchData[drawbridge scored crossings]*5</f>
        <v>#VALUE!</v>
      </c>
      <c r="BG163" s="16" t="e">
        <f aca="false">MatchData[sally port scored crossings]*5</f>
        <v>#VALUE!</v>
      </c>
      <c r="BH163" s="16" t="e">
        <f aca="false">MatchData[rock wall scored crossings]*5</f>
        <v>#VALUE!</v>
      </c>
      <c r="BI163" s="16" t="e">
        <f aca="false">MatchData[rough terrain scored crossings]*5</f>
        <v>#VALUE!</v>
      </c>
      <c r="BJ163" s="16" t="e">
        <f aca="false">MatchData[low bar scored crossings]*5</f>
        <v>#VALUE!</v>
      </c>
      <c r="BK163" s="16" t="e">
        <f aca="false">SUM(MatchData[[#this row],[low bar teleop crossings]:[rough terrain scored crossings]])</f>
        <v>#VALUE!</v>
      </c>
      <c r="BL163" s="16" t="e">
        <f aca="false">IFERROR(IF(OR(MatchData[[#this row],[challenge flag]],MatchData[[#this row],[climb flag]]),1,0),0)</f>
        <v>#VALUE!</v>
      </c>
      <c r="BM163" s="16" t="e">
        <f aca="false">MatchData[auto high goals]*10+MatchData[teleop high goals]*5</f>
        <v>#VALUE!</v>
      </c>
      <c r="BN163" s="16" t="e">
        <f aca="false">MatchData[auto low goals]*5+MatchData[teleop low goals]*2</f>
        <v>#VALUE!</v>
      </c>
      <c r="BO163" s="16" t="e">
        <f aca="false">MatchData[high goal score]+MatchData[low goal score]</f>
        <v>#VALUE!</v>
      </c>
      <c r="BP163" s="16" t="e">
        <f aca="false">MatchData[teleop high goals]+MatchData[teleop low goals]</f>
        <v>#VALUE!</v>
      </c>
      <c r="BQ163" s="16" t="e">
        <f aca="false">MatchData[[#this row],[auto reach flag]]*2+SUM(MatchData[[#this row],[portcullis auto crossings]:[low bar auto crossings]])*10+MatchData[[#this row],[auto low goals]]*5+MatchData[auto high goals]*10</f>
        <v>#VALUE!</v>
      </c>
      <c r="BR163" s="16" t="e">
        <f aca="false">SUM(MatchData[[#this row],[cheval teleop crossing score]:[low bar teleop crossing score]])</f>
        <v>#VALUE!</v>
      </c>
      <c r="BS163" s="16" t="e">
        <f aca="false">SUMIF(MatchData[team],MatchData[[#this row],[team]],MatchData[total auto score])/MatchData[match count]</f>
        <v>#VALUE!</v>
      </c>
      <c r="BT163" s="16" t="e">
        <f aca="false">MatchData[challenge flag]*5</f>
        <v>#VALUE!</v>
      </c>
      <c r="BU163" s="16" t="e">
        <f aca="false">MatchData[climb flag]*15</f>
        <v>#VALUE!</v>
      </c>
      <c r="BV163" s="16" t="e">
        <f aca="false">SUM(MatchData[[#this row],[total goal score]],MatchData[[#this row],[crossing score]],MatchData[[#this row],[challenge score]],MatchData[[#this row],[climb score]],MatchData[[#this row],[total auto score]])</f>
        <v>#VALUE!</v>
      </c>
      <c r="BW163" s="16" t="e">
        <f aca="false">ROUND(SUMIF(MatchData[team],MatchData[[#this row],[team]],MatchData[teleop low goals])/COUNTIF(MatchData[team],MatchData[[#this row],[team]]),2)</f>
        <v>#VALUE!</v>
      </c>
      <c r="BX163" s="16" t="e">
        <f aca="false">ROUND(SUMIF(MatchData[team],MatchData[[#this row],[team]],MatchData[teleop high goals])/COUNTIF(MatchData[team],MatchData[[#this row],[team]]),2)</f>
        <v>#VALUE!</v>
      </c>
      <c r="BY163" s="16" t="e">
        <f aca="false">COUNTIF(MatchData[team],MatchData[[#this row],[team]])</f>
        <v>#VALUE!</v>
      </c>
      <c r="BZ163" s="16" t="e">
        <f aca="false">SUMIF(MatchData[team],MatchData[[#this row],[team]],MatchData[portcullis available])</f>
        <v>#VALUE!</v>
      </c>
      <c r="CA163" s="16" t="e">
        <f aca="false">SUMIF(MatchData[team],MatchData[[#this row],[team]],MatchData[cheval available])</f>
        <v>#VALUE!</v>
      </c>
      <c r="CB163" s="16" t="e">
        <f aca="false">SUMIF(MatchData[team],MatchData[[#this row],[team]],MatchData[moat available])</f>
        <v>#VALUE!</v>
      </c>
      <c r="CC163" s="16" t="e">
        <f aca="false">SUMIF(MatchData[team],MatchData[[#this row],[team]],MatchData[ramparts available])</f>
        <v>#VALUE!</v>
      </c>
      <c r="CD163" s="16" t="e">
        <f aca="false">SUMIF(MatchData[team],MatchData[[#this row],[team]],MatchData[drawbridge available])</f>
        <v>#VALUE!</v>
      </c>
      <c r="CE163" s="16" t="e">
        <f aca="false">SUMIF(MatchData[team],MatchData[[#this row],[team]],MatchData[sally port available])</f>
        <v>#VALUE!</v>
      </c>
      <c r="CF163" s="16" t="e">
        <f aca="false">SUMIF(MatchData[team],MatchData[[#this row],[team]],MatchData[rock wall available])</f>
        <v>#VALUE!</v>
      </c>
      <c r="CG163" s="16" t="e">
        <f aca="false">SUMIF(MatchData[team],MatchData[[#this row],[team]],MatchData[rough terrain available])</f>
        <v>#VALUE!</v>
      </c>
      <c r="CH163" s="16" t="e">
        <f aca="false">SUMIF(MatchData[team],MatchData[[#this row],[team]],MatchData[low bar available])</f>
        <v>#VALUE!</v>
      </c>
      <c r="CI163" s="16" t="e">
        <f aca="false">SUMIF(MatchData[team],MatchData[[#this row],[team]],MatchData[portcullis teleop crossings]:MatchData[portcullis scored crossings])</f>
        <v>#VALUE!</v>
      </c>
      <c r="CJ163" s="16" t="e">
        <f aca="false">SUMIF(MatchData[team],MatchData[[#this row],[team]],MatchData[cheval teleop crossings])+SUMIF(MatchData[team],MatchData[[#this row],[team]],MatchData[cheval scored crossings])</f>
        <v>#VALUE!</v>
      </c>
      <c r="CK163" s="16" t="e">
        <f aca="false">SUMIF(MatchData[team],MatchData[[#this row],[team]],MatchData[moat teleop crossings])+SUMIF(MatchData[team],MatchData[[#this row],[team]],MatchData[moat scored crosings])</f>
        <v>#VALUE!</v>
      </c>
      <c r="CL163" s="16" t="e">
        <f aca="false">SUMIF(MatchData[team],MatchData[[#this row],[team]],MatchData[ramparts teleop crossings])+SUMIF(MatchData[team],MatchData[[#this row],[team]],MatchData[ramparts scored crossings])</f>
        <v>#VALUE!</v>
      </c>
      <c r="CM163" s="16" t="e">
        <f aca="false">SUMIF(MatchData[team],MatchData[[#this row],[team]],MatchData[drawbridge teleop crossings])+SUMIF(MatchData[team],MatchData[[#this row],[team]],MatchData[drawbridge scored crossings])</f>
        <v>#VALUE!</v>
      </c>
      <c r="CN163" s="16" t="e">
        <f aca="false">SUMIF(MatchData[team],MatchData[[#this row],[team]],MatchData[sally port teleop crossings])+SUMIF(MatchData[team],MatchData[[#this row],[team]],MatchData[sally port scored crossings])</f>
        <v>#VALUE!</v>
      </c>
      <c r="CO163" s="16" t="e">
        <f aca="false">SUMIF(MatchData[team],MatchData[[#this row],[team]],MatchData[rock wall teleop crossings])+SUMIF(MatchData[team],MatchData[[#this row],[team]],MatchData[rock wall scored crossings])</f>
        <v>#VALUE!</v>
      </c>
      <c r="CP163" s="16" t="e">
        <f aca="false">SUMIF(MatchData[team],MatchData[[#this row],[team]],MatchData[rough terrain teleop crossings])+SUMIF(MatchData[team],MatchData[[#this row],[team]],MatchData[rough terrain scored crossings])</f>
        <v>#VALUE!</v>
      </c>
      <c r="CQ163" s="16" t="e">
        <f aca="false">SUMIF(MatchData[team],MatchData[[#this row],[team]],MatchData[low bar teleop crossings])+SUMIF(MatchData[team],MatchData[[#this row],[team]],MatchData[low bar scored crossings])</f>
        <v>#VALUE!</v>
      </c>
      <c r="CR163" s="16" t="e">
        <f aca="false">IFERROR(ROUND(MatchData[[#this row],[portcullis sum]]/MatchData[[#this row],[portcullis avail count]],2),0)</f>
        <v>#VALUE!</v>
      </c>
      <c r="CS163" s="16" t="e">
        <f aca="false">IFERROR(ROUND(MatchData[[#this row],[cheval sum]]/MatchData[[#this row],[cheval avail count]],2),0)</f>
        <v>#VALUE!</v>
      </c>
      <c r="CT163" s="16" t="e">
        <f aca="false">IFERROR(ROUND(MatchData[[#this row],[moat sum]]/MatchData[[#this row],[moat avail count]],2),0)</f>
        <v>#VALUE!</v>
      </c>
      <c r="CU163" s="16" t="e">
        <f aca="false">IFERROR(ROUND(MatchData[[#this row],[ramparts sum]]/MatchData[[#this row],[ramparts avail count]],2),0)</f>
        <v>#VALUE!</v>
      </c>
      <c r="CV163" s="16" t="e">
        <f aca="false">IFERROR(ROUND(MatchData[[#this row],[drawbridge sum]]/MatchData[[#this row],[drawbridge avail countigh6]],2),0)</f>
        <v>#VALUE!</v>
      </c>
      <c r="CW163" s="16" t="e">
        <f aca="false">IFERROR(ROUND(MatchData[[#this row],[sally port sum]]/MatchData[[#this row],[sally port avail count]],2),0)</f>
        <v>#VALUE!</v>
      </c>
      <c r="CX163" s="5" t="e">
        <f aca="false">IFERROR(ROUND(MatchData[[#this row],[rock wall sum]]/MatchData[[#this row],[rock wall avail count]],2),0)</f>
        <v>#VALUE!</v>
      </c>
      <c r="CY163" s="5" t="e">
        <f aca="false">IFERROR(ROUND(MatchData[[#this row],[rough terrain sum]]/MatchData[[#this row],[rough terrain avail count]],2),0)</f>
        <v>#VALUE!</v>
      </c>
      <c r="CZ163" s="5" t="e">
        <f aca="false">IFERROR(ROUND(MatchData[[#this row],[low bar sum]]/MatchData[[#this row],[low bar avail count]],2),0)</f>
        <v>#VALUE!</v>
      </c>
      <c r="DA163" s="16" t="e">
        <f aca="false">SUM(MatchData[[#this row],[cheval sum]:[low bar sum]])/MatchData[match count]</f>
        <v>#VALUE!</v>
      </c>
      <c r="DB163" s="16" t="n">
        <f aca="false">MAX(IF(C$2:C$74=C163,BP$2:BP$74))</f>
        <v>-1.79769313486232E+308</v>
      </c>
      <c r="DC163" s="16" t="e">
        <f aca="false">AVERAGEIF(MatchData[team],MatchData[[#this row],[team]],MatchData[total score])</f>
        <v>#VALUE!</v>
      </c>
      <c r="DD163" s="16" t="e">
        <f aca="false">ROUND(AVERAGEIF(MatchData[team],MatchData[team],MatchData[climb or challenge flag]),2)</f>
        <v>#VALUE!</v>
      </c>
    </row>
    <row r="164" customFormat="false" ht="14.5" hidden="false" customHeight="false" outlineLevel="0" collapsed="false">
      <c r="A164" s="13" t="s">
        <v>108</v>
      </c>
      <c r="B164" s="14" t="n">
        <v>28</v>
      </c>
      <c r="C164" s="15" t="n">
        <v>2915</v>
      </c>
      <c r="D164" s="5" t="s">
        <v>109</v>
      </c>
      <c r="E164" s="5" t="s">
        <v>153</v>
      </c>
      <c r="G164" s="16"/>
      <c r="I164" s="16"/>
      <c r="J164" s="0"/>
      <c r="K164" s="16"/>
      <c r="N164" s="0"/>
      <c r="O164" s="0"/>
      <c r="P164" s="0"/>
      <c r="Q164" s="0"/>
      <c r="R164" s="0"/>
      <c r="S164" s="16"/>
      <c r="T164" s="0"/>
      <c r="U164" s="16"/>
      <c r="V164" s="16"/>
      <c r="W164" s="0"/>
      <c r="AD164" s="16"/>
      <c r="AE164" s="5"/>
      <c r="AF164" s="16"/>
      <c r="AG164" s="16"/>
      <c r="AH164" s="16"/>
      <c r="AJ164" s="16"/>
      <c r="AL164" s="16"/>
      <c r="AN164" s="16"/>
      <c r="AP164" s="16"/>
      <c r="AR164" s="16"/>
      <c r="AT164" s="16"/>
      <c r="AU164" s="16"/>
      <c r="AV164" s="16"/>
      <c r="AW164" s="16"/>
      <c r="AX164" s="16"/>
      <c r="AY164" s="16"/>
      <c r="AZ164" s="16"/>
      <c r="BB164" s="16"/>
      <c r="BC164" s="16" t="e">
        <f aca="false">MatchData[cheval scored crossings]*5</f>
        <v>#VALUE!</v>
      </c>
      <c r="BD164" s="16" t="e">
        <f aca="false">MatchData[moat scored crosings]*5</f>
        <v>#VALUE!</v>
      </c>
      <c r="BE164" s="16" t="e">
        <f aca="false">MatchData[ramparts scored crossings]*5</f>
        <v>#VALUE!</v>
      </c>
      <c r="BF164" s="16" t="e">
        <f aca="false">MatchData[drawbridge scored crossings]*5</f>
        <v>#VALUE!</v>
      </c>
      <c r="BG164" s="16" t="e">
        <f aca="false">MatchData[sally port scored crossings]*5</f>
        <v>#VALUE!</v>
      </c>
      <c r="BH164" s="16" t="e">
        <f aca="false">MatchData[rock wall scored crossings]*5</f>
        <v>#VALUE!</v>
      </c>
      <c r="BI164" s="16" t="e">
        <f aca="false">MatchData[rough terrain scored crossings]*5</f>
        <v>#VALUE!</v>
      </c>
      <c r="BJ164" s="16" t="e">
        <f aca="false">MatchData[low bar scored crossings]*5</f>
        <v>#VALUE!</v>
      </c>
      <c r="BK164" s="16" t="e">
        <f aca="false">SUM(MatchData[[#this row],[low bar teleop crossings]:[rough terrain scored crossings]])</f>
        <v>#VALUE!</v>
      </c>
      <c r="BL164" s="16" t="e">
        <f aca="false">IFERROR(IF(OR(MatchData[[#this row],[challenge flag]],MatchData[[#this row],[climb flag]]),1,0),0)</f>
        <v>#VALUE!</v>
      </c>
      <c r="BM164" s="16" t="e">
        <f aca="false">MatchData[auto high goals]*10+MatchData[teleop high goals]*5</f>
        <v>#VALUE!</v>
      </c>
      <c r="BN164" s="16" t="e">
        <f aca="false">MatchData[auto low goals]*5+MatchData[teleop low goals]*2</f>
        <v>#VALUE!</v>
      </c>
      <c r="BO164" s="16" t="e">
        <f aca="false">MatchData[high goal score]+MatchData[low goal score]</f>
        <v>#VALUE!</v>
      </c>
      <c r="BP164" s="16" t="e">
        <f aca="false">MatchData[teleop high goals]+MatchData[teleop low goals]</f>
        <v>#VALUE!</v>
      </c>
      <c r="BQ164" s="16" t="e">
        <f aca="false">MatchData[[#this row],[auto reach flag]]*2+SUM(MatchData[[#this row],[portcullis auto crossings]:[low bar auto crossings]])*10+MatchData[[#this row],[auto low goals]]*5+MatchData[auto high goals]*10</f>
        <v>#VALUE!</v>
      </c>
      <c r="BR164" s="16" t="e">
        <f aca="false">SUM(MatchData[[#this row],[cheval teleop crossing score]:[low bar teleop crossing score]])</f>
        <v>#VALUE!</v>
      </c>
      <c r="BS164" s="16" t="e">
        <f aca="false">SUMIF(MatchData[team],MatchData[[#this row],[team]],MatchData[total auto score])/MatchData[match count]</f>
        <v>#VALUE!</v>
      </c>
      <c r="BT164" s="16" t="e">
        <f aca="false">MatchData[challenge flag]*5</f>
        <v>#VALUE!</v>
      </c>
      <c r="BU164" s="16" t="e">
        <f aca="false">MatchData[climb flag]*15</f>
        <v>#VALUE!</v>
      </c>
      <c r="BV164" s="16" t="e">
        <f aca="false">SUM(MatchData[[#this row],[total goal score]],MatchData[[#this row],[crossing score]],MatchData[[#this row],[challenge score]],MatchData[[#this row],[climb score]],MatchData[[#this row],[total auto score]])</f>
        <v>#VALUE!</v>
      </c>
      <c r="BW164" s="16" t="e">
        <f aca="false">ROUND(SUMIF(MatchData[team],MatchData[[#this row],[team]],MatchData[teleop low goals])/COUNTIF(MatchData[team],MatchData[[#this row],[team]]),2)</f>
        <v>#VALUE!</v>
      </c>
      <c r="BX164" s="16" t="e">
        <f aca="false">ROUND(SUMIF(MatchData[team],MatchData[[#this row],[team]],MatchData[teleop high goals])/COUNTIF(MatchData[team],MatchData[[#this row],[team]]),2)</f>
        <v>#VALUE!</v>
      </c>
      <c r="BY164" s="16" t="e">
        <f aca="false">COUNTIF(MatchData[team],MatchData[[#this row],[team]])</f>
        <v>#VALUE!</v>
      </c>
      <c r="BZ164" s="16" t="e">
        <f aca="false">SUMIF(MatchData[team],MatchData[[#this row],[team]],MatchData[portcullis available])</f>
        <v>#VALUE!</v>
      </c>
      <c r="CA164" s="16" t="e">
        <f aca="false">SUMIF(MatchData[team],MatchData[[#this row],[team]],MatchData[cheval available])</f>
        <v>#VALUE!</v>
      </c>
      <c r="CB164" s="16" t="e">
        <f aca="false">SUMIF(MatchData[team],MatchData[[#this row],[team]],MatchData[moat available])</f>
        <v>#VALUE!</v>
      </c>
      <c r="CC164" s="16" t="e">
        <f aca="false">SUMIF(MatchData[team],MatchData[[#this row],[team]],MatchData[ramparts available])</f>
        <v>#VALUE!</v>
      </c>
      <c r="CD164" s="16" t="e">
        <f aca="false">SUMIF(MatchData[team],MatchData[[#this row],[team]],MatchData[drawbridge available])</f>
        <v>#VALUE!</v>
      </c>
      <c r="CE164" s="16" t="e">
        <f aca="false">SUMIF(MatchData[team],MatchData[[#this row],[team]],MatchData[sally port available])</f>
        <v>#VALUE!</v>
      </c>
      <c r="CF164" s="16" t="e">
        <f aca="false">SUMIF(MatchData[team],MatchData[[#this row],[team]],MatchData[rock wall available])</f>
        <v>#VALUE!</v>
      </c>
      <c r="CG164" s="16" t="e">
        <f aca="false">SUMIF(MatchData[team],MatchData[[#this row],[team]],MatchData[rough terrain available])</f>
        <v>#VALUE!</v>
      </c>
      <c r="CH164" s="16" t="e">
        <f aca="false">SUMIF(MatchData[team],MatchData[[#this row],[team]],MatchData[low bar available])</f>
        <v>#VALUE!</v>
      </c>
      <c r="CI164" s="16" t="e">
        <f aca="false">SUMIF(MatchData[team],MatchData[[#this row],[team]],MatchData[portcullis teleop crossings]:MatchData[portcullis scored crossings])</f>
        <v>#VALUE!</v>
      </c>
      <c r="CJ164" s="16" t="e">
        <f aca="false">SUMIF(MatchData[team],MatchData[[#this row],[team]],MatchData[cheval teleop crossings])+SUMIF(MatchData[team],MatchData[[#this row],[team]],MatchData[cheval scored crossings])</f>
        <v>#VALUE!</v>
      </c>
      <c r="CK164" s="16" t="e">
        <f aca="false">SUMIF(MatchData[team],MatchData[[#this row],[team]],MatchData[moat teleop crossings])+SUMIF(MatchData[team],MatchData[[#this row],[team]],MatchData[moat scored crosings])</f>
        <v>#VALUE!</v>
      </c>
      <c r="CL164" s="16" t="e">
        <f aca="false">SUMIF(MatchData[team],MatchData[[#this row],[team]],MatchData[ramparts teleop crossings])+SUMIF(MatchData[team],MatchData[[#this row],[team]],MatchData[ramparts scored crossings])</f>
        <v>#VALUE!</v>
      </c>
      <c r="CM164" s="16" t="e">
        <f aca="false">SUMIF(MatchData[team],MatchData[[#this row],[team]],MatchData[drawbridge teleop crossings])+SUMIF(MatchData[team],MatchData[[#this row],[team]],MatchData[drawbridge scored crossings])</f>
        <v>#VALUE!</v>
      </c>
      <c r="CN164" s="16" t="e">
        <f aca="false">SUMIF(MatchData[team],MatchData[[#this row],[team]],MatchData[sally port teleop crossings])+SUMIF(MatchData[team],MatchData[[#this row],[team]],MatchData[sally port scored crossings])</f>
        <v>#VALUE!</v>
      </c>
      <c r="CO164" s="16" t="e">
        <f aca="false">SUMIF(MatchData[team],MatchData[[#this row],[team]],MatchData[rock wall teleop crossings])+SUMIF(MatchData[team],MatchData[[#this row],[team]],MatchData[rock wall scored crossings])</f>
        <v>#VALUE!</v>
      </c>
      <c r="CP164" s="16" t="e">
        <f aca="false">SUMIF(MatchData[team],MatchData[[#this row],[team]],MatchData[rough terrain teleop crossings])+SUMIF(MatchData[team],MatchData[[#this row],[team]],MatchData[rough terrain scored crossings])</f>
        <v>#VALUE!</v>
      </c>
      <c r="CQ164" s="16" t="e">
        <f aca="false">SUMIF(MatchData[team],MatchData[[#this row],[team]],MatchData[low bar teleop crossings])+SUMIF(MatchData[team],MatchData[[#this row],[team]],MatchData[low bar scored crossings])</f>
        <v>#VALUE!</v>
      </c>
      <c r="CR164" s="16" t="e">
        <f aca="false">IFERROR(ROUND(MatchData[[#this row],[portcullis sum]]/MatchData[[#this row],[portcullis avail count]],2),0)</f>
        <v>#VALUE!</v>
      </c>
      <c r="CS164" s="16" t="e">
        <f aca="false">IFERROR(ROUND(MatchData[[#this row],[cheval sum]]/MatchData[[#this row],[cheval avail count]],2),0)</f>
        <v>#VALUE!</v>
      </c>
      <c r="CT164" s="16" t="e">
        <f aca="false">IFERROR(ROUND(MatchData[[#this row],[moat sum]]/MatchData[[#this row],[moat avail count]],2),0)</f>
        <v>#VALUE!</v>
      </c>
      <c r="CU164" s="16" t="e">
        <f aca="false">IFERROR(ROUND(MatchData[[#this row],[ramparts sum]]/MatchData[[#this row],[ramparts avail count]],2),0)</f>
        <v>#VALUE!</v>
      </c>
      <c r="CV164" s="16" t="e">
        <f aca="false">IFERROR(ROUND(MatchData[[#this row],[drawbridge sum]]/MatchData[[#this row],[drawbridge avail countigh6]],2),0)</f>
        <v>#VALUE!</v>
      </c>
      <c r="CW164" s="16" t="e">
        <f aca="false">IFERROR(ROUND(MatchData[[#this row],[sally port sum]]/MatchData[[#this row],[sally port avail count]],2),0)</f>
        <v>#VALUE!</v>
      </c>
      <c r="CX164" s="5" t="e">
        <f aca="false">IFERROR(ROUND(MatchData[[#this row],[rock wall sum]]/MatchData[[#this row],[rock wall avail count]],2),0)</f>
        <v>#VALUE!</v>
      </c>
      <c r="CY164" s="5" t="e">
        <f aca="false">IFERROR(ROUND(MatchData[[#this row],[rough terrain sum]]/MatchData[[#this row],[rough terrain avail count]],2),0)</f>
        <v>#VALUE!</v>
      </c>
      <c r="CZ164" s="5" t="e">
        <f aca="false">IFERROR(ROUND(MatchData[[#this row],[low bar sum]]/MatchData[[#this row],[low bar avail count]],2),0)</f>
        <v>#VALUE!</v>
      </c>
      <c r="DA164" s="16" t="e">
        <f aca="false">SUM(MatchData[[#this row],[cheval sum]:[low bar sum]])/MatchData[match count]</f>
        <v>#VALUE!</v>
      </c>
      <c r="DB164" s="16" t="n">
        <f aca="false">MAX(IF(C$2:C$74=C164,BP$2:BP$74))</f>
        <v>-1.79769313486232E+308</v>
      </c>
      <c r="DC164" s="16" t="e">
        <f aca="false">AVERAGEIF(MatchData[team],MatchData[[#this row],[team]],MatchData[total score])</f>
        <v>#VALUE!</v>
      </c>
      <c r="DD164" s="16" t="e">
        <f aca="false">ROUND(AVERAGEIF(MatchData[team],MatchData[team],MatchData[climb or challenge flag]),2)</f>
        <v>#VALUE!</v>
      </c>
    </row>
    <row r="165" customFormat="false" ht="14.5" hidden="false" customHeight="false" outlineLevel="0" collapsed="false">
      <c r="A165" s="13" t="s">
        <v>108</v>
      </c>
      <c r="B165" s="14" t="n">
        <v>28</v>
      </c>
      <c r="C165" s="15" t="n">
        <v>2990</v>
      </c>
      <c r="D165" s="5" t="s">
        <v>109</v>
      </c>
      <c r="E165" s="5" t="s">
        <v>127</v>
      </c>
      <c r="G165" s="16"/>
      <c r="I165" s="16" t="n">
        <v>1</v>
      </c>
      <c r="J165" s="5" t="n">
        <v>1</v>
      </c>
      <c r="K165" s="16"/>
      <c r="L165" s="5" t="n">
        <v>1</v>
      </c>
      <c r="N165" s="5" t="n">
        <v>1</v>
      </c>
      <c r="O165" s="0"/>
      <c r="P165" s="5" t="n">
        <v>1</v>
      </c>
      <c r="Q165" s="5" t="n">
        <v>1</v>
      </c>
      <c r="R165" s="0"/>
      <c r="S165" s="16"/>
      <c r="T165" s="0"/>
      <c r="U165" s="16"/>
      <c r="V165" s="16"/>
      <c r="W165" s="0"/>
      <c r="AB165" s="5" t="n">
        <v>1</v>
      </c>
      <c r="AD165" s="16" t="n">
        <v>1</v>
      </c>
      <c r="AE165" s="5"/>
      <c r="AF165" s="16"/>
      <c r="AG165" s="16"/>
      <c r="AH165" s="16" t="n">
        <v>2</v>
      </c>
      <c r="AJ165" s="16"/>
      <c r="AL165" s="16" t="n">
        <v>2</v>
      </c>
      <c r="AN165" s="16"/>
      <c r="AP165" s="16"/>
      <c r="AR165" s="16" t="n">
        <v>2</v>
      </c>
      <c r="AT165" s="16"/>
      <c r="AU165" s="16"/>
      <c r="AV165" s="16"/>
      <c r="AW165" s="16" t="n">
        <v>1</v>
      </c>
      <c r="AX165" s="16"/>
      <c r="AY165" s="16"/>
      <c r="AZ165" s="16"/>
      <c r="BB165" s="16" t="n">
        <v>1</v>
      </c>
      <c r="BC165" s="16" t="e">
        <f aca="false">MatchData[cheval scored crossings]*5</f>
        <v>#VALUE!</v>
      </c>
      <c r="BD165" s="16" t="e">
        <f aca="false">MatchData[moat scored crosings]*5</f>
        <v>#VALUE!</v>
      </c>
      <c r="BE165" s="16" t="e">
        <f aca="false">MatchData[ramparts scored crossings]*5</f>
        <v>#VALUE!</v>
      </c>
      <c r="BF165" s="16" t="e">
        <f aca="false">MatchData[drawbridge scored crossings]*5</f>
        <v>#VALUE!</v>
      </c>
      <c r="BG165" s="16" t="e">
        <f aca="false">MatchData[sally port scored crossings]*5</f>
        <v>#VALUE!</v>
      </c>
      <c r="BH165" s="16" t="e">
        <f aca="false">MatchData[rock wall scored crossings]*5</f>
        <v>#VALUE!</v>
      </c>
      <c r="BI165" s="16" t="e">
        <f aca="false">MatchData[rough terrain scored crossings]*5</f>
        <v>#VALUE!</v>
      </c>
      <c r="BJ165" s="16" t="e">
        <f aca="false">MatchData[low bar scored crossings]*5</f>
        <v>#VALUE!</v>
      </c>
      <c r="BK165" s="16" t="e">
        <f aca="false">SUM(MatchData[[#this row],[low bar teleop crossings]:[rough terrain scored crossings]])</f>
        <v>#VALUE!</v>
      </c>
      <c r="BL165" s="16" t="e">
        <f aca="false">IFERROR(IF(OR(MatchData[[#this row],[challenge flag]],MatchData[[#this row],[climb flag]]),1,0),0)</f>
        <v>#VALUE!</v>
      </c>
      <c r="BM165" s="16" t="e">
        <f aca="false">MatchData[auto high goals]*10+MatchData[teleop high goals]*5</f>
        <v>#VALUE!</v>
      </c>
      <c r="BN165" s="16" t="e">
        <f aca="false">MatchData[auto low goals]*5+MatchData[teleop low goals]*2</f>
        <v>#VALUE!</v>
      </c>
      <c r="BO165" s="16" t="e">
        <f aca="false">MatchData[high goal score]+MatchData[low goal score]</f>
        <v>#VALUE!</v>
      </c>
      <c r="BP165" s="16" t="e">
        <f aca="false">MatchData[teleop high goals]+MatchData[teleop low goals]</f>
        <v>#VALUE!</v>
      </c>
      <c r="BQ165" s="16" t="e">
        <f aca="false">MatchData[[#this row],[auto reach flag]]*2+SUM(MatchData[[#this row],[portcullis auto crossings]:[low bar auto crossings]])*10+MatchData[[#this row],[auto low goals]]*5+MatchData[auto high goals]*10</f>
        <v>#VALUE!</v>
      </c>
      <c r="BR165" s="16" t="e">
        <f aca="false">SUM(MatchData[[#this row],[cheval teleop crossing score]:[low bar teleop crossing score]])</f>
        <v>#VALUE!</v>
      </c>
      <c r="BS165" s="16" t="e">
        <f aca="false">SUMIF(MatchData[team],MatchData[[#this row],[team]],MatchData[total auto score])/MatchData[match count]</f>
        <v>#VALUE!</v>
      </c>
      <c r="BT165" s="16" t="e">
        <f aca="false">MatchData[challenge flag]*5</f>
        <v>#VALUE!</v>
      </c>
      <c r="BU165" s="16" t="e">
        <f aca="false">MatchData[climb flag]*15</f>
        <v>#VALUE!</v>
      </c>
      <c r="BV165" s="16" t="e">
        <f aca="false">SUM(MatchData[[#this row],[total goal score]],MatchData[[#this row],[crossing score]],MatchData[[#this row],[challenge score]],MatchData[[#this row],[climb score]],MatchData[[#this row],[total auto score]])</f>
        <v>#VALUE!</v>
      </c>
      <c r="BW165" s="16" t="e">
        <f aca="false">ROUND(SUMIF(MatchData[team],MatchData[[#this row],[team]],MatchData[teleop low goals])/COUNTIF(MatchData[team],MatchData[[#this row],[team]]),2)</f>
        <v>#VALUE!</v>
      </c>
      <c r="BX165" s="16" t="e">
        <f aca="false">ROUND(SUMIF(MatchData[team],MatchData[[#this row],[team]],MatchData[teleop high goals])/COUNTIF(MatchData[team],MatchData[[#this row],[team]]),2)</f>
        <v>#VALUE!</v>
      </c>
      <c r="BY165" s="16" t="e">
        <f aca="false">COUNTIF(MatchData[team],MatchData[[#this row],[team]])</f>
        <v>#VALUE!</v>
      </c>
      <c r="BZ165" s="16" t="e">
        <f aca="false">SUMIF(MatchData[team],MatchData[[#this row],[team]],MatchData[portcullis available])</f>
        <v>#VALUE!</v>
      </c>
      <c r="CA165" s="16" t="e">
        <f aca="false">SUMIF(MatchData[team],MatchData[[#this row],[team]],MatchData[cheval available])</f>
        <v>#VALUE!</v>
      </c>
      <c r="CB165" s="16" t="e">
        <f aca="false">SUMIF(MatchData[team],MatchData[[#this row],[team]],MatchData[moat available])</f>
        <v>#VALUE!</v>
      </c>
      <c r="CC165" s="16" t="e">
        <f aca="false">SUMIF(MatchData[team],MatchData[[#this row],[team]],MatchData[ramparts available])</f>
        <v>#VALUE!</v>
      </c>
      <c r="CD165" s="16" t="e">
        <f aca="false">SUMIF(MatchData[team],MatchData[[#this row],[team]],MatchData[drawbridge available])</f>
        <v>#VALUE!</v>
      </c>
      <c r="CE165" s="16" t="e">
        <f aca="false">SUMIF(MatchData[team],MatchData[[#this row],[team]],MatchData[sally port available])</f>
        <v>#VALUE!</v>
      </c>
      <c r="CF165" s="16" t="e">
        <f aca="false">SUMIF(MatchData[team],MatchData[[#this row],[team]],MatchData[rock wall available])</f>
        <v>#VALUE!</v>
      </c>
      <c r="CG165" s="16" t="e">
        <f aca="false">SUMIF(MatchData[team],MatchData[[#this row],[team]],MatchData[rough terrain available])</f>
        <v>#VALUE!</v>
      </c>
      <c r="CH165" s="16" t="e">
        <f aca="false">SUMIF(MatchData[team],MatchData[[#this row],[team]],MatchData[low bar available])</f>
        <v>#VALUE!</v>
      </c>
      <c r="CI165" s="16" t="e">
        <f aca="false">SUMIF(MatchData[team],MatchData[[#this row],[team]],MatchData[portcullis teleop crossings]:MatchData[portcullis scored crossings])</f>
        <v>#VALUE!</v>
      </c>
      <c r="CJ165" s="16" t="e">
        <f aca="false">SUMIF(MatchData[team],MatchData[[#this row],[team]],MatchData[cheval teleop crossings])+SUMIF(MatchData[team],MatchData[[#this row],[team]],MatchData[cheval scored crossings])</f>
        <v>#VALUE!</v>
      </c>
      <c r="CK165" s="16" t="e">
        <f aca="false">SUMIF(MatchData[team],MatchData[[#this row],[team]],MatchData[moat teleop crossings])+SUMIF(MatchData[team],MatchData[[#this row],[team]],MatchData[moat scored crosings])</f>
        <v>#VALUE!</v>
      </c>
      <c r="CL165" s="16" t="e">
        <f aca="false">SUMIF(MatchData[team],MatchData[[#this row],[team]],MatchData[ramparts teleop crossings])+SUMIF(MatchData[team],MatchData[[#this row],[team]],MatchData[ramparts scored crossings])</f>
        <v>#VALUE!</v>
      </c>
      <c r="CM165" s="16" t="e">
        <f aca="false">SUMIF(MatchData[team],MatchData[[#this row],[team]],MatchData[drawbridge teleop crossings])+SUMIF(MatchData[team],MatchData[[#this row],[team]],MatchData[drawbridge scored crossings])</f>
        <v>#VALUE!</v>
      </c>
      <c r="CN165" s="16" t="e">
        <f aca="false">SUMIF(MatchData[team],MatchData[[#this row],[team]],MatchData[sally port teleop crossings])+SUMIF(MatchData[team],MatchData[[#this row],[team]],MatchData[sally port scored crossings])</f>
        <v>#VALUE!</v>
      </c>
      <c r="CO165" s="16" t="e">
        <f aca="false">SUMIF(MatchData[team],MatchData[[#this row],[team]],MatchData[rock wall teleop crossings])+SUMIF(MatchData[team],MatchData[[#this row],[team]],MatchData[rock wall scored crossings])</f>
        <v>#VALUE!</v>
      </c>
      <c r="CP165" s="16" t="e">
        <f aca="false">SUMIF(MatchData[team],MatchData[[#this row],[team]],MatchData[rough terrain teleop crossings])+SUMIF(MatchData[team],MatchData[[#this row],[team]],MatchData[rough terrain scored crossings])</f>
        <v>#VALUE!</v>
      </c>
      <c r="CQ165" s="16" t="e">
        <f aca="false">SUMIF(MatchData[team],MatchData[[#this row],[team]],MatchData[low bar teleop crossings])+SUMIF(MatchData[team],MatchData[[#this row],[team]],MatchData[low bar scored crossings])</f>
        <v>#VALUE!</v>
      </c>
      <c r="CR165" s="16" t="e">
        <f aca="false">IFERROR(ROUND(MatchData[[#this row],[portcullis sum]]/MatchData[[#this row],[portcullis avail count]],2),0)</f>
        <v>#VALUE!</v>
      </c>
      <c r="CS165" s="16" t="e">
        <f aca="false">IFERROR(ROUND(MatchData[[#this row],[cheval sum]]/MatchData[[#this row],[cheval avail count]],2),0)</f>
        <v>#VALUE!</v>
      </c>
      <c r="CT165" s="16" t="e">
        <f aca="false">IFERROR(ROUND(MatchData[[#this row],[moat sum]]/MatchData[[#this row],[moat avail count]],2),0)</f>
        <v>#VALUE!</v>
      </c>
      <c r="CU165" s="16" t="e">
        <f aca="false">IFERROR(ROUND(MatchData[[#this row],[ramparts sum]]/MatchData[[#this row],[ramparts avail count]],2),0)</f>
        <v>#VALUE!</v>
      </c>
      <c r="CV165" s="16" t="e">
        <f aca="false">IFERROR(ROUND(MatchData[[#this row],[drawbridge sum]]/MatchData[[#this row],[drawbridge avail countigh6]],2),0)</f>
        <v>#VALUE!</v>
      </c>
      <c r="CW165" s="16" t="e">
        <f aca="false">IFERROR(ROUND(MatchData[[#this row],[sally port sum]]/MatchData[[#this row],[sally port avail count]],2),0)</f>
        <v>#VALUE!</v>
      </c>
      <c r="CX165" s="5" t="e">
        <f aca="false">IFERROR(ROUND(MatchData[[#this row],[rock wall sum]]/MatchData[[#this row],[rock wall avail count]],2),0)</f>
        <v>#VALUE!</v>
      </c>
      <c r="CY165" s="5" t="e">
        <f aca="false">IFERROR(ROUND(MatchData[[#this row],[rough terrain sum]]/MatchData[[#this row],[rough terrain avail count]],2),0)</f>
        <v>#VALUE!</v>
      </c>
      <c r="CZ165" s="5" t="e">
        <f aca="false">IFERROR(ROUND(MatchData[[#this row],[low bar sum]]/MatchData[[#this row],[low bar avail count]],2),0)</f>
        <v>#VALUE!</v>
      </c>
      <c r="DA165" s="16" t="e">
        <f aca="false">SUM(MatchData[[#this row],[cheval sum]:[low bar sum]])/MatchData[match count]</f>
        <v>#VALUE!</v>
      </c>
      <c r="DB165" s="16" t="n">
        <f aca="false">MAX(IF(C$2:C$74=C165,BP$2:BP$74))</f>
        <v>-1.79769313486232E+308</v>
      </c>
      <c r="DC165" s="16" t="e">
        <f aca="false">AVERAGEIF(MatchData[team],MatchData[[#this row],[team]],MatchData[total score])</f>
        <v>#VALUE!</v>
      </c>
      <c r="DD165" s="16" t="e">
        <f aca="false">ROUND(AVERAGEIF(MatchData[team],MatchData[team],MatchData[climb or challenge flag]),2)</f>
        <v>#VALUE!</v>
      </c>
    </row>
    <row r="166" customFormat="false" ht="14.5" hidden="false" customHeight="false" outlineLevel="0" collapsed="false">
      <c r="A166" s="17" t="s">
        <v>108</v>
      </c>
      <c r="B166" s="18" t="n">
        <v>28</v>
      </c>
      <c r="C166" s="15" t="n">
        <v>5198</v>
      </c>
      <c r="D166" s="5" t="s">
        <v>109</v>
      </c>
      <c r="E166" s="5" t="s">
        <v>110</v>
      </c>
      <c r="G166" s="16"/>
      <c r="I166" s="16"/>
      <c r="J166" s="5" t="n">
        <v>1</v>
      </c>
      <c r="K166" s="16"/>
      <c r="L166" s="5" t="n">
        <v>1</v>
      </c>
      <c r="N166" s="5" t="n">
        <v>1</v>
      </c>
      <c r="O166" s="0"/>
      <c r="P166" s="5" t="n">
        <v>1</v>
      </c>
      <c r="Q166" s="5" t="n">
        <v>1</v>
      </c>
      <c r="R166" s="0"/>
      <c r="S166" s="16"/>
      <c r="T166" s="0"/>
      <c r="U166" s="16"/>
      <c r="V166" s="16"/>
      <c r="W166" s="0"/>
      <c r="AD166" s="16"/>
      <c r="AE166" s="5"/>
      <c r="AF166" s="16"/>
      <c r="AG166" s="16"/>
      <c r="AH166" s="16"/>
      <c r="AJ166" s="16"/>
      <c r="AL166" s="16"/>
      <c r="AN166" s="16"/>
      <c r="AP166" s="16"/>
      <c r="AR166" s="16"/>
      <c r="AT166" s="16"/>
      <c r="AU166" s="16"/>
      <c r="AV166" s="16"/>
      <c r="AW166" s="16"/>
      <c r="AX166" s="16"/>
      <c r="AY166" s="16"/>
      <c r="AZ166" s="16" t="n">
        <v>1</v>
      </c>
      <c r="BB166" s="16" t="n">
        <v>1</v>
      </c>
      <c r="BC166" s="16" t="e">
        <f aca="false">MatchData[cheval scored crossings]*5</f>
        <v>#VALUE!</v>
      </c>
      <c r="BD166" s="16" t="e">
        <f aca="false">MatchData[moat scored crosings]*5</f>
        <v>#VALUE!</v>
      </c>
      <c r="BE166" s="16" t="e">
        <f aca="false">MatchData[ramparts scored crossings]*5</f>
        <v>#VALUE!</v>
      </c>
      <c r="BF166" s="16" t="e">
        <f aca="false">MatchData[drawbridge scored crossings]*5</f>
        <v>#VALUE!</v>
      </c>
      <c r="BG166" s="16" t="e">
        <f aca="false">MatchData[sally port scored crossings]*5</f>
        <v>#VALUE!</v>
      </c>
      <c r="BH166" s="16" t="e">
        <f aca="false">MatchData[rock wall scored crossings]*5</f>
        <v>#VALUE!</v>
      </c>
      <c r="BI166" s="16" t="e">
        <f aca="false">MatchData[rough terrain scored crossings]*5</f>
        <v>#VALUE!</v>
      </c>
      <c r="BJ166" s="16" t="e">
        <f aca="false">MatchData[low bar scored crossings]*5</f>
        <v>#VALUE!</v>
      </c>
      <c r="BK166" s="16" t="e">
        <f aca="false">SUM(MatchData[[#this row],[low bar teleop crossings]:[rough terrain scored crossings]])</f>
        <v>#VALUE!</v>
      </c>
      <c r="BL166" s="16" t="e">
        <f aca="false">IFERROR(IF(OR(MatchData[[#this row],[challenge flag]],MatchData[[#this row],[climb flag]]),1,0),0)</f>
        <v>#VALUE!</v>
      </c>
      <c r="BM166" s="16" t="e">
        <f aca="false">MatchData[auto high goals]*10+MatchData[teleop high goals]*5</f>
        <v>#VALUE!</v>
      </c>
      <c r="BN166" s="16" t="e">
        <f aca="false">MatchData[auto low goals]*5+MatchData[teleop low goals]*2</f>
        <v>#VALUE!</v>
      </c>
      <c r="BO166" s="16" t="e">
        <f aca="false">MatchData[high goal score]+MatchData[low goal score]</f>
        <v>#VALUE!</v>
      </c>
      <c r="BP166" s="16" t="e">
        <f aca="false">MatchData[teleop high goals]+MatchData[teleop low goals]</f>
        <v>#VALUE!</v>
      </c>
      <c r="BQ166" s="16" t="e">
        <f aca="false">MatchData[[#this row],[auto reach flag]]*2+SUM(MatchData[[#this row],[portcullis auto crossings]:[low bar auto crossings]])*10+MatchData[[#this row],[auto low goals]]*5+MatchData[auto high goals]*10</f>
        <v>#VALUE!</v>
      </c>
      <c r="BR166" s="16" t="e">
        <f aca="false">SUM(MatchData[[#this row],[cheval teleop crossing score]:[low bar teleop crossing score]])</f>
        <v>#VALUE!</v>
      </c>
      <c r="BS166" s="16" t="e">
        <f aca="false">SUMIF(MatchData[team],MatchData[[#this row],[team]],MatchData[total auto score])/MatchData[match count]</f>
        <v>#VALUE!</v>
      </c>
      <c r="BT166" s="16" t="e">
        <f aca="false">MatchData[challenge flag]*5</f>
        <v>#VALUE!</v>
      </c>
      <c r="BU166" s="16" t="e">
        <f aca="false">MatchData[climb flag]*15</f>
        <v>#VALUE!</v>
      </c>
      <c r="BV166" s="16" t="e">
        <f aca="false">SUM(MatchData[[#this row],[total goal score]],MatchData[[#this row],[crossing score]],MatchData[[#this row],[challenge score]],MatchData[[#this row],[climb score]],MatchData[[#this row],[total auto score]])</f>
        <v>#VALUE!</v>
      </c>
      <c r="BW166" s="16" t="e">
        <f aca="false">ROUND(SUMIF(MatchData[team],MatchData[[#this row],[team]],MatchData[teleop low goals])/COUNTIF(MatchData[team],MatchData[[#this row],[team]]),2)</f>
        <v>#VALUE!</v>
      </c>
      <c r="BX166" s="16" t="e">
        <f aca="false">ROUND(SUMIF(MatchData[team],MatchData[[#this row],[team]],MatchData[teleop high goals])/COUNTIF(MatchData[team],MatchData[[#this row],[team]]),2)</f>
        <v>#VALUE!</v>
      </c>
      <c r="BY166" s="16" t="e">
        <f aca="false">COUNTIF(MatchData[team],MatchData[[#this row],[team]])</f>
        <v>#VALUE!</v>
      </c>
      <c r="BZ166" s="16" t="e">
        <f aca="false">SUMIF(MatchData[team],MatchData[[#this row],[team]],MatchData[portcullis available])</f>
        <v>#VALUE!</v>
      </c>
      <c r="CA166" s="16" t="e">
        <f aca="false">SUMIF(MatchData[team],MatchData[[#this row],[team]],MatchData[cheval available])</f>
        <v>#VALUE!</v>
      </c>
      <c r="CB166" s="16" t="e">
        <f aca="false">SUMIF(MatchData[team],MatchData[[#this row],[team]],MatchData[moat available])</f>
        <v>#VALUE!</v>
      </c>
      <c r="CC166" s="16" t="e">
        <f aca="false">SUMIF(MatchData[team],MatchData[[#this row],[team]],MatchData[ramparts available])</f>
        <v>#VALUE!</v>
      </c>
      <c r="CD166" s="16" t="e">
        <f aca="false">SUMIF(MatchData[team],MatchData[[#this row],[team]],MatchData[drawbridge available])</f>
        <v>#VALUE!</v>
      </c>
      <c r="CE166" s="16" t="e">
        <f aca="false">SUMIF(MatchData[team],MatchData[[#this row],[team]],MatchData[sally port available])</f>
        <v>#VALUE!</v>
      </c>
      <c r="CF166" s="16" t="e">
        <f aca="false">SUMIF(MatchData[team],MatchData[[#this row],[team]],MatchData[rock wall available])</f>
        <v>#VALUE!</v>
      </c>
      <c r="CG166" s="16" t="e">
        <f aca="false">SUMIF(MatchData[team],MatchData[[#this row],[team]],MatchData[rough terrain available])</f>
        <v>#VALUE!</v>
      </c>
      <c r="CH166" s="16" t="e">
        <f aca="false">SUMIF(MatchData[team],MatchData[[#this row],[team]],MatchData[low bar available])</f>
        <v>#VALUE!</v>
      </c>
      <c r="CI166" s="16" t="e">
        <f aca="false">SUMIF(MatchData[team],MatchData[[#this row],[team]],MatchData[portcullis teleop crossings]:MatchData[portcullis scored crossings])</f>
        <v>#VALUE!</v>
      </c>
      <c r="CJ166" s="16" t="e">
        <f aca="false">SUMIF(MatchData[team],MatchData[[#this row],[team]],MatchData[cheval teleop crossings])+SUMIF(MatchData[team],MatchData[[#this row],[team]],MatchData[cheval scored crossings])</f>
        <v>#VALUE!</v>
      </c>
      <c r="CK166" s="16" t="e">
        <f aca="false">SUMIF(MatchData[team],MatchData[[#this row],[team]],MatchData[moat teleop crossings])+SUMIF(MatchData[team],MatchData[[#this row],[team]],MatchData[moat scored crosings])</f>
        <v>#VALUE!</v>
      </c>
      <c r="CL166" s="16" t="e">
        <f aca="false">SUMIF(MatchData[team],MatchData[[#this row],[team]],MatchData[ramparts teleop crossings])+SUMIF(MatchData[team],MatchData[[#this row],[team]],MatchData[ramparts scored crossings])</f>
        <v>#VALUE!</v>
      </c>
      <c r="CM166" s="16" t="e">
        <f aca="false">SUMIF(MatchData[team],MatchData[[#this row],[team]],MatchData[drawbridge teleop crossings])+SUMIF(MatchData[team],MatchData[[#this row],[team]],MatchData[drawbridge scored crossings])</f>
        <v>#VALUE!</v>
      </c>
      <c r="CN166" s="16" t="e">
        <f aca="false">SUMIF(MatchData[team],MatchData[[#this row],[team]],MatchData[sally port teleop crossings])+SUMIF(MatchData[team],MatchData[[#this row],[team]],MatchData[sally port scored crossings])</f>
        <v>#VALUE!</v>
      </c>
      <c r="CO166" s="16" t="e">
        <f aca="false">SUMIF(MatchData[team],MatchData[[#this row],[team]],MatchData[rock wall teleop crossings])+SUMIF(MatchData[team],MatchData[[#this row],[team]],MatchData[rock wall scored crossings])</f>
        <v>#VALUE!</v>
      </c>
      <c r="CP166" s="16" t="e">
        <f aca="false">SUMIF(MatchData[team],MatchData[[#this row],[team]],MatchData[rough terrain teleop crossings])+SUMIF(MatchData[team],MatchData[[#this row],[team]],MatchData[rough terrain scored crossings])</f>
        <v>#VALUE!</v>
      </c>
      <c r="CQ166" s="16" t="e">
        <f aca="false">SUMIF(MatchData[team],MatchData[[#this row],[team]],MatchData[low bar teleop crossings])+SUMIF(MatchData[team],MatchData[[#this row],[team]],MatchData[low bar scored crossings])</f>
        <v>#VALUE!</v>
      </c>
      <c r="CR166" s="16" t="e">
        <f aca="false">IFERROR(ROUND(MatchData[[#this row],[portcullis sum]]/MatchData[[#this row],[portcullis avail count]],2),0)</f>
        <v>#VALUE!</v>
      </c>
      <c r="CS166" s="16" t="e">
        <f aca="false">IFERROR(ROUND(MatchData[[#this row],[cheval sum]]/MatchData[[#this row],[cheval avail count]],2),0)</f>
        <v>#VALUE!</v>
      </c>
      <c r="CT166" s="16" t="e">
        <f aca="false">IFERROR(ROUND(MatchData[[#this row],[moat sum]]/MatchData[[#this row],[moat avail count]],2),0)</f>
        <v>#VALUE!</v>
      </c>
      <c r="CU166" s="16" t="e">
        <f aca="false">IFERROR(ROUND(MatchData[[#this row],[ramparts sum]]/MatchData[[#this row],[ramparts avail count]],2),0)</f>
        <v>#VALUE!</v>
      </c>
      <c r="CV166" s="16" t="e">
        <f aca="false">IFERROR(ROUND(MatchData[[#this row],[drawbridge sum]]/MatchData[[#this row],[drawbridge avail countigh6]],2),0)</f>
        <v>#VALUE!</v>
      </c>
      <c r="CW166" s="16" t="e">
        <f aca="false">IFERROR(ROUND(MatchData[[#this row],[sally port sum]]/MatchData[[#this row],[sally port avail count]],2),0)</f>
        <v>#VALUE!</v>
      </c>
      <c r="CX166" s="5" t="e">
        <f aca="false">IFERROR(ROUND(MatchData[[#this row],[rock wall sum]]/MatchData[[#this row],[rock wall avail count]],2),0)</f>
        <v>#VALUE!</v>
      </c>
      <c r="CY166" s="5" t="e">
        <f aca="false">IFERROR(ROUND(MatchData[[#this row],[rough terrain sum]]/MatchData[[#this row],[rough terrain avail count]],2),0)</f>
        <v>#VALUE!</v>
      </c>
      <c r="CZ166" s="5" t="e">
        <f aca="false">IFERROR(ROUND(MatchData[[#this row],[low bar sum]]/MatchData[[#this row],[low bar avail count]],2),0)</f>
        <v>#VALUE!</v>
      </c>
      <c r="DA166" s="16" t="e">
        <f aca="false">SUM(MatchData[[#this row],[cheval sum]:[low bar sum]])/MatchData[match count]</f>
        <v>#VALUE!</v>
      </c>
      <c r="DB166" s="16" t="n">
        <f aca="false">MAX(IF(C$2:C$74=C166,BP$2:BP$74))</f>
        <v>-1.79769313486232E+308</v>
      </c>
      <c r="DC166" s="16" t="e">
        <f aca="false">AVERAGEIF(MatchData[team],MatchData[[#this row],[team]],MatchData[total score])</f>
        <v>#VALUE!</v>
      </c>
      <c r="DD166" s="16" t="e">
        <f aca="false">ROUND(AVERAGEIF(MatchData[team],MatchData[team],MatchData[climb or challenge flag]),2)</f>
        <v>#VALUE!</v>
      </c>
    </row>
    <row r="167" customFormat="false" ht="14.5" hidden="false" customHeight="false" outlineLevel="0" collapsed="false">
      <c r="A167" s="13" t="s">
        <v>108</v>
      </c>
      <c r="B167" s="14" t="n">
        <v>28</v>
      </c>
      <c r="C167" s="15" t="n">
        <v>2471</v>
      </c>
      <c r="D167" s="5" t="s">
        <v>113</v>
      </c>
      <c r="E167" s="5" t="s">
        <v>151</v>
      </c>
      <c r="G167" s="16" t="n">
        <v>2</v>
      </c>
      <c r="I167" s="16"/>
      <c r="J167" s="5" t="n">
        <v>1</v>
      </c>
      <c r="K167" s="16"/>
      <c r="L167" s="5" t="n">
        <v>1</v>
      </c>
      <c r="M167" s="5" t="n">
        <v>1</v>
      </c>
      <c r="N167" s="0"/>
      <c r="O167" s="5" t="n">
        <v>1</v>
      </c>
      <c r="P167" s="0"/>
      <c r="Q167" s="5" t="n">
        <v>1</v>
      </c>
      <c r="R167" s="0"/>
      <c r="S167" s="16"/>
      <c r="T167" s="0"/>
      <c r="U167" s="16"/>
      <c r="V167" s="16"/>
      <c r="W167" s="0"/>
      <c r="AD167" s="16"/>
      <c r="AE167" s="5"/>
      <c r="AF167" s="16"/>
      <c r="AG167" s="16"/>
      <c r="AH167" s="16"/>
      <c r="AI167" s="5" t="n">
        <v>1</v>
      </c>
      <c r="AJ167" s="16"/>
      <c r="AL167" s="16"/>
      <c r="AN167" s="16" t="n">
        <v>2</v>
      </c>
      <c r="AP167" s="16"/>
      <c r="AR167" s="16" t="n">
        <v>1</v>
      </c>
      <c r="AT167" s="16"/>
      <c r="AU167" s="16"/>
      <c r="AV167" s="16"/>
      <c r="AW167" s="16" t="n">
        <v>1</v>
      </c>
      <c r="AX167" s="16"/>
      <c r="AY167" s="16"/>
      <c r="AZ167" s="16"/>
      <c r="BB167" s="16" t="n">
        <v>1</v>
      </c>
      <c r="BC167" s="16" t="e">
        <f aca="false">MatchData[cheval scored crossings]*5</f>
        <v>#VALUE!</v>
      </c>
      <c r="BD167" s="16" t="e">
        <f aca="false">MatchData[moat scored crosings]*5</f>
        <v>#VALUE!</v>
      </c>
      <c r="BE167" s="16" t="e">
        <f aca="false">MatchData[ramparts scored crossings]*5</f>
        <v>#VALUE!</v>
      </c>
      <c r="BF167" s="16" t="e">
        <f aca="false">MatchData[drawbridge scored crossings]*5</f>
        <v>#VALUE!</v>
      </c>
      <c r="BG167" s="16" t="e">
        <f aca="false">MatchData[sally port scored crossings]*5</f>
        <v>#VALUE!</v>
      </c>
      <c r="BH167" s="16" t="e">
        <f aca="false">MatchData[rock wall scored crossings]*5</f>
        <v>#VALUE!</v>
      </c>
      <c r="BI167" s="16" t="e">
        <f aca="false">MatchData[rough terrain scored crossings]*5</f>
        <v>#VALUE!</v>
      </c>
      <c r="BJ167" s="16" t="e">
        <f aca="false">MatchData[low bar scored crossings]*5</f>
        <v>#VALUE!</v>
      </c>
      <c r="BK167" s="16" t="e">
        <f aca="false">SUM(MatchData[[#this row],[low bar teleop crossings]:[rough terrain scored crossings]])</f>
        <v>#VALUE!</v>
      </c>
      <c r="BL167" s="16" t="e">
        <f aca="false">IFERROR(IF(OR(MatchData[[#this row],[challenge flag]],MatchData[[#this row],[climb flag]]),1,0),0)</f>
        <v>#VALUE!</v>
      </c>
      <c r="BM167" s="16" t="e">
        <f aca="false">MatchData[auto high goals]*10+MatchData[teleop high goals]*5</f>
        <v>#VALUE!</v>
      </c>
      <c r="BN167" s="16" t="e">
        <f aca="false">MatchData[auto low goals]*5+MatchData[teleop low goals]*2</f>
        <v>#VALUE!</v>
      </c>
      <c r="BO167" s="16" t="e">
        <f aca="false">MatchData[high goal score]+MatchData[low goal score]</f>
        <v>#VALUE!</v>
      </c>
      <c r="BP167" s="16" t="e">
        <f aca="false">MatchData[teleop high goals]+MatchData[teleop low goals]</f>
        <v>#VALUE!</v>
      </c>
      <c r="BQ167" s="16" t="e">
        <f aca="false">MatchData[[#this row],[auto reach flag]]*2+SUM(MatchData[[#this row],[portcullis auto crossings]:[low bar auto crossings]])*10+MatchData[[#this row],[auto low goals]]*5+MatchData[auto high goals]*10</f>
        <v>#VALUE!</v>
      </c>
      <c r="BR167" s="16" t="e">
        <f aca="false">SUM(MatchData[[#this row],[cheval teleop crossing score]:[low bar teleop crossing score]])</f>
        <v>#VALUE!</v>
      </c>
      <c r="BS167" s="16" t="e">
        <f aca="false">SUMIF(MatchData[team],MatchData[[#this row],[team]],MatchData[total auto score])/MatchData[match count]</f>
        <v>#VALUE!</v>
      </c>
      <c r="BT167" s="16" t="e">
        <f aca="false">MatchData[challenge flag]*5</f>
        <v>#VALUE!</v>
      </c>
      <c r="BU167" s="16" t="e">
        <f aca="false">MatchData[climb flag]*15</f>
        <v>#VALUE!</v>
      </c>
      <c r="BV167" s="16" t="e">
        <f aca="false">SUM(MatchData[[#this row],[total goal score]],MatchData[[#this row],[crossing score]],MatchData[[#this row],[challenge score]],MatchData[[#this row],[climb score]],MatchData[[#this row],[total auto score]])</f>
        <v>#VALUE!</v>
      </c>
      <c r="BW167" s="16" t="e">
        <f aca="false">ROUND(SUMIF(MatchData[team],MatchData[[#this row],[team]],MatchData[teleop low goals])/COUNTIF(MatchData[team],MatchData[[#this row],[team]]),2)</f>
        <v>#VALUE!</v>
      </c>
      <c r="BX167" s="16" t="e">
        <f aca="false">ROUND(SUMIF(MatchData[team],MatchData[[#this row],[team]],MatchData[teleop high goals])/COUNTIF(MatchData[team],MatchData[[#this row],[team]]),2)</f>
        <v>#VALUE!</v>
      </c>
      <c r="BY167" s="16" t="e">
        <f aca="false">COUNTIF(MatchData[team],MatchData[[#this row],[team]])</f>
        <v>#VALUE!</v>
      </c>
      <c r="BZ167" s="16" t="e">
        <f aca="false">SUMIF(MatchData[team],MatchData[[#this row],[team]],MatchData[portcullis available])</f>
        <v>#VALUE!</v>
      </c>
      <c r="CA167" s="16" t="e">
        <f aca="false">SUMIF(MatchData[team],MatchData[[#this row],[team]],MatchData[cheval available])</f>
        <v>#VALUE!</v>
      </c>
      <c r="CB167" s="16" t="e">
        <f aca="false">SUMIF(MatchData[team],MatchData[[#this row],[team]],MatchData[moat available])</f>
        <v>#VALUE!</v>
      </c>
      <c r="CC167" s="16" t="e">
        <f aca="false">SUMIF(MatchData[team],MatchData[[#this row],[team]],MatchData[ramparts available])</f>
        <v>#VALUE!</v>
      </c>
      <c r="CD167" s="16" t="e">
        <f aca="false">SUMIF(MatchData[team],MatchData[[#this row],[team]],MatchData[drawbridge available])</f>
        <v>#VALUE!</v>
      </c>
      <c r="CE167" s="16" t="e">
        <f aca="false">SUMIF(MatchData[team],MatchData[[#this row],[team]],MatchData[sally port available])</f>
        <v>#VALUE!</v>
      </c>
      <c r="CF167" s="16" t="e">
        <f aca="false">SUMIF(MatchData[team],MatchData[[#this row],[team]],MatchData[rock wall available])</f>
        <v>#VALUE!</v>
      </c>
      <c r="CG167" s="16" t="e">
        <f aca="false">SUMIF(MatchData[team],MatchData[[#this row],[team]],MatchData[rough terrain available])</f>
        <v>#VALUE!</v>
      </c>
      <c r="CH167" s="16" t="e">
        <f aca="false">SUMIF(MatchData[team],MatchData[[#this row],[team]],MatchData[low bar available])</f>
        <v>#VALUE!</v>
      </c>
      <c r="CI167" s="16" t="e">
        <f aca="false">SUMIF(MatchData[team],MatchData[[#this row],[team]],MatchData[portcullis teleop crossings]:MatchData[portcullis scored crossings])</f>
        <v>#VALUE!</v>
      </c>
      <c r="CJ167" s="16" t="e">
        <f aca="false">SUMIF(MatchData[team],MatchData[[#this row],[team]],MatchData[cheval teleop crossings])+SUMIF(MatchData[team],MatchData[[#this row],[team]],MatchData[cheval scored crossings])</f>
        <v>#VALUE!</v>
      </c>
      <c r="CK167" s="16" t="e">
        <f aca="false">SUMIF(MatchData[team],MatchData[[#this row],[team]],MatchData[moat teleop crossings])+SUMIF(MatchData[team],MatchData[[#this row],[team]],MatchData[moat scored crosings])</f>
        <v>#VALUE!</v>
      </c>
      <c r="CL167" s="16" t="e">
        <f aca="false">SUMIF(MatchData[team],MatchData[[#this row],[team]],MatchData[ramparts teleop crossings])+SUMIF(MatchData[team],MatchData[[#this row],[team]],MatchData[ramparts scored crossings])</f>
        <v>#VALUE!</v>
      </c>
      <c r="CM167" s="16" t="e">
        <f aca="false">SUMIF(MatchData[team],MatchData[[#this row],[team]],MatchData[drawbridge teleop crossings])+SUMIF(MatchData[team],MatchData[[#this row],[team]],MatchData[drawbridge scored crossings])</f>
        <v>#VALUE!</v>
      </c>
      <c r="CN167" s="16" t="e">
        <f aca="false">SUMIF(MatchData[team],MatchData[[#this row],[team]],MatchData[sally port teleop crossings])+SUMIF(MatchData[team],MatchData[[#this row],[team]],MatchData[sally port scored crossings])</f>
        <v>#VALUE!</v>
      </c>
      <c r="CO167" s="16" t="e">
        <f aca="false">SUMIF(MatchData[team],MatchData[[#this row],[team]],MatchData[rock wall teleop crossings])+SUMIF(MatchData[team],MatchData[[#this row],[team]],MatchData[rock wall scored crossings])</f>
        <v>#VALUE!</v>
      </c>
      <c r="CP167" s="16" t="e">
        <f aca="false">SUMIF(MatchData[team],MatchData[[#this row],[team]],MatchData[rough terrain teleop crossings])+SUMIF(MatchData[team],MatchData[[#this row],[team]],MatchData[rough terrain scored crossings])</f>
        <v>#VALUE!</v>
      </c>
      <c r="CQ167" s="16" t="e">
        <f aca="false">SUMIF(MatchData[team],MatchData[[#this row],[team]],MatchData[low bar teleop crossings])+SUMIF(MatchData[team],MatchData[[#this row],[team]],MatchData[low bar scored crossings])</f>
        <v>#VALUE!</v>
      </c>
      <c r="CR167" s="16" t="e">
        <f aca="false">IFERROR(ROUND(MatchData[[#this row],[portcullis sum]]/MatchData[[#this row],[portcullis avail count]],2),0)</f>
        <v>#VALUE!</v>
      </c>
      <c r="CS167" s="16" t="e">
        <f aca="false">IFERROR(ROUND(MatchData[[#this row],[cheval sum]]/MatchData[[#this row],[cheval avail count]],2),0)</f>
        <v>#VALUE!</v>
      </c>
      <c r="CT167" s="16" t="e">
        <f aca="false">IFERROR(ROUND(MatchData[[#this row],[moat sum]]/MatchData[[#this row],[moat avail count]],2),0)</f>
        <v>#VALUE!</v>
      </c>
      <c r="CU167" s="16" t="e">
        <f aca="false">IFERROR(ROUND(MatchData[[#this row],[ramparts sum]]/MatchData[[#this row],[ramparts avail count]],2),0)</f>
        <v>#VALUE!</v>
      </c>
      <c r="CV167" s="16" t="e">
        <f aca="false">IFERROR(ROUND(MatchData[[#this row],[drawbridge sum]]/MatchData[[#this row],[drawbridge avail countigh6]],2),0)</f>
        <v>#VALUE!</v>
      </c>
      <c r="CW167" s="16" t="e">
        <f aca="false">IFERROR(ROUND(MatchData[[#this row],[sally port sum]]/MatchData[[#this row],[sally port avail count]],2),0)</f>
        <v>#VALUE!</v>
      </c>
      <c r="CX167" s="5" t="e">
        <f aca="false">IFERROR(ROUND(MatchData[[#this row],[rock wall sum]]/MatchData[[#this row],[rock wall avail count]],2),0)</f>
        <v>#VALUE!</v>
      </c>
      <c r="CY167" s="5" t="e">
        <f aca="false">IFERROR(ROUND(MatchData[[#this row],[rough terrain sum]]/MatchData[[#this row],[rough terrain avail count]],2),0)</f>
        <v>#VALUE!</v>
      </c>
      <c r="CZ167" s="5" t="e">
        <f aca="false">IFERROR(ROUND(MatchData[[#this row],[low bar sum]]/MatchData[[#this row],[low bar avail count]],2),0)</f>
        <v>#VALUE!</v>
      </c>
      <c r="DA167" s="16" t="e">
        <f aca="false">SUM(MatchData[[#this row],[cheval sum]:[low bar sum]])/MatchData[match count]</f>
        <v>#VALUE!</v>
      </c>
      <c r="DB167" s="16" t="n">
        <f aca="false">MAX(IF(C$2:C$74=C167,BP$2:BP$74))</f>
        <v>-1.79769313486232E+308</v>
      </c>
      <c r="DC167" s="16" t="e">
        <f aca="false">AVERAGEIF(MatchData[team],MatchData[[#this row],[team]],MatchData[total score])</f>
        <v>#VALUE!</v>
      </c>
      <c r="DD167" s="16" t="e">
        <f aca="false">ROUND(AVERAGEIF(MatchData[team],MatchData[team],MatchData[climb or challenge flag]),2)</f>
        <v>#VALUE!</v>
      </c>
    </row>
    <row r="168" customFormat="false" ht="14.5" hidden="false" customHeight="false" outlineLevel="0" collapsed="false">
      <c r="A168" s="17" t="s">
        <v>108</v>
      </c>
      <c r="B168" s="18" t="n">
        <v>28</v>
      </c>
      <c r="C168" s="15" t="n">
        <v>5085</v>
      </c>
      <c r="D168" s="5" t="s">
        <v>113</v>
      </c>
      <c r="E168" s="5" t="s">
        <v>124</v>
      </c>
      <c r="G168" s="16"/>
      <c r="I168" s="16"/>
      <c r="J168" s="5" t="n">
        <v>1</v>
      </c>
      <c r="K168" s="16"/>
      <c r="L168" s="5" t="n">
        <v>1</v>
      </c>
      <c r="M168" s="5" t="n">
        <v>1</v>
      </c>
      <c r="N168" s="0"/>
      <c r="O168" s="5" t="n">
        <v>1</v>
      </c>
      <c r="P168" s="0"/>
      <c r="Q168" s="5" t="n">
        <v>1</v>
      </c>
      <c r="R168" s="0"/>
      <c r="S168" s="16"/>
      <c r="T168" s="0"/>
      <c r="U168" s="16"/>
      <c r="V168" s="16" t="n">
        <v>1</v>
      </c>
      <c r="W168" s="0"/>
      <c r="AD168" s="16"/>
      <c r="AE168" s="5"/>
      <c r="AF168" s="16"/>
      <c r="AG168" s="16"/>
      <c r="AH168" s="16"/>
      <c r="AJ168" s="16" t="n">
        <v>1</v>
      </c>
      <c r="AL168" s="16"/>
      <c r="AN168" s="16"/>
      <c r="AP168" s="16"/>
      <c r="AR168" s="16" t="n">
        <v>1</v>
      </c>
      <c r="AT168" s="16"/>
      <c r="AU168" s="16"/>
      <c r="AV168" s="16"/>
      <c r="AW168" s="16" t="n">
        <v>1</v>
      </c>
      <c r="AX168" s="16"/>
      <c r="AY168" s="16"/>
      <c r="AZ168" s="16"/>
      <c r="BB168" s="16" t="n">
        <v>1</v>
      </c>
      <c r="BC168" s="16" t="e">
        <f aca="false">MatchData[cheval scored crossings]*5</f>
        <v>#VALUE!</v>
      </c>
      <c r="BD168" s="16" t="e">
        <f aca="false">MatchData[moat scored crosings]*5</f>
        <v>#VALUE!</v>
      </c>
      <c r="BE168" s="16" t="e">
        <f aca="false">MatchData[ramparts scored crossings]*5</f>
        <v>#VALUE!</v>
      </c>
      <c r="BF168" s="16" t="e">
        <f aca="false">MatchData[drawbridge scored crossings]*5</f>
        <v>#VALUE!</v>
      </c>
      <c r="BG168" s="16" t="e">
        <f aca="false">MatchData[sally port scored crossings]*5</f>
        <v>#VALUE!</v>
      </c>
      <c r="BH168" s="16" t="e">
        <f aca="false">MatchData[rock wall scored crossings]*5</f>
        <v>#VALUE!</v>
      </c>
      <c r="BI168" s="16" t="e">
        <f aca="false">MatchData[rough terrain scored crossings]*5</f>
        <v>#VALUE!</v>
      </c>
      <c r="BJ168" s="16" t="e">
        <f aca="false">MatchData[low bar scored crossings]*5</f>
        <v>#VALUE!</v>
      </c>
      <c r="BK168" s="16" t="e">
        <f aca="false">SUM(MatchData[[#this row],[low bar teleop crossings]:[rough terrain scored crossings]])</f>
        <v>#VALUE!</v>
      </c>
      <c r="BL168" s="16" t="e">
        <f aca="false">IFERROR(IF(OR(MatchData[[#this row],[challenge flag]],MatchData[[#this row],[climb flag]]),1,0),0)</f>
        <v>#VALUE!</v>
      </c>
      <c r="BM168" s="16" t="e">
        <f aca="false">MatchData[auto high goals]*10+MatchData[teleop high goals]*5</f>
        <v>#VALUE!</v>
      </c>
      <c r="BN168" s="16" t="e">
        <f aca="false">MatchData[auto low goals]*5+MatchData[teleop low goals]*2</f>
        <v>#VALUE!</v>
      </c>
      <c r="BO168" s="16" t="e">
        <f aca="false">MatchData[high goal score]+MatchData[low goal score]</f>
        <v>#VALUE!</v>
      </c>
      <c r="BP168" s="16" t="e">
        <f aca="false">MatchData[teleop high goals]+MatchData[teleop low goals]</f>
        <v>#VALUE!</v>
      </c>
      <c r="BQ168" s="16" t="e">
        <f aca="false">MatchData[[#this row],[auto reach flag]]*2+SUM(MatchData[[#this row],[portcullis auto crossings]:[low bar auto crossings]])*10+MatchData[[#this row],[auto low goals]]*5+MatchData[auto high goals]*10</f>
        <v>#VALUE!</v>
      </c>
      <c r="BR168" s="16" t="e">
        <f aca="false">SUM(MatchData[[#this row],[cheval teleop crossing score]:[low bar teleop crossing score]])</f>
        <v>#VALUE!</v>
      </c>
      <c r="BS168" s="16" t="e">
        <f aca="false">SUMIF(MatchData[team],MatchData[[#this row],[team]],MatchData[total auto score])/MatchData[match count]</f>
        <v>#VALUE!</v>
      </c>
      <c r="BT168" s="16" t="e">
        <f aca="false">MatchData[challenge flag]*5</f>
        <v>#VALUE!</v>
      </c>
      <c r="BU168" s="16" t="e">
        <f aca="false">MatchData[climb flag]*15</f>
        <v>#VALUE!</v>
      </c>
      <c r="BV168" s="16" t="e">
        <f aca="false">SUM(MatchData[[#this row],[total goal score]],MatchData[[#this row],[crossing score]],MatchData[[#this row],[challenge score]],MatchData[[#this row],[climb score]],MatchData[[#this row],[total auto score]])</f>
        <v>#VALUE!</v>
      </c>
      <c r="BW168" s="16" t="e">
        <f aca="false">ROUND(SUMIF(MatchData[team],MatchData[[#this row],[team]],MatchData[teleop low goals])/COUNTIF(MatchData[team],MatchData[[#this row],[team]]),2)</f>
        <v>#VALUE!</v>
      </c>
      <c r="BX168" s="16" t="e">
        <f aca="false">ROUND(SUMIF(MatchData[team],MatchData[[#this row],[team]],MatchData[teleop high goals])/COUNTIF(MatchData[team],MatchData[[#this row],[team]]),2)</f>
        <v>#VALUE!</v>
      </c>
      <c r="BY168" s="16" t="e">
        <f aca="false">COUNTIF(MatchData[team],MatchData[[#this row],[team]])</f>
        <v>#VALUE!</v>
      </c>
      <c r="BZ168" s="16" t="e">
        <f aca="false">SUMIF(MatchData[team],MatchData[[#this row],[team]],MatchData[portcullis available])</f>
        <v>#VALUE!</v>
      </c>
      <c r="CA168" s="16" t="e">
        <f aca="false">SUMIF(MatchData[team],MatchData[[#this row],[team]],MatchData[cheval available])</f>
        <v>#VALUE!</v>
      </c>
      <c r="CB168" s="16" t="e">
        <f aca="false">SUMIF(MatchData[team],MatchData[[#this row],[team]],MatchData[moat available])</f>
        <v>#VALUE!</v>
      </c>
      <c r="CC168" s="16" t="e">
        <f aca="false">SUMIF(MatchData[team],MatchData[[#this row],[team]],MatchData[ramparts available])</f>
        <v>#VALUE!</v>
      </c>
      <c r="CD168" s="16" t="e">
        <f aca="false">SUMIF(MatchData[team],MatchData[[#this row],[team]],MatchData[drawbridge available])</f>
        <v>#VALUE!</v>
      </c>
      <c r="CE168" s="16" t="e">
        <f aca="false">SUMIF(MatchData[team],MatchData[[#this row],[team]],MatchData[sally port available])</f>
        <v>#VALUE!</v>
      </c>
      <c r="CF168" s="16" t="e">
        <f aca="false">SUMIF(MatchData[team],MatchData[[#this row],[team]],MatchData[rock wall available])</f>
        <v>#VALUE!</v>
      </c>
      <c r="CG168" s="16" t="e">
        <f aca="false">SUMIF(MatchData[team],MatchData[[#this row],[team]],MatchData[rough terrain available])</f>
        <v>#VALUE!</v>
      </c>
      <c r="CH168" s="16" t="e">
        <f aca="false">SUMIF(MatchData[team],MatchData[[#this row],[team]],MatchData[low bar available])</f>
        <v>#VALUE!</v>
      </c>
      <c r="CI168" s="16" t="e">
        <f aca="false">SUMIF(MatchData[team],MatchData[[#this row],[team]],MatchData[portcullis teleop crossings]:MatchData[portcullis scored crossings])</f>
        <v>#VALUE!</v>
      </c>
      <c r="CJ168" s="16" t="e">
        <f aca="false">SUMIF(MatchData[team],MatchData[[#this row],[team]],MatchData[cheval teleop crossings])+SUMIF(MatchData[team],MatchData[[#this row],[team]],MatchData[cheval scored crossings])</f>
        <v>#VALUE!</v>
      </c>
      <c r="CK168" s="16" t="e">
        <f aca="false">SUMIF(MatchData[team],MatchData[[#this row],[team]],MatchData[moat teleop crossings])+SUMIF(MatchData[team],MatchData[[#this row],[team]],MatchData[moat scored crosings])</f>
        <v>#VALUE!</v>
      </c>
      <c r="CL168" s="16" t="e">
        <f aca="false">SUMIF(MatchData[team],MatchData[[#this row],[team]],MatchData[ramparts teleop crossings])+SUMIF(MatchData[team],MatchData[[#this row],[team]],MatchData[ramparts scored crossings])</f>
        <v>#VALUE!</v>
      </c>
      <c r="CM168" s="16" t="e">
        <f aca="false">SUMIF(MatchData[team],MatchData[[#this row],[team]],MatchData[drawbridge teleop crossings])+SUMIF(MatchData[team],MatchData[[#this row],[team]],MatchData[drawbridge scored crossings])</f>
        <v>#VALUE!</v>
      </c>
      <c r="CN168" s="16" t="e">
        <f aca="false">SUMIF(MatchData[team],MatchData[[#this row],[team]],MatchData[sally port teleop crossings])+SUMIF(MatchData[team],MatchData[[#this row],[team]],MatchData[sally port scored crossings])</f>
        <v>#VALUE!</v>
      </c>
      <c r="CO168" s="16" t="e">
        <f aca="false">SUMIF(MatchData[team],MatchData[[#this row],[team]],MatchData[rock wall teleop crossings])+SUMIF(MatchData[team],MatchData[[#this row],[team]],MatchData[rock wall scored crossings])</f>
        <v>#VALUE!</v>
      </c>
      <c r="CP168" s="16" t="e">
        <f aca="false">SUMIF(MatchData[team],MatchData[[#this row],[team]],MatchData[rough terrain teleop crossings])+SUMIF(MatchData[team],MatchData[[#this row],[team]],MatchData[rough terrain scored crossings])</f>
        <v>#VALUE!</v>
      </c>
      <c r="CQ168" s="16" t="e">
        <f aca="false">SUMIF(MatchData[team],MatchData[[#this row],[team]],MatchData[low bar teleop crossings])+SUMIF(MatchData[team],MatchData[[#this row],[team]],MatchData[low bar scored crossings])</f>
        <v>#VALUE!</v>
      </c>
      <c r="CR168" s="16" t="e">
        <f aca="false">IFERROR(ROUND(MatchData[[#this row],[portcullis sum]]/MatchData[[#this row],[portcullis avail count]],2),0)</f>
        <v>#VALUE!</v>
      </c>
      <c r="CS168" s="16" t="e">
        <f aca="false">IFERROR(ROUND(MatchData[[#this row],[cheval sum]]/MatchData[[#this row],[cheval avail count]],2),0)</f>
        <v>#VALUE!</v>
      </c>
      <c r="CT168" s="16" t="e">
        <f aca="false">IFERROR(ROUND(MatchData[[#this row],[moat sum]]/MatchData[[#this row],[moat avail count]],2),0)</f>
        <v>#VALUE!</v>
      </c>
      <c r="CU168" s="16" t="e">
        <f aca="false">IFERROR(ROUND(MatchData[[#this row],[ramparts sum]]/MatchData[[#this row],[ramparts avail count]],2),0)</f>
        <v>#VALUE!</v>
      </c>
      <c r="CV168" s="16" t="e">
        <f aca="false">IFERROR(ROUND(MatchData[[#this row],[drawbridge sum]]/MatchData[[#this row],[drawbridge avail countigh6]],2),0)</f>
        <v>#VALUE!</v>
      </c>
      <c r="CW168" s="16" t="e">
        <f aca="false">IFERROR(ROUND(MatchData[[#this row],[sally port sum]]/MatchData[[#this row],[sally port avail count]],2),0)</f>
        <v>#VALUE!</v>
      </c>
      <c r="CX168" s="5" t="e">
        <f aca="false">IFERROR(ROUND(MatchData[[#this row],[rock wall sum]]/MatchData[[#this row],[rock wall avail count]],2),0)</f>
        <v>#VALUE!</v>
      </c>
      <c r="CY168" s="5" t="e">
        <f aca="false">IFERROR(ROUND(MatchData[[#this row],[rough terrain sum]]/MatchData[[#this row],[rough terrain avail count]],2),0)</f>
        <v>#VALUE!</v>
      </c>
      <c r="CZ168" s="5" t="e">
        <f aca="false">IFERROR(ROUND(MatchData[[#this row],[low bar sum]]/MatchData[[#this row],[low bar avail count]],2),0)</f>
        <v>#VALUE!</v>
      </c>
      <c r="DA168" s="16" t="e">
        <f aca="false">SUM(MatchData[[#this row],[cheval sum]:[low bar sum]])/MatchData[match count]</f>
        <v>#VALUE!</v>
      </c>
      <c r="DB168" s="16" t="n">
        <f aca="false">MAX(IF(C$2:C$74=C168,BP$2:BP$74))</f>
        <v>-1.79769313486232E+308</v>
      </c>
      <c r="DC168" s="16" t="e">
        <f aca="false">AVERAGEIF(MatchData[team],MatchData[[#this row],[team]],MatchData[total score])</f>
        <v>#VALUE!</v>
      </c>
      <c r="DD168" s="16" t="e">
        <f aca="false">ROUND(AVERAGEIF(MatchData[team],MatchData[team],MatchData[climb or challenge flag]),2)</f>
        <v>#VALUE!</v>
      </c>
    </row>
    <row r="169" customFormat="false" ht="14.5" hidden="false" customHeight="false" outlineLevel="0" collapsed="false">
      <c r="A169" s="17" t="s">
        <v>108</v>
      </c>
      <c r="B169" s="14" t="n">
        <v>28</v>
      </c>
      <c r="C169" s="15" t="n">
        <v>5977</v>
      </c>
      <c r="D169" s="5" t="s">
        <v>113</v>
      </c>
      <c r="E169" s="5" t="s">
        <v>123</v>
      </c>
      <c r="G169" s="16"/>
      <c r="I169" s="16"/>
      <c r="J169" s="5" t="n">
        <v>1</v>
      </c>
      <c r="K169" s="16"/>
      <c r="L169" s="5" t="n">
        <v>1</v>
      </c>
      <c r="M169" s="5" t="n">
        <v>1</v>
      </c>
      <c r="N169" s="0"/>
      <c r="O169" s="5" t="n">
        <v>1</v>
      </c>
      <c r="P169" s="0"/>
      <c r="Q169" s="5" t="n">
        <v>1</v>
      </c>
      <c r="R169" s="0"/>
      <c r="S169" s="16"/>
      <c r="T169" s="0"/>
      <c r="U169" s="16"/>
      <c r="V169" s="16"/>
      <c r="W169" s="0"/>
      <c r="AD169" s="16" t="n">
        <v>2</v>
      </c>
      <c r="AE169" s="5"/>
      <c r="AF169" s="16"/>
      <c r="AG169" s="16"/>
      <c r="AH169" s="16"/>
      <c r="AJ169" s="16"/>
      <c r="AL169" s="16"/>
      <c r="AN169" s="16"/>
      <c r="AP169" s="16"/>
      <c r="AR169" s="16"/>
      <c r="AT169" s="16"/>
      <c r="AU169" s="16"/>
      <c r="AV169" s="16"/>
      <c r="AW169" s="16"/>
      <c r="AX169" s="16"/>
      <c r="AY169" s="16"/>
      <c r="AZ169" s="16"/>
      <c r="BB169" s="16" t="n">
        <v>1</v>
      </c>
      <c r="BC169" s="16" t="e">
        <f aca="false">MatchData[cheval scored crossings]*5</f>
        <v>#VALUE!</v>
      </c>
      <c r="BD169" s="16" t="e">
        <f aca="false">MatchData[moat scored crosings]*5</f>
        <v>#VALUE!</v>
      </c>
      <c r="BE169" s="16" t="e">
        <f aca="false">MatchData[ramparts scored crossings]*5</f>
        <v>#VALUE!</v>
      </c>
      <c r="BF169" s="16" t="e">
        <f aca="false">MatchData[drawbridge scored crossings]*5</f>
        <v>#VALUE!</v>
      </c>
      <c r="BG169" s="16" t="e">
        <f aca="false">MatchData[sally port scored crossings]*5</f>
        <v>#VALUE!</v>
      </c>
      <c r="BH169" s="16" t="e">
        <f aca="false">MatchData[rock wall scored crossings]*5</f>
        <v>#VALUE!</v>
      </c>
      <c r="BI169" s="16" t="e">
        <f aca="false">MatchData[rough terrain scored crossings]*5</f>
        <v>#VALUE!</v>
      </c>
      <c r="BJ169" s="16" t="e">
        <f aca="false">MatchData[low bar scored crossings]*5</f>
        <v>#VALUE!</v>
      </c>
      <c r="BK169" s="16" t="e">
        <f aca="false">SUM(MatchData[[#this row],[low bar teleop crossings]:[rough terrain scored crossings]])</f>
        <v>#VALUE!</v>
      </c>
      <c r="BL169" s="16" t="e">
        <f aca="false">IFERROR(IF(OR(MatchData[[#this row],[challenge flag]],MatchData[[#this row],[climb flag]]),1,0),0)</f>
        <v>#VALUE!</v>
      </c>
      <c r="BM169" s="16" t="e">
        <f aca="false">MatchData[auto high goals]*10+MatchData[teleop high goals]*5</f>
        <v>#VALUE!</v>
      </c>
      <c r="BN169" s="16" t="e">
        <f aca="false">MatchData[auto low goals]*5+MatchData[teleop low goals]*2</f>
        <v>#VALUE!</v>
      </c>
      <c r="BO169" s="16" t="e">
        <f aca="false">MatchData[high goal score]+MatchData[low goal score]</f>
        <v>#VALUE!</v>
      </c>
      <c r="BP169" s="16" t="e">
        <f aca="false">MatchData[teleop high goals]+MatchData[teleop low goals]</f>
        <v>#VALUE!</v>
      </c>
      <c r="BQ169" s="16" t="e">
        <f aca="false">MatchData[[#this row],[auto reach flag]]*2+SUM(MatchData[[#this row],[portcullis auto crossings]:[low bar auto crossings]])*10+MatchData[[#this row],[auto low goals]]*5+MatchData[auto high goals]*10</f>
        <v>#VALUE!</v>
      </c>
      <c r="BR169" s="16" t="e">
        <f aca="false">SUM(MatchData[[#this row],[cheval teleop crossing score]:[low bar teleop crossing score]])</f>
        <v>#VALUE!</v>
      </c>
      <c r="BS169" s="16" t="e">
        <f aca="false">SUMIF(MatchData[team],MatchData[[#this row],[team]],MatchData[total auto score])/MatchData[match count]</f>
        <v>#VALUE!</v>
      </c>
      <c r="BT169" s="16" t="e">
        <f aca="false">MatchData[challenge flag]*5</f>
        <v>#VALUE!</v>
      </c>
      <c r="BU169" s="16" t="e">
        <f aca="false">MatchData[climb flag]*15</f>
        <v>#VALUE!</v>
      </c>
      <c r="BV169" s="16" t="e">
        <f aca="false">SUM(MatchData[[#this row],[total goal score]],MatchData[[#this row],[crossing score]],MatchData[[#this row],[challenge score]],MatchData[[#this row],[climb score]],MatchData[[#this row],[total auto score]])</f>
        <v>#VALUE!</v>
      </c>
      <c r="BW169" s="16" t="e">
        <f aca="false">ROUND(SUMIF(MatchData[team],MatchData[[#this row],[team]],MatchData[teleop low goals])/COUNTIF(MatchData[team],MatchData[[#this row],[team]]),2)</f>
        <v>#VALUE!</v>
      </c>
      <c r="BX169" s="16" t="e">
        <f aca="false">ROUND(SUMIF(MatchData[team],MatchData[[#this row],[team]],MatchData[teleop high goals])/COUNTIF(MatchData[team],MatchData[[#this row],[team]]),2)</f>
        <v>#VALUE!</v>
      </c>
      <c r="BY169" s="16" t="e">
        <f aca="false">COUNTIF(MatchData[team],MatchData[[#this row],[team]])</f>
        <v>#VALUE!</v>
      </c>
      <c r="BZ169" s="16" t="e">
        <f aca="false">SUMIF(MatchData[team],MatchData[[#this row],[team]],MatchData[portcullis available])</f>
        <v>#VALUE!</v>
      </c>
      <c r="CA169" s="16" t="e">
        <f aca="false">SUMIF(MatchData[team],MatchData[[#this row],[team]],MatchData[cheval available])</f>
        <v>#VALUE!</v>
      </c>
      <c r="CB169" s="16" t="e">
        <f aca="false">SUMIF(MatchData[team],MatchData[[#this row],[team]],MatchData[moat available])</f>
        <v>#VALUE!</v>
      </c>
      <c r="CC169" s="16" t="e">
        <f aca="false">SUMIF(MatchData[team],MatchData[[#this row],[team]],MatchData[ramparts available])</f>
        <v>#VALUE!</v>
      </c>
      <c r="CD169" s="16" t="e">
        <f aca="false">SUMIF(MatchData[team],MatchData[[#this row],[team]],MatchData[drawbridge available])</f>
        <v>#VALUE!</v>
      </c>
      <c r="CE169" s="16" t="e">
        <f aca="false">SUMIF(MatchData[team],MatchData[[#this row],[team]],MatchData[sally port available])</f>
        <v>#VALUE!</v>
      </c>
      <c r="CF169" s="16" t="e">
        <f aca="false">SUMIF(MatchData[team],MatchData[[#this row],[team]],MatchData[rock wall available])</f>
        <v>#VALUE!</v>
      </c>
      <c r="CG169" s="16" t="e">
        <f aca="false">SUMIF(MatchData[team],MatchData[[#this row],[team]],MatchData[rough terrain available])</f>
        <v>#VALUE!</v>
      </c>
      <c r="CH169" s="16" t="e">
        <f aca="false">SUMIF(MatchData[team],MatchData[[#this row],[team]],MatchData[low bar available])</f>
        <v>#VALUE!</v>
      </c>
      <c r="CI169" s="16" t="e">
        <f aca="false">SUMIF(MatchData[team],MatchData[[#this row],[team]],MatchData[portcullis teleop crossings]:MatchData[portcullis scored crossings])</f>
        <v>#VALUE!</v>
      </c>
      <c r="CJ169" s="16" t="e">
        <f aca="false">SUMIF(MatchData[team],MatchData[[#this row],[team]],MatchData[cheval teleop crossings])+SUMIF(MatchData[team],MatchData[[#this row],[team]],MatchData[cheval scored crossings])</f>
        <v>#VALUE!</v>
      </c>
      <c r="CK169" s="16" t="e">
        <f aca="false">SUMIF(MatchData[team],MatchData[[#this row],[team]],MatchData[moat teleop crossings])+SUMIF(MatchData[team],MatchData[[#this row],[team]],MatchData[moat scored crosings])</f>
        <v>#VALUE!</v>
      </c>
      <c r="CL169" s="16" t="e">
        <f aca="false">SUMIF(MatchData[team],MatchData[[#this row],[team]],MatchData[ramparts teleop crossings])+SUMIF(MatchData[team],MatchData[[#this row],[team]],MatchData[ramparts scored crossings])</f>
        <v>#VALUE!</v>
      </c>
      <c r="CM169" s="16" t="e">
        <f aca="false">SUMIF(MatchData[team],MatchData[[#this row],[team]],MatchData[drawbridge teleop crossings])+SUMIF(MatchData[team],MatchData[[#this row],[team]],MatchData[drawbridge scored crossings])</f>
        <v>#VALUE!</v>
      </c>
      <c r="CN169" s="16" t="e">
        <f aca="false">SUMIF(MatchData[team],MatchData[[#this row],[team]],MatchData[sally port teleop crossings])+SUMIF(MatchData[team],MatchData[[#this row],[team]],MatchData[sally port scored crossings])</f>
        <v>#VALUE!</v>
      </c>
      <c r="CO169" s="16" t="e">
        <f aca="false">SUMIF(MatchData[team],MatchData[[#this row],[team]],MatchData[rock wall teleop crossings])+SUMIF(MatchData[team],MatchData[[#this row],[team]],MatchData[rock wall scored crossings])</f>
        <v>#VALUE!</v>
      </c>
      <c r="CP169" s="16" t="e">
        <f aca="false">SUMIF(MatchData[team],MatchData[[#this row],[team]],MatchData[rough terrain teleop crossings])+SUMIF(MatchData[team],MatchData[[#this row],[team]],MatchData[rough terrain scored crossings])</f>
        <v>#VALUE!</v>
      </c>
      <c r="CQ169" s="16" t="e">
        <f aca="false">SUMIF(MatchData[team],MatchData[[#this row],[team]],MatchData[low bar teleop crossings])+SUMIF(MatchData[team],MatchData[[#this row],[team]],MatchData[low bar scored crossings])</f>
        <v>#VALUE!</v>
      </c>
      <c r="CR169" s="16" t="e">
        <f aca="false">IFERROR(ROUND(MatchData[[#this row],[portcullis sum]]/MatchData[[#this row],[portcullis avail count]],2),0)</f>
        <v>#VALUE!</v>
      </c>
      <c r="CS169" s="16" t="e">
        <f aca="false">IFERROR(ROUND(MatchData[[#this row],[cheval sum]]/MatchData[[#this row],[cheval avail count]],2),0)</f>
        <v>#VALUE!</v>
      </c>
      <c r="CT169" s="16" t="e">
        <f aca="false">IFERROR(ROUND(MatchData[[#this row],[moat sum]]/MatchData[[#this row],[moat avail count]],2),0)</f>
        <v>#VALUE!</v>
      </c>
      <c r="CU169" s="16" t="e">
        <f aca="false">IFERROR(ROUND(MatchData[[#this row],[ramparts sum]]/MatchData[[#this row],[ramparts avail count]],2),0)</f>
        <v>#VALUE!</v>
      </c>
      <c r="CV169" s="16" t="e">
        <f aca="false">IFERROR(ROUND(MatchData[[#this row],[drawbridge sum]]/MatchData[[#this row],[drawbridge avail countigh6]],2),0)</f>
        <v>#VALUE!</v>
      </c>
      <c r="CW169" s="16" t="e">
        <f aca="false">IFERROR(ROUND(MatchData[[#this row],[sally port sum]]/MatchData[[#this row],[sally port avail count]],2),0)</f>
        <v>#VALUE!</v>
      </c>
      <c r="CX169" s="5" t="e">
        <f aca="false">IFERROR(ROUND(MatchData[[#this row],[rock wall sum]]/MatchData[[#this row],[rock wall avail count]],2),0)</f>
        <v>#VALUE!</v>
      </c>
      <c r="CY169" s="5" t="e">
        <f aca="false">IFERROR(ROUND(MatchData[[#this row],[rough terrain sum]]/MatchData[[#this row],[rough terrain avail count]],2),0)</f>
        <v>#VALUE!</v>
      </c>
      <c r="CZ169" s="5" t="e">
        <f aca="false">IFERROR(ROUND(MatchData[[#this row],[low bar sum]]/MatchData[[#this row],[low bar avail count]],2),0)</f>
        <v>#VALUE!</v>
      </c>
      <c r="DA169" s="16" t="e">
        <f aca="false">SUM(MatchData[[#this row],[cheval sum]:[low bar sum]])/MatchData[match count]</f>
        <v>#VALUE!</v>
      </c>
      <c r="DB169" s="16" t="n">
        <f aca="false">MAX(IF(C$2:C$74=C169,BP$2:BP$74))</f>
        <v>-1.79769313486232E+308</v>
      </c>
      <c r="DC169" s="16" t="e">
        <f aca="false">AVERAGEIF(MatchData[team],MatchData[[#this row],[team]],MatchData[total score])</f>
        <v>#VALUE!</v>
      </c>
      <c r="DD169" s="16" t="e">
        <f aca="false">ROUND(AVERAGEIF(MatchData[team],MatchData[team],MatchData[climb or challenge flag]),2)</f>
        <v>#VALUE!</v>
      </c>
    </row>
    <row r="170" customFormat="false" ht="14.5" hidden="false" customHeight="false" outlineLevel="0" collapsed="false">
      <c r="A170" s="13" t="s">
        <v>108</v>
      </c>
      <c r="B170" s="14" t="n">
        <v>29</v>
      </c>
      <c r="C170" s="15" t="n">
        <v>1571</v>
      </c>
      <c r="D170" s="5" t="s">
        <v>109</v>
      </c>
      <c r="E170" s="5" t="s">
        <v>153</v>
      </c>
      <c r="G170" s="16"/>
      <c r="I170" s="16" t="n">
        <v>1</v>
      </c>
      <c r="J170" s="5" t="n">
        <v>1</v>
      </c>
      <c r="K170" s="16"/>
      <c r="L170" s="5" t="n">
        <v>1</v>
      </c>
      <c r="M170" s="5" t="n">
        <v>1</v>
      </c>
      <c r="N170" s="0"/>
      <c r="O170" s="0"/>
      <c r="P170" s="5" t="n">
        <v>1</v>
      </c>
      <c r="Q170" s="5" t="n">
        <v>1</v>
      </c>
      <c r="R170" s="0"/>
      <c r="S170" s="16"/>
      <c r="T170" s="0"/>
      <c r="U170" s="16"/>
      <c r="V170" s="16"/>
      <c r="W170" s="0"/>
      <c r="AD170" s="16"/>
      <c r="AE170" s="5"/>
      <c r="AF170" s="16"/>
      <c r="AG170" s="16"/>
      <c r="AH170" s="16"/>
      <c r="AJ170" s="16"/>
      <c r="AL170" s="16"/>
      <c r="AN170" s="16"/>
      <c r="AP170" s="16" t="n">
        <v>1</v>
      </c>
      <c r="AR170" s="16" t="n">
        <v>2</v>
      </c>
      <c r="AT170" s="16"/>
      <c r="AU170" s="16"/>
      <c r="AV170" s="16" t="n">
        <v>1</v>
      </c>
      <c r="AW170" s="16" t="n">
        <v>1</v>
      </c>
      <c r="AX170" s="16"/>
      <c r="AY170" s="16"/>
      <c r="AZ170" s="16"/>
      <c r="BB170" s="16"/>
      <c r="BC170" s="16" t="e">
        <f aca="false">MatchData[cheval scored crossings]*5</f>
        <v>#VALUE!</v>
      </c>
      <c r="BD170" s="16" t="e">
        <f aca="false">MatchData[moat scored crosings]*5</f>
        <v>#VALUE!</v>
      </c>
      <c r="BE170" s="16" t="e">
        <f aca="false">MatchData[ramparts scored crossings]*5</f>
        <v>#VALUE!</v>
      </c>
      <c r="BF170" s="16" t="e">
        <f aca="false">MatchData[drawbridge scored crossings]*5</f>
        <v>#VALUE!</v>
      </c>
      <c r="BG170" s="16" t="e">
        <f aca="false">MatchData[sally port scored crossings]*5</f>
        <v>#VALUE!</v>
      </c>
      <c r="BH170" s="16" t="e">
        <f aca="false">MatchData[rock wall scored crossings]*5</f>
        <v>#VALUE!</v>
      </c>
      <c r="BI170" s="16" t="e">
        <f aca="false">MatchData[rough terrain scored crossings]*5</f>
        <v>#VALUE!</v>
      </c>
      <c r="BJ170" s="16" t="e">
        <f aca="false">MatchData[low bar scored crossings]*5</f>
        <v>#VALUE!</v>
      </c>
      <c r="BK170" s="16" t="e">
        <f aca="false">SUM(MatchData[[#this row],[low bar teleop crossings]:[rough terrain scored crossings]])</f>
        <v>#VALUE!</v>
      </c>
      <c r="BL170" s="16" t="e">
        <f aca="false">IFERROR(IF(OR(MatchData[[#this row],[challenge flag]],MatchData[[#this row],[climb flag]]),1,0),0)</f>
        <v>#VALUE!</v>
      </c>
      <c r="BM170" s="16" t="e">
        <f aca="false">MatchData[auto high goals]*10+MatchData[teleop high goals]*5</f>
        <v>#VALUE!</v>
      </c>
      <c r="BN170" s="16" t="e">
        <f aca="false">MatchData[auto low goals]*5+MatchData[teleop low goals]*2</f>
        <v>#VALUE!</v>
      </c>
      <c r="BO170" s="16" t="e">
        <f aca="false">MatchData[high goal score]+MatchData[low goal score]</f>
        <v>#VALUE!</v>
      </c>
      <c r="BP170" s="16" t="e">
        <f aca="false">MatchData[teleop high goals]+MatchData[teleop low goals]</f>
        <v>#VALUE!</v>
      </c>
      <c r="BQ170" s="16" t="e">
        <f aca="false">MatchData[[#this row],[auto reach flag]]*2+SUM(MatchData[[#this row],[portcullis auto crossings]:[low bar auto crossings]])*10+MatchData[[#this row],[auto low goals]]*5+MatchData[auto high goals]*10</f>
        <v>#VALUE!</v>
      </c>
      <c r="BR170" s="16" t="e">
        <f aca="false">SUM(MatchData[[#this row],[cheval teleop crossing score]:[low bar teleop crossing score]])</f>
        <v>#VALUE!</v>
      </c>
      <c r="BS170" s="16" t="e">
        <f aca="false">SUMIF(MatchData[team],MatchData[[#this row],[team]],MatchData[total auto score])/MatchData[match count]</f>
        <v>#VALUE!</v>
      </c>
      <c r="BT170" s="16" t="e">
        <f aca="false">MatchData[challenge flag]*5</f>
        <v>#VALUE!</v>
      </c>
      <c r="BU170" s="16" t="e">
        <f aca="false">MatchData[climb flag]*15</f>
        <v>#VALUE!</v>
      </c>
      <c r="BV170" s="16" t="e">
        <f aca="false">SUM(MatchData[[#this row],[total goal score]],MatchData[[#this row],[crossing score]],MatchData[[#this row],[challenge score]],MatchData[[#this row],[climb score]],MatchData[[#this row],[total auto score]])</f>
        <v>#VALUE!</v>
      </c>
      <c r="BW170" s="16" t="e">
        <f aca="false">ROUND(SUMIF(MatchData[team],MatchData[[#this row],[team]],MatchData[teleop low goals])/COUNTIF(MatchData[team],MatchData[[#this row],[team]]),2)</f>
        <v>#VALUE!</v>
      </c>
      <c r="BX170" s="16" t="e">
        <f aca="false">ROUND(SUMIF(MatchData[team],MatchData[[#this row],[team]],MatchData[teleop high goals])/COUNTIF(MatchData[team],MatchData[[#this row],[team]]),2)</f>
        <v>#VALUE!</v>
      </c>
      <c r="BY170" s="16" t="e">
        <f aca="false">COUNTIF(MatchData[team],MatchData[[#this row],[team]])</f>
        <v>#VALUE!</v>
      </c>
      <c r="BZ170" s="16" t="e">
        <f aca="false">SUMIF(MatchData[team],MatchData[[#this row],[team]],MatchData[portcullis available])</f>
        <v>#VALUE!</v>
      </c>
      <c r="CA170" s="16" t="e">
        <f aca="false">SUMIF(MatchData[team],MatchData[[#this row],[team]],MatchData[cheval available])</f>
        <v>#VALUE!</v>
      </c>
      <c r="CB170" s="16" t="e">
        <f aca="false">SUMIF(MatchData[team],MatchData[[#this row],[team]],MatchData[moat available])</f>
        <v>#VALUE!</v>
      </c>
      <c r="CC170" s="16" t="e">
        <f aca="false">SUMIF(MatchData[team],MatchData[[#this row],[team]],MatchData[ramparts available])</f>
        <v>#VALUE!</v>
      </c>
      <c r="CD170" s="16" t="e">
        <f aca="false">SUMIF(MatchData[team],MatchData[[#this row],[team]],MatchData[drawbridge available])</f>
        <v>#VALUE!</v>
      </c>
      <c r="CE170" s="16" t="e">
        <f aca="false">SUMIF(MatchData[team],MatchData[[#this row],[team]],MatchData[sally port available])</f>
        <v>#VALUE!</v>
      </c>
      <c r="CF170" s="16" t="e">
        <f aca="false">SUMIF(MatchData[team],MatchData[[#this row],[team]],MatchData[rock wall available])</f>
        <v>#VALUE!</v>
      </c>
      <c r="CG170" s="16" t="e">
        <f aca="false">SUMIF(MatchData[team],MatchData[[#this row],[team]],MatchData[rough terrain available])</f>
        <v>#VALUE!</v>
      </c>
      <c r="CH170" s="16" t="e">
        <f aca="false">SUMIF(MatchData[team],MatchData[[#this row],[team]],MatchData[low bar available])</f>
        <v>#VALUE!</v>
      </c>
      <c r="CI170" s="16" t="e">
        <f aca="false">SUMIF(MatchData[team],MatchData[[#this row],[team]],MatchData[portcullis teleop crossings]:MatchData[portcullis scored crossings])</f>
        <v>#VALUE!</v>
      </c>
      <c r="CJ170" s="16" t="e">
        <f aca="false">SUMIF(MatchData[team],MatchData[[#this row],[team]],MatchData[cheval teleop crossings])+SUMIF(MatchData[team],MatchData[[#this row],[team]],MatchData[cheval scored crossings])</f>
        <v>#VALUE!</v>
      </c>
      <c r="CK170" s="16" t="e">
        <f aca="false">SUMIF(MatchData[team],MatchData[[#this row],[team]],MatchData[moat teleop crossings])+SUMIF(MatchData[team],MatchData[[#this row],[team]],MatchData[moat scored crosings])</f>
        <v>#VALUE!</v>
      </c>
      <c r="CL170" s="16" t="e">
        <f aca="false">SUMIF(MatchData[team],MatchData[[#this row],[team]],MatchData[ramparts teleop crossings])+SUMIF(MatchData[team],MatchData[[#this row],[team]],MatchData[ramparts scored crossings])</f>
        <v>#VALUE!</v>
      </c>
      <c r="CM170" s="16" t="e">
        <f aca="false">SUMIF(MatchData[team],MatchData[[#this row],[team]],MatchData[drawbridge teleop crossings])+SUMIF(MatchData[team],MatchData[[#this row],[team]],MatchData[drawbridge scored crossings])</f>
        <v>#VALUE!</v>
      </c>
      <c r="CN170" s="16" t="e">
        <f aca="false">SUMIF(MatchData[team],MatchData[[#this row],[team]],MatchData[sally port teleop crossings])+SUMIF(MatchData[team],MatchData[[#this row],[team]],MatchData[sally port scored crossings])</f>
        <v>#VALUE!</v>
      </c>
      <c r="CO170" s="16" t="e">
        <f aca="false">SUMIF(MatchData[team],MatchData[[#this row],[team]],MatchData[rock wall teleop crossings])+SUMIF(MatchData[team],MatchData[[#this row],[team]],MatchData[rock wall scored crossings])</f>
        <v>#VALUE!</v>
      </c>
      <c r="CP170" s="16" t="e">
        <f aca="false">SUMIF(MatchData[team],MatchData[[#this row],[team]],MatchData[rough terrain teleop crossings])+SUMIF(MatchData[team],MatchData[[#this row],[team]],MatchData[rough terrain scored crossings])</f>
        <v>#VALUE!</v>
      </c>
      <c r="CQ170" s="16" t="e">
        <f aca="false">SUMIF(MatchData[team],MatchData[[#this row],[team]],MatchData[low bar teleop crossings])+SUMIF(MatchData[team],MatchData[[#this row],[team]],MatchData[low bar scored crossings])</f>
        <v>#VALUE!</v>
      </c>
      <c r="CR170" s="16" t="e">
        <f aca="false">IFERROR(ROUND(MatchData[[#this row],[portcullis sum]]/MatchData[[#this row],[portcullis avail count]],2),0)</f>
        <v>#VALUE!</v>
      </c>
      <c r="CS170" s="16" t="e">
        <f aca="false">IFERROR(ROUND(MatchData[[#this row],[cheval sum]]/MatchData[[#this row],[cheval avail count]],2),0)</f>
        <v>#VALUE!</v>
      </c>
      <c r="CT170" s="16" t="e">
        <f aca="false">IFERROR(ROUND(MatchData[[#this row],[moat sum]]/MatchData[[#this row],[moat avail count]],2),0)</f>
        <v>#VALUE!</v>
      </c>
      <c r="CU170" s="16" t="e">
        <f aca="false">IFERROR(ROUND(MatchData[[#this row],[ramparts sum]]/MatchData[[#this row],[ramparts avail count]],2),0)</f>
        <v>#VALUE!</v>
      </c>
      <c r="CV170" s="16" t="e">
        <f aca="false">IFERROR(ROUND(MatchData[[#this row],[drawbridge sum]]/MatchData[[#this row],[drawbridge avail countigh6]],2),0)</f>
        <v>#VALUE!</v>
      </c>
      <c r="CW170" s="16" t="e">
        <f aca="false">IFERROR(ROUND(MatchData[[#this row],[sally port sum]]/MatchData[[#this row],[sally port avail count]],2),0)</f>
        <v>#VALUE!</v>
      </c>
      <c r="CX170" s="5" t="e">
        <f aca="false">IFERROR(ROUND(MatchData[[#this row],[rock wall sum]]/MatchData[[#this row],[rock wall avail count]],2),0)</f>
        <v>#VALUE!</v>
      </c>
      <c r="CY170" s="5" t="e">
        <f aca="false">IFERROR(ROUND(MatchData[[#this row],[rough terrain sum]]/MatchData[[#this row],[rough terrain avail count]],2),0)</f>
        <v>#VALUE!</v>
      </c>
      <c r="CZ170" s="5" t="e">
        <f aca="false">IFERROR(ROUND(MatchData[[#this row],[low bar sum]]/MatchData[[#this row],[low bar avail count]],2),0)</f>
        <v>#VALUE!</v>
      </c>
      <c r="DA170" s="16" t="e">
        <f aca="false">SUM(MatchData[[#this row],[cheval sum]:[low bar sum]])/MatchData[match count]</f>
        <v>#VALUE!</v>
      </c>
      <c r="DB170" s="16" t="n">
        <f aca="false">MAX(IF(C$2:C$74=C170,BP$2:BP$74))</f>
        <v>-1.79769313486232E+308</v>
      </c>
      <c r="DC170" s="16" t="e">
        <f aca="false">AVERAGEIF(MatchData[team],MatchData[[#this row],[team]],MatchData[total score])</f>
        <v>#VALUE!</v>
      </c>
      <c r="DD170" s="16" t="e">
        <f aca="false">ROUND(AVERAGEIF(MatchData[team],MatchData[team],MatchData[climb or challenge flag]),2)</f>
        <v>#VALUE!</v>
      </c>
    </row>
    <row r="171" customFormat="false" ht="14.5" hidden="false" customHeight="false" outlineLevel="0" collapsed="false">
      <c r="A171" s="13" t="s">
        <v>108</v>
      </c>
      <c r="B171" s="14" t="n">
        <v>29</v>
      </c>
      <c r="C171" s="15" t="n">
        <v>3192</v>
      </c>
      <c r="D171" s="5" t="s">
        <v>109</v>
      </c>
      <c r="E171" s="5" t="s">
        <v>118</v>
      </c>
      <c r="G171" s="16"/>
      <c r="I171" s="16"/>
      <c r="J171" s="5" t="n">
        <v>1</v>
      </c>
      <c r="K171" s="16"/>
      <c r="L171" s="5" t="n">
        <v>1</v>
      </c>
      <c r="M171" s="5" t="n">
        <v>1</v>
      </c>
      <c r="N171" s="0"/>
      <c r="O171" s="0"/>
      <c r="P171" s="5" t="n">
        <v>1</v>
      </c>
      <c r="Q171" s="5" t="n">
        <v>1</v>
      </c>
      <c r="R171" s="0"/>
      <c r="S171" s="16"/>
      <c r="T171" s="0"/>
      <c r="U171" s="16"/>
      <c r="V171" s="16"/>
      <c r="W171" s="0"/>
      <c r="AD171" s="16"/>
      <c r="AE171" s="5"/>
      <c r="AF171" s="16"/>
      <c r="AG171" s="16"/>
      <c r="AH171" s="16"/>
      <c r="AJ171" s="16" t="n">
        <v>1</v>
      </c>
      <c r="AL171" s="16"/>
      <c r="AN171" s="16"/>
      <c r="AP171" s="16"/>
      <c r="AR171" s="16"/>
      <c r="AT171" s="16"/>
      <c r="AU171" s="16"/>
      <c r="AV171" s="16"/>
      <c r="AW171" s="16"/>
      <c r="AX171" s="16"/>
      <c r="AY171" s="16"/>
      <c r="AZ171" s="16"/>
      <c r="BB171" s="16"/>
      <c r="BC171" s="16" t="e">
        <f aca="false">MatchData[cheval scored crossings]*5</f>
        <v>#VALUE!</v>
      </c>
      <c r="BD171" s="16" t="e">
        <f aca="false">MatchData[moat scored crosings]*5</f>
        <v>#VALUE!</v>
      </c>
      <c r="BE171" s="16" t="e">
        <f aca="false">MatchData[ramparts scored crossings]*5</f>
        <v>#VALUE!</v>
      </c>
      <c r="BF171" s="16" t="e">
        <f aca="false">MatchData[drawbridge scored crossings]*5</f>
        <v>#VALUE!</v>
      </c>
      <c r="BG171" s="16" t="e">
        <f aca="false">MatchData[sally port scored crossings]*5</f>
        <v>#VALUE!</v>
      </c>
      <c r="BH171" s="16" t="e">
        <f aca="false">MatchData[rock wall scored crossings]*5</f>
        <v>#VALUE!</v>
      </c>
      <c r="BI171" s="16" t="e">
        <f aca="false">MatchData[rough terrain scored crossings]*5</f>
        <v>#VALUE!</v>
      </c>
      <c r="BJ171" s="16" t="e">
        <f aca="false">MatchData[low bar scored crossings]*5</f>
        <v>#VALUE!</v>
      </c>
      <c r="BK171" s="16" t="e">
        <f aca="false">SUM(MatchData[[#this row],[low bar teleop crossings]:[rough terrain scored crossings]])</f>
        <v>#VALUE!</v>
      </c>
      <c r="BL171" s="16" t="e">
        <f aca="false">IFERROR(IF(OR(MatchData[[#this row],[challenge flag]],MatchData[[#this row],[climb flag]]),1,0),0)</f>
        <v>#VALUE!</v>
      </c>
      <c r="BM171" s="16" t="e">
        <f aca="false">MatchData[auto high goals]*10+MatchData[teleop high goals]*5</f>
        <v>#VALUE!</v>
      </c>
      <c r="BN171" s="16" t="e">
        <f aca="false">MatchData[auto low goals]*5+MatchData[teleop low goals]*2</f>
        <v>#VALUE!</v>
      </c>
      <c r="BO171" s="16" t="e">
        <f aca="false">MatchData[high goal score]+MatchData[low goal score]</f>
        <v>#VALUE!</v>
      </c>
      <c r="BP171" s="16" t="e">
        <f aca="false">MatchData[teleop high goals]+MatchData[teleop low goals]</f>
        <v>#VALUE!</v>
      </c>
      <c r="BQ171" s="16" t="e">
        <f aca="false">MatchData[[#this row],[auto reach flag]]*2+SUM(MatchData[[#this row],[portcullis auto crossings]:[low bar auto crossings]])*10+MatchData[[#this row],[auto low goals]]*5+MatchData[auto high goals]*10</f>
        <v>#VALUE!</v>
      </c>
      <c r="BR171" s="16" t="e">
        <f aca="false">SUM(MatchData[[#this row],[cheval teleop crossing score]:[low bar teleop crossing score]])</f>
        <v>#VALUE!</v>
      </c>
      <c r="BS171" s="16" t="e">
        <f aca="false">SUMIF(MatchData[team],MatchData[[#this row],[team]],MatchData[total auto score])/MatchData[match count]</f>
        <v>#VALUE!</v>
      </c>
      <c r="BT171" s="16" t="e">
        <f aca="false">MatchData[challenge flag]*5</f>
        <v>#VALUE!</v>
      </c>
      <c r="BU171" s="16" t="e">
        <f aca="false">MatchData[climb flag]*15</f>
        <v>#VALUE!</v>
      </c>
      <c r="BV171" s="16" t="e">
        <f aca="false">SUM(MatchData[[#this row],[total goal score]],MatchData[[#this row],[crossing score]],MatchData[[#this row],[challenge score]],MatchData[[#this row],[climb score]],MatchData[[#this row],[total auto score]])</f>
        <v>#VALUE!</v>
      </c>
      <c r="BW171" s="16" t="e">
        <f aca="false">ROUND(SUMIF(MatchData[team],MatchData[[#this row],[team]],MatchData[teleop low goals])/COUNTIF(MatchData[team],MatchData[[#this row],[team]]),2)</f>
        <v>#VALUE!</v>
      </c>
      <c r="BX171" s="16" t="e">
        <f aca="false">ROUND(SUMIF(MatchData[team],MatchData[[#this row],[team]],MatchData[teleop high goals])/COUNTIF(MatchData[team],MatchData[[#this row],[team]]),2)</f>
        <v>#VALUE!</v>
      </c>
      <c r="BY171" s="16" t="e">
        <f aca="false">COUNTIF(MatchData[team],MatchData[[#this row],[team]])</f>
        <v>#VALUE!</v>
      </c>
      <c r="BZ171" s="16" t="e">
        <f aca="false">SUMIF(MatchData[team],MatchData[[#this row],[team]],MatchData[portcullis available])</f>
        <v>#VALUE!</v>
      </c>
      <c r="CA171" s="16" t="e">
        <f aca="false">SUMIF(MatchData[team],MatchData[[#this row],[team]],MatchData[cheval available])</f>
        <v>#VALUE!</v>
      </c>
      <c r="CB171" s="16" t="e">
        <f aca="false">SUMIF(MatchData[team],MatchData[[#this row],[team]],MatchData[moat available])</f>
        <v>#VALUE!</v>
      </c>
      <c r="CC171" s="16" t="e">
        <f aca="false">SUMIF(MatchData[team],MatchData[[#this row],[team]],MatchData[ramparts available])</f>
        <v>#VALUE!</v>
      </c>
      <c r="CD171" s="16" t="e">
        <f aca="false">SUMIF(MatchData[team],MatchData[[#this row],[team]],MatchData[drawbridge available])</f>
        <v>#VALUE!</v>
      </c>
      <c r="CE171" s="16" t="e">
        <f aca="false">SUMIF(MatchData[team],MatchData[[#this row],[team]],MatchData[sally port available])</f>
        <v>#VALUE!</v>
      </c>
      <c r="CF171" s="16" t="e">
        <f aca="false">SUMIF(MatchData[team],MatchData[[#this row],[team]],MatchData[rock wall available])</f>
        <v>#VALUE!</v>
      </c>
      <c r="CG171" s="16" t="e">
        <f aca="false">SUMIF(MatchData[team],MatchData[[#this row],[team]],MatchData[rough terrain available])</f>
        <v>#VALUE!</v>
      </c>
      <c r="CH171" s="16" t="e">
        <f aca="false">SUMIF(MatchData[team],MatchData[[#this row],[team]],MatchData[low bar available])</f>
        <v>#VALUE!</v>
      </c>
      <c r="CI171" s="16" t="e">
        <f aca="false">SUMIF(MatchData[team],MatchData[[#this row],[team]],MatchData[portcullis teleop crossings]:MatchData[portcullis scored crossings])</f>
        <v>#VALUE!</v>
      </c>
      <c r="CJ171" s="16" t="e">
        <f aca="false">SUMIF(MatchData[team],MatchData[[#this row],[team]],MatchData[cheval teleop crossings])+SUMIF(MatchData[team],MatchData[[#this row],[team]],MatchData[cheval scored crossings])</f>
        <v>#VALUE!</v>
      </c>
      <c r="CK171" s="16" t="e">
        <f aca="false">SUMIF(MatchData[team],MatchData[[#this row],[team]],MatchData[moat teleop crossings])+SUMIF(MatchData[team],MatchData[[#this row],[team]],MatchData[moat scored crosings])</f>
        <v>#VALUE!</v>
      </c>
      <c r="CL171" s="16" t="e">
        <f aca="false">SUMIF(MatchData[team],MatchData[[#this row],[team]],MatchData[ramparts teleop crossings])+SUMIF(MatchData[team],MatchData[[#this row],[team]],MatchData[ramparts scored crossings])</f>
        <v>#VALUE!</v>
      </c>
      <c r="CM171" s="16" t="e">
        <f aca="false">SUMIF(MatchData[team],MatchData[[#this row],[team]],MatchData[drawbridge teleop crossings])+SUMIF(MatchData[team],MatchData[[#this row],[team]],MatchData[drawbridge scored crossings])</f>
        <v>#VALUE!</v>
      </c>
      <c r="CN171" s="16" t="e">
        <f aca="false">SUMIF(MatchData[team],MatchData[[#this row],[team]],MatchData[sally port teleop crossings])+SUMIF(MatchData[team],MatchData[[#this row],[team]],MatchData[sally port scored crossings])</f>
        <v>#VALUE!</v>
      </c>
      <c r="CO171" s="16" t="e">
        <f aca="false">SUMIF(MatchData[team],MatchData[[#this row],[team]],MatchData[rock wall teleop crossings])+SUMIF(MatchData[team],MatchData[[#this row],[team]],MatchData[rock wall scored crossings])</f>
        <v>#VALUE!</v>
      </c>
      <c r="CP171" s="16" t="e">
        <f aca="false">SUMIF(MatchData[team],MatchData[[#this row],[team]],MatchData[rough terrain teleop crossings])+SUMIF(MatchData[team],MatchData[[#this row],[team]],MatchData[rough terrain scored crossings])</f>
        <v>#VALUE!</v>
      </c>
      <c r="CQ171" s="16" t="e">
        <f aca="false">SUMIF(MatchData[team],MatchData[[#this row],[team]],MatchData[low bar teleop crossings])+SUMIF(MatchData[team],MatchData[[#this row],[team]],MatchData[low bar scored crossings])</f>
        <v>#VALUE!</v>
      </c>
      <c r="CR171" s="16" t="e">
        <f aca="false">IFERROR(ROUND(MatchData[[#this row],[portcullis sum]]/MatchData[[#this row],[portcullis avail count]],2),0)</f>
        <v>#VALUE!</v>
      </c>
      <c r="CS171" s="16" t="e">
        <f aca="false">IFERROR(ROUND(MatchData[[#this row],[cheval sum]]/MatchData[[#this row],[cheval avail count]],2),0)</f>
        <v>#VALUE!</v>
      </c>
      <c r="CT171" s="16" t="e">
        <f aca="false">IFERROR(ROUND(MatchData[[#this row],[moat sum]]/MatchData[[#this row],[moat avail count]],2),0)</f>
        <v>#VALUE!</v>
      </c>
      <c r="CU171" s="16" t="e">
        <f aca="false">IFERROR(ROUND(MatchData[[#this row],[ramparts sum]]/MatchData[[#this row],[ramparts avail count]],2),0)</f>
        <v>#VALUE!</v>
      </c>
      <c r="CV171" s="16" t="e">
        <f aca="false">IFERROR(ROUND(MatchData[[#this row],[drawbridge sum]]/MatchData[[#this row],[drawbridge avail countigh6]],2),0)</f>
        <v>#VALUE!</v>
      </c>
      <c r="CW171" s="16" t="e">
        <f aca="false">IFERROR(ROUND(MatchData[[#this row],[sally port sum]]/MatchData[[#this row],[sally port avail count]],2),0)</f>
        <v>#VALUE!</v>
      </c>
      <c r="CX171" s="5" t="e">
        <f aca="false">IFERROR(ROUND(MatchData[[#this row],[rock wall sum]]/MatchData[[#this row],[rock wall avail count]],2),0)</f>
        <v>#VALUE!</v>
      </c>
      <c r="CY171" s="5" t="e">
        <f aca="false">IFERROR(ROUND(MatchData[[#this row],[rough terrain sum]]/MatchData[[#this row],[rough terrain avail count]],2),0)</f>
        <v>#VALUE!</v>
      </c>
      <c r="CZ171" s="5" t="e">
        <f aca="false">IFERROR(ROUND(MatchData[[#this row],[low bar sum]]/MatchData[[#this row],[low bar avail count]],2),0)</f>
        <v>#VALUE!</v>
      </c>
      <c r="DA171" s="16" t="e">
        <f aca="false">SUM(MatchData[[#this row],[cheval sum]:[low bar sum]])/MatchData[match count]</f>
        <v>#VALUE!</v>
      </c>
      <c r="DB171" s="16" t="n">
        <f aca="false">MAX(IF(C$2:C$74=C171,BP$2:BP$74))</f>
        <v>-1.79769313486232E+308</v>
      </c>
      <c r="DC171" s="16" t="e">
        <f aca="false">AVERAGEIF(MatchData[team],MatchData[[#this row],[team]],MatchData[total score])</f>
        <v>#VALUE!</v>
      </c>
      <c r="DD171" s="16" t="e">
        <f aca="false">ROUND(AVERAGEIF(MatchData[team],MatchData[team],MatchData[climb or challenge flag]),2)</f>
        <v>#VALUE!</v>
      </c>
    </row>
    <row r="172" customFormat="false" ht="14.5" hidden="false" customHeight="false" outlineLevel="0" collapsed="false">
      <c r="A172" s="17" t="s">
        <v>108</v>
      </c>
      <c r="B172" s="18" t="n">
        <v>29</v>
      </c>
      <c r="C172" s="15" t="n">
        <v>4043</v>
      </c>
      <c r="D172" s="5" t="s">
        <v>109</v>
      </c>
      <c r="E172" s="5" t="s">
        <v>110</v>
      </c>
      <c r="G172" s="16"/>
      <c r="I172" s="16"/>
      <c r="J172" s="5" t="n">
        <v>1</v>
      </c>
      <c r="K172" s="16"/>
      <c r="L172" s="5" t="n">
        <v>1</v>
      </c>
      <c r="M172" s="5" t="n">
        <v>1</v>
      </c>
      <c r="N172" s="0"/>
      <c r="O172" s="0"/>
      <c r="P172" s="5" t="n">
        <v>1</v>
      </c>
      <c r="Q172" s="5" t="n">
        <v>1</v>
      </c>
      <c r="R172" s="0"/>
      <c r="S172" s="16"/>
      <c r="T172" s="0"/>
      <c r="U172" s="16"/>
      <c r="V172" s="16"/>
      <c r="W172" s="0"/>
      <c r="AB172" s="5" t="n">
        <v>1</v>
      </c>
      <c r="AD172" s="16" t="n">
        <v>1</v>
      </c>
      <c r="AE172" s="5"/>
      <c r="AF172" s="16"/>
      <c r="AG172" s="16"/>
      <c r="AH172" s="16"/>
      <c r="AI172" s="5" t="n">
        <v>1</v>
      </c>
      <c r="AJ172" s="16" t="n">
        <v>1</v>
      </c>
      <c r="AL172" s="16"/>
      <c r="AN172" s="16"/>
      <c r="AP172" s="16"/>
      <c r="AR172" s="16" t="n">
        <v>1</v>
      </c>
      <c r="AT172" s="16"/>
      <c r="AU172" s="16"/>
      <c r="AV172" s="16"/>
      <c r="AW172" s="16"/>
      <c r="AX172" s="16"/>
      <c r="AY172" s="16"/>
      <c r="AZ172" s="16"/>
      <c r="BB172" s="16"/>
      <c r="BC172" s="16" t="e">
        <f aca="false">MatchData[cheval scored crossings]*5</f>
        <v>#VALUE!</v>
      </c>
      <c r="BD172" s="16" t="e">
        <f aca="false">MatchData[moat scored crosings]*5</f>
        <v>#VALUE!</v>
      </c>
      <c r="BE172" s="16" t="e">
        <f aca="false">MatchData[ramparts scored crossings]*5</f>
        <v>#VALUE!</v>
      </c>
      <c r="BF172" s="16" t="e">
        <f aca="false">MatchData[drawbridge scored crossings]*5</f>
        <v>#VALUE!</v>
      </c>
      <c r="BG172" s="16" t="e">
        <f aca="false">MatchData[sally port scored crossings]*5</f>
        <v>#VALUE!</v>
      </c>
      <c r="BH172" s="16" t="e">
        <f aca="false">MatchData[rock wall scored crossings]*5</f>
        <v>#VALUE!</v>
      </c>
      <c r="BI172" s="16" t="e">
        <f aca="false">MatchData[rough terrain scored crossings]*5</f>
        <v>#VALUE!</v>
      </c>
      <c r="BJ172" s="16" t="e">
        <f aca="false">MatchData[low bar scored crossings]*5</f>
        <v>#VALUE!</v>
      </c>
      <c r="BK172" s="16" t="e">
        <f aca="false">SUM(MatchData[[#this row],[low bar teleop crossings]:[rough terrain scored crossings]])</f>
        <v>#VALUE!</v>
      </c>
      <c r="BL172" s="16" t="e">
        <f aca="false">IFERROR(IF(OR(MatchData[[#this row],[challenge flag]],MatchData[[#this row],[climb flag]]),1,0),0)</f>
        <v>#VALUE!</v>
      </c>
      <c r="BM172" s="16" t="e">
        <f aca="false">MatchData[auto high goals]*10+MatchData[teleop high goals]*5</f>
        <v>#VALUE!</v>
      </c>
      <c r="BN172" s="16" t="e">
        <f aca="false">MatchData[auto low goals]*5+MatchData[teleop low goals]*2</f>
        <v>#VALUE!</v>
      </c>
      <c r="BO172" s="16" t="e">
        <f aca="false">MatchData[high goal score]+MatchData[low goal score]</f>
        <v>#VALUE!</v>
      </c>
      <c r="BP172" s="16" t="e">
        <f aca="false">MatchData[teleop high goals]+MatchData[teleop low goals]</f>
        <v>#VALUE!</v>
      </c>
      <c r="BQ172" s="16" t="e">
        <f aca="false">MatchData[[#this row],[auto reach flag]]*2+SUM(MatchData[[#this row],[portcullis auto crossings]:[low bar auto crossings]])*10+MatchData[[#this row],[auto low goals]]*5+MatchData[auto high goals]*10</f>
        <v>#VALUE!</v>
      </c>
      <c r="BR172" s="16" t="e">
        <f aca="false">SUM(MatchData[[#this row],[cheval teleop crossing score]:[low bar teleop crossing score]])</f>
        <v>#VALUE!</v>
      </c>
      <c r="BS172" s="16" t="e">
        <f aca="false">SUMIF(MatchData[team],MatchData[[#this row],[team]],MatchData[total auto score])/MatchData[match count]</f>
        <v>#VALUE!</v>
      </c>
      <c r="BT172" s="16" t="e">
        <f aca="false">MatchData[challenge flag]*5</f>
        <v>#VALUE!</v>
      </c>
      <c r="BU172" s="16" t="e">
        <f aca="false">MatchData[climb flag]*15</f>
        <v>#VALUE!</v>
      </c>
      <c r="BV172" s="16" t="e">
        <f aca="false">SUM(MatchData[[#this row],[total goal score]],MatchData[[#this row],[crossing score]],MatchData[[#this row],[challenge score]],MatchData[[#this row],[climb score]],MatchData[[#this row],[total auto score]])</f>
        <v>#VALUE!</v>
      </c>
      <c r="BW172" s="16" t="e">
        <f aca="false">ROUND(SUMIF(MatchData[team],MatchData[[#this row],[team]],MatchData[teleop low goals])/COUNTIF(MatchData[team],MatchData[[#this row],[team]]),2)</f>
        <v>#VALUE!</v>
      </c>
      <c r="BX172" s="16" t="e">
        <f aca="false">ROUND(SUMIF(MatchData[team],MatchData[[#this row],[team]],MatchData[teleop high goals])/COUNTIF(MatchData[team],MatchData[[#this row],[team]]),2)</f>
        <v>#VALUE!</v>
      </c>
      <c r="BY172" s="16" t="e">
        <f aca="false">COUNTIF(MatchData[team],MatchData[[#this row],[team]])</f>
        <v>#VALUE!</v>
      </c>
      <c r="BZ172" s="16" t="e">
        <f aca="false">SUMIF(MatchData[team],MatchData[[#this row],[team]],MatchData[portcullis available])</f>
        <v>#VALUE!</v>
      </c>
      <c r="CA172" s="16" t="e">
        <f aca="false">SUMIF(MatchData[team],MatchData[[#this row],[team]],MatchData[cheval available])</f>
        <v>#VALUE!</v>
      </c>
      <c r="CB172" s="16" t="e">
        <f aca="false">SUMIF(MatchData[team],MatchData[[#this row],[team]],MatchData[moat available])</f>
        <v>#VALUE!</v>
      </c>
      <c r="CC172" s="16" t="e">
        <f aca="false">SUMIF(MatchData[team],MatchData[[#this row],[team]],MatchData[ramparts available])</f>
        <v>#VALUE!</v>
      </c>
      <c r="CD172" s="16" t="e">
        <f aca="false">SUMIF(MatchData[team],MatchData[[#this row],[team]],MatchData[drawbridge available])</f>
        <v>#VALUE!</v>
      </c>
      <c r="CE172" s="16" t="e">
        <f aca="false">SUMIF(MatchData[team],MatchData[[#this row],[team]],MatchData[sally port available])</f>
        <v>#VALUE!</v>
      </c>
      <c r="CF172" s="16" t="e">
        <f aca="false">SUMIF(MatchData[team],MatchData[[#this row],[team]],MatchData[rock wall available])</f>
        <v>#VALUE!</v>
      </c>
      <c r="CG172" s="16" t="e">
        <f aca="false">SUMIF(MatchData[team],MatchData[[#this row],[team]],MatchData[rough terrain available])</f>
        <v>#VALUE!</v>
      </c>
      <c r="CH172" s="16" t="e">
        <f aca="false">SUMIF(MatchData[team],MatchData[[#this row],[team]],MatchData[low bar available])</f>
        <v>#VALUE!</v>
      </c>
      <c r="CI172" s="16" t="e">
        <f aca="false">SUMIF(MatchData[team],MatchData[[#this row],[team]],MatchData[portcullis teleop crossings]:MatchData[portcullis scored crossings])</f>
        <v>#VALUE!</v>
      </c>
      <c r="CJ172" s="16" t="e">
        <f aca="false">SUMIF(MatchData[team],MatchData[[#this row],[team]],MatchData[cheval teleop crossings])+SUMIF(MatchData[team],MatchData[[#this row],[team]],MatchData[cheval scored crossings])</f>
        <v>#VALUE!</v>
      </c>
      <c r="CK172" s="16" t="e">
        <f aca="false">SUMIF(MatchData[team],MatchData[[#this row],[team]],MatchData[moat teleop crossings])+SUMIF(MatchData[team],MatchData[[#this row],[team]],MatchData[moat scored crosings])</f>
        <v>#VALUE!</v>
      </c>
      <c r="CL172" s="16" t="e">
        <f aca="false">SUMIF(MatchData[team],MatchData[[#this row],[team]],MatchData[ramparts teleop crossings])+SUMIF(MatchData[team],MatchData[[#this row],[team]],MatchData[ramparts scored crossings])</f>
        <v>#VALUE!</v>
      </c>
      <c r="CM172" s="16" t="e">
        <f aca="false">SUMIF(MatchData[team],MatchData[[#this row],[team]],MatchData[drawbridge teleop crossings])+SUMIF(MatchData[team],MatchData[[#this row],[team]],MatchData[drawbridge scored crossings])</f>
        <v>#VALUE!</v>
      </c>
      <c r="CN172" s="16" t="e">
        <f aca="false">SUMIF(MatchData[team],MatchData[[#this row],[team]],MatchData[sally port teleop crossings])+SUMIF(MatchData[team],MatchData[[#this row],[team]],MatchData[sally port scored crossings])</f>
        <v>#VALUE!</v>
      </c>
      <c r="CO172" s="16" t="e">
        <f aca="false">SUMIF(MatchData[team],MatchData[[#this row],[team]],MatchData[rock wall teleop crossings])+SUMIF(MatchData[team],MatchData[[#this row],[team]],MatchData[rock wall scored crossings])</f>
        <v>#VALUE!</v>
      </c>
      <c r="CP172" s="16" t="e">
        <f aca="false">SUMIF(MatchData[team],MatchData[[#this row],[team]],MatchData[rough terrain teleop crossings])+SUMIF(MatchData[team],MatchData[[#this row],[team]],MatchData[rough terrain scored crossings])</f>
        <v>#VALUE!</v>
      </c>
      <c r="CQ172" s="16" t="e">
        <f aca="false">SUMIF(MatchData[team],MatchData[[#this row],[team]],MatchData[low bar teleop crossings])+SUMIF(MatchData[team],MatchData[[#this row],[team]],MatchData[low bar scored crossings])</f>
        <v>#VALUE!</v>
      </c>
      <c r="CR172" s="16" t="e">
        <f aca="false">IFERROR(ROUND(MatchData[[#this row],[portcullis sum]]/MatchData[[#this row],[portcullis avail count]],2),0)</f>
        <v>#VALUE!</v>
      </c>
      <c r="CS172" s="16" t="e">
        <f aca="false">IFERROR(ROUND(MatchData[[#this row],[cheval sum]]/MatchData[[#this row],[cheval avail count]],2),0)</f>
        <v>#VALUE!</v>
      </c>
      <c r="CT172" s="16" t="e">
        <f aca="false">IFERROR(ROUND(MatchData[[#this row],[moat sum]]/MatchData[[#this row],[moat avail count]],2),0)</f>
        <v>#VALUE!</v>
      </c>
      <c r="CU172" s="16" t="e">
        <f aca="false">IFERROR(ROUND(MatchData[[#this row],[ramparts sum]]/MatchData[[#this row],[ramparts avail count]],2),0)</f>
        <v>#VALUE!</v>
      </c>
      <c r="CV172" s="16" t="e">
        <f aca="false">IFERROR(ROUND(MatchData[[#this row],[drawbridge sum]]/MatchData[[#this row],[drawbridge avail countigh6]],2),0)</f>
        <v>#VALUE!</v>
      </c>
      <c r="CW172" s="16" t="e">
        <f aca="false">IFERROR(ROUND(MatchData[[#this row],[sally port sum]]/MatchData[[#this row],[sally port avail count]],2),0)</f>
        <v>#VALUE!</v>
      </c>
      <c r="CX172" s="5" t="e">
        <f aca="false">IFERROR(ROUND(MatchData[[#this row],[rock wall sum]]/MatchData[[#this row],[rock wall avail count]],2),0)</f>
        <v>#VALUE!</v>
      </c>
      <c r="CY172" s="5" t="e">
        <f aca="false">IFERROR(ROUND(MatchData[[#this row],[rough terrain sum]]/MatchData[[#this row],[rough terrain avail count]],2),0)</f>
        <v>#VALUE!</v>
      </c>
      <c r="CZ172" s="5" t="e">
        <f aca="false">IFERROR(ROUND(MatchData[[#this row],[low bar sum]]/MatchData[[#this row],[low bar avail count]],2),0)</f>
        <v>#VALUE!</v>
      </c>
      <c r="DA172" s="16" t="e">
        <f aca="false">SUM(MatchData[[#this row],[cheval sum]:[low bar sum]])/MatchData[match count]</f>
        <v>#VALUE!</v>
      </c>
      <c r="DB172" s="16" t="n">
        <f aca="false">MAX(IF(C$2:C$74=C172,BP$2:BP$74))</f>
        <v>-1.79769313486232E+308</v>
      </c>
      <c r="DC172" s="16" t="e">
        <f aca="false">AVERAGEIF(MatchData[team],MatchData[[#this row],[team]],MatchData[total score])</f>
        <v>#VALUE!</v>
      </c>
      <c r="DD172" s="16" t="e">
        <f aca="false">ROUND(AVERAGEIF(MatchData[team],MatchData[team],MatchData[climb or challenge flag]),2)</f>
        <v>#VALUE!</v>
      </c>
    </row>
    <row r="173" customFormat="false" ht="14.5" hidden="false" customHeight="false" outlineLevel="0" collapsed="false">
      <c r="A173" s="13" t="s">
        <v>108</v>
      </c>
      <c r="B173" s="14" t="n">
        <v>29</v>
      </c>
      <c r="C173" s="15" t="n">
        <v>2811</v>
      </c>
      <c r="D173" s="5" t="s">
        <v>113</v>
      </c>
      <c r="E173" s="5" t="s">
        <v>111</v>
      </c>
      <c r="G173" s="16"/>
      <c r="I173" s="16"/>
      <c r="J173" s="5" t="n">
        <v>1</v>
      </c>
      <c r="K173" s="16"/>
      <c r="L173" s="5" t="n">
        <v>1</v>
      </c>
      <c r="N173" s="5" t="n">
        <v>1</v>
      </c>
      <c r="O173" s="5" t="n">
        <v>1</v>
      </c>
      <c r="P173" s="0"/>
      <c r="Q173" s="5" t="n">
        <v>1</v>
      </c>
      <c r="R173" s="0"/>
      <c r="S173" s="16" t="n">
        <v>1</v>
      </c>
      <c r="T173" s="0"/>
      <c r="U173" s="16"/>
      <c r="V173" s="16"/>
      <c r="W173" s="0"/>
      <c r="AD173" s="16"/>
      <c r="AE173" s="5"/>
      <c r="AF173" s="16"/>
      <c r="AG173" s="16"/>
      <c r="AH173" s="16"/>
      <c r="AJ173" s="16"/>
      <c r="AL173" s="16"/>
      <c r="AN173" s="16"/>
      <c r="AP173" s="16"/>
      <c r="AR173" s="16" t="n">
        <v>1</v>
      </c>
      <c r="AT173" s="16"/>
      <c r="AU173" s="16"/>
      <c r="AV173" s="16"/>
      <c r="AW173" s="16"/>
      <c r="AX173" s="16"/>
      <c r="AY173" s="16"/>
      <c r="AZ173" s="16" t="n">
        <v>1</v>
      </c>
      <c r="BB173" s="16" t="n">
        <v>1</v>
      </c>
      <c r="BC173" s="16" t="e">
        <f aca="false">MatchData[cheval scored crossings]*5</f>
        <v>#VALUE!</v>
      </c>
      <c r="BD173" s="16" t="e">
        <f aca="false">MatchData[moat scored crosings]*5</f>
        <v>#VALUE!</v>
      </c>
      <c r="BE173" s="16" t="e">
        <f aca="false">MatchData[ramparts scored crossings]*5</f>
        <v>#VALUE!</v>
      </c>
      <c r="BF173" s="16" t="e">
        <f aca="false">MatchData[drawbridge scored crossings]*5</f>
        <v>#VALUE!</v>
      </c>
      <c r="BG173" s="16" t="e">
        <f aca="false">MatchData[sally port scored crossings]*5</f>
        <v>#VALUE!</v>
      </c>
      <c r="BH173" s="16" t="e">
        <f aca="false">MatchData[rock wall scored crossings]*5</f>
        <v>#VALUE!</v>
      </c>
      <c r="BI173" s="16" t="e">
        <f aca="false">MatchData[rough terrain scored crossings]*5</f>
        <v>#VALUE!</v>
      </c>
      <c r="BJ173" s="16" t="e">
        <f aca="false">MatchData[low bar scored crossings]*5</f>
        <v>#VALUE!</v>
      </c>
      <c r="BK173" s="16" t="e">
        <f aca="false">SUM(MatchData[[#this row],[low bar teleop crossings]:[rough terrain scored crossings]])</f>
        <v>#VALUE!</v>
      </c>
      <c r="BL173" s="16" t="e">
        <f aca="false">IFERROR(IF(OR(MatchData[[#this row],[challenge flag]],MatchData[[#this row],[climb flag]]),1,0),0)</f>
        <v>#VALUE!</v>
      </c>
      <c r="BM173" s="16" t="e">
        <f aca="false">MatchData[auto high goals]*10+MatchData[teleop high goals]*5</f>
        <v>#VALUE!</v>
      </c>
      <c r="BN173" s="16" t="e">
        <f aca="false">MatchData[auto low goals]*5+MatchData[teleop low goals]*2</f>
        <v>#VALUE!</v>
      </c>
      <c r="BO173" s="16" t="e">
        <f aca="false">MatchData[high goal score]+MatchData[low goal score]</f>
        <v>#VALUE!</v>
      </c>
      <c r="BP173" s="16" t="e">
        <f aca="false">MatchData[teleop high goals]+MatchData[teleop low goals]</f>
        <v>#VALUE!</v>
      </c>
      <c r="BQ173" s="16" t="e">
        <f aca="false">MatchData[[#this row],[auto reach flag]]*2+SUM(MatchData[[#this row],[portcullis auto crossings]:[low bar auto crossings]])*10+MatchData[[#this row],[auto low goals]]*5+MatchData[auto high goals]*10</f>
        <v>#VALUE!</v>
      </c>
      <c r="BR173" s="16" t="e">
        <f aca="false">SUM(MatchData[[#this row],[cheval teleop crossing score]:[low bar teleop crossing score]])</f>
        <v>#VALUE!</v>
      </c>
      <c r="BS173" s="16" t="e">
        <f aca="false">SUMIF(MatchData[team],MatchData[[#this row],[team]],MatchData[total auto score])/MatchData[match count]</f>
        <v>#VALUE!</v>
      </c>
      <c r="BT173" s="16" t="e">
        <f aca="false">MatchData[challenge flag]*5</f>
        <v>#VALUE!</v>
      </c>
      <c r="BU173" s="16" t="e">
        <f aca="false">MatchData[climb flag]*15</f>
        <v>#VALUE!</v>
      </c>
      <c r="BV173" s="16" t="e">
        <f aca="false">SUM(MatchData[[#this row],[total goal score]],MatchData[[#this row],[crossing score]],MatchData[[#this row],[challenge score]],MatchData[[#this row],[climb score]],MatchData[[#this row],[total auto score]])</f>
        <v>#VALUE!</v>
      </c>
      <c r="BW173" s="16" t="e">
        <f aca="false">ROUND(SUMIF(MatchData[team],MatchData[[#this row],[team]],MatchData[teleop low goals])/COUNTIF(MatchData[team],MatchData[[#this row],[team]]),2)</f>
        <v>#VALUE!</v>
      </c>
      <c r="BX173" s="16" t="e">
        <f aca="false">ROUND(SUMIF(MatchData[team],MatchData[[#this row],[team]],MatchData[teleop high goals])/COUNTIF(MatchData[team],MatchData[[#this row],[team]]),2)</f>
        <v>#VALUE!</v>
      </c>
      <c r="BY173" s="16" t="e">
        <f aca="false">COUNTIF(MatchData[team],MatchData[[#this row],[team]])</f>
        <v>#VALUE!</v>
      </c>
      <c r="BZ173" s="16" t="e">
        <f aca="false">SUMIF(MatchData[team],MatchData[[#this row],[team]],MatchData[portcullis available])</f>
        <v>#VALUE!</v>
      </c>
      <c r="CA173" s="16" t="e">
        <f aca="false">SUMIF(MatchData[team],MatchData[[#this row],[team]],MatchData[cheval available])</f>
        <v>#VALUE!</v>
      </c>
      <c r="CB173" s="16" t="e">
        <f aca="false">SUMIF(MatchData[team],MatchData[[#this row],[team]],MatchData[moat available])</f>
        <v>#VALUE!</v>
      </c>
      <c r="CC173" s="16" t="e">
        <f aca="false">SUMIF(MatchData[team],MatchData[[#this row],[team]],MatchData[ramparts available])</f>
        <v>#VALUE!</v>
      </c>
      <c r="CD173" s="16" t="e">
        <f aca="false">SUMIF(MatchData[team],MatchData[[#this row],[team]],MatchData[drawbridge available])</f>
        <v>#VALUE!</v>
      </c>
      <c r="CE173" s="16" t="e">
        <f aca="false">SUMIF(MatchData[team],MatchData[[#this row],[team]],MatchData[sally port available])</f>
        <v>#VALUE!</v>
      </c>
      <c r="CF173" s="16" t="e">
        <f aca="false">SUMIF(MatchData[team],MatchData[[#this row],[team]],MatchData[rock wall available])</f>
        <v>#VALUE!</v>
      </c>
      <c r="CG173" s="16" t="e">
        <f aca="false">SUMIF(MatchData[team],MatchData[[#this row],[team]],MatchData[rough terrain available])</f>
        <v>#VALUE!</v>
      </c>
      <c r="CH173" s="16" t="e">
        <f aca="false">SUMIF(MatchData[team],MatchData[[#this row],[team]],MatchData[low bar available])</f>
        <v>#VALUE!</v>
      </c>
      <c r="CI173" s="16" t="e">
        <f aca="false">SUMIF(MatchData[team],MatchData[[#this row],[team]],MatchData[portcullis teleop crossings]:MatchData[portcullis scored crossings])</f>
        <v>#VALUE!</v>
      </c>
      <c r="CJ173" s="16" t="e">
        <f aca="false">SUMIF(MatchData[team],MatchData[[#this row],[team]],MatchData[cheval teleop crossings])+SUMIF(MatchData[team],MatchData[[#this row],[team]],MatchData[cheval scored crossings])</f>
        <v>#VALUE!</v>
      </c>
      <c r="CK173" s="16" t="e">
        <f aca="false">SUMIF(MatchData[team],MatchData[[#this row],[team]],MatchData[moat teleop crossings])+SUMIF(MatchData[team],MatchData[[#this row],[team]],MatchData[moat scored crosings])</f>
        <v>#VALUE!</v>
      </c>
      <c r="CL173" s="16" t="e">
        <f aca="false">SUMIF(MatchData[team],MatchData[[#this row],[team]],MatchData[ramparts teleop crossings])+SUMIF(MatchData[team],MatchData[[#this row],[team]],MatchData[ramparts scored crossings])</f>
        <v>#VALUE!</v>
      </c>
      <c r="CM173" s="16" t="e">
        <f aca="false">SUMIF(MatchData[team],MatchData[[#this row],[team]],MatchData[drawbridge teleop crossings])+SUMIF(MatchData[team],MatchData[[#this row],[team]],MatchData[drawbridge scored crossings])</f>
        <v>#VALUE!</v>
      </c>
      <c r="CN173" s="16" t="e">
        <f aca="false">SUMIF(MatchData[team],MatchData[[#this row],[team]],MatchData[sally port teleop crossings])+SUMIF(MatchData[team],MatchData[[#this row],[team]],MatchData[sally port scored crossings])</f>
        <v>#VALUE!</v>
      </c>
      <c r="CO173" s="16" t="e">
        <f aca="false">SUMIF(MatchData[team],MatchData[[#this row],[team]],MatchData[rock wall teleop crossings])+SUMIF(MatchData[team],MatchData[[#this row],[team]],MatchData[rock wall scored crossings])</f>
        <v>#VALUE!</v>
      </c>
      <c r="CP173" s="16" t="e">
        <f aca="false">SUMIF(MatchData[team],MatchData[[#this row],[team]],MatchData[rough terrain teleop crossings])+SUMIF(MatchData[team],MatchData[[#this row],[team]],MatchData[rough terrain scored crossings])</f>
        <v>#VALUE!</v>
      </c>
      <c r="CQ173" s="16" t="e">
        <f aca="false">SUMIF(MatchData[team],MatchData[[#this row],[team]],MatchData[low bar teleop crossings])+SUMIF(MatchData[team],MatchData[[#this row],[team]],MatchData[low bar scored crossings])</f>
        <v>#VALUE!</v>
      </c>
      <c r="CR173" s="16" t="e">
        <f aca="false">IFERROR(ROUND(MatchData[[#this row],[portcullis sum]]/MatchData[[#this row],[portcullis avail count]],2),0)</f>
        <v>#VALUE!</v>
      </c>
      <c r="CS173" s="16" t="e">
        <f aca="false">IFERROR(ROUND(MatchData[[#this row],[cheval sum]]/MatchData[[#this row],[cheval avail count]],2),0)</f>
        <v>#VALUE!</v>
      </c>
      <c r="CT173" s="16" t="e">
        <f aca="false">IFERROR(ROUND(MatchData[[#this row],[moat sum]]/MatchData[[#this row],[moat avail count]],2),0)</f>
        <v>#VALUE!</v>
      </c>
      <c r="CU173" s="16" t="e">
        <f aca="false">IFERROR(ROUND(MatchData[[#this row],[ramparts sum]]/MatchData[[#this row],[ramparts avail count]],2),0)</f>
        <v>#VALUE!</v>
      </c>
      <c r="CV173" s="16" t="e">
        <f aca="false">IFERROR(ROUND(MatchData[[#this row],[drawbridge sum]]/MatchData[[#this row],[drawbridge avail countigh6]],2),0)</f>
        <v>#VALUE!</v>
      </c>
      <c r="CW173" s="16" t="e">
        <f aca="false">IFERROR(ROUND(MatchData[[#this row],[sally port sum]]/MatchData[[#this row],[sally port avail count]],2),0)</f>
        <v>#VALUE!</v>
      </c>
      <c r="CX173" s="5" t="e">
        <f aca="false">IFERROR(ROUND(MatchData[[#this row],[rock wall sum]]/MatchData[[#this row],[rock wall avail count]],2),0)</f>
        <v>#VALUE!</v>
      </c>
      <c r="CY173" s="5" t="e">
        <f aca="false">IFERROR(ROUND(MatchData[[#this row],[rough terrain sum]]/MatchData[[#this row],[rough terrain avail count]],2),0)</f>
        <v>#VALUE!</v>
      </c>
      <c r="CZ173" s="5" t="e">
        <f aca="false">IFERROR(ROUND(MatchData[[#this row],[low bar sum]]/MatchData[[#this row],[low bar avail count]],2),0)</f>
        <v>#VALUE!</v>
      </c>
      <c r="DA173" s="16" t="e">
        <f aca="false">SUM(MatchData[[#this row],[cheval sum]:[low bar sum]])/MatchData[match count]</f>
        <v>#VALUE!</v>
      </c>
      <c r="DB173" s="16" t="n">
        <f aca="false">MAX(IF(C$2:C$74=C173,BP$2:BP$74))</f>
        <v>-1.79769313486232E+308</v>
      </c>
      <c r="DC173" s="16" t="e">
        <f aca="false">AVERAGEIF(MatchData[team],MatchData[[#this row],[team]],MatchData[total score])</f>
        <v>#VALUE!</v>
      </c>
      <c r="DD173" s="16" t="e">
        <f aca="false">ROUND(AVERAGEIF(MatchData[team],MatchData[team],MatchData[climb or challenge flag]),2)</f>
        <v>#VALUE!</v>
      </c>
    </row>
    <row r="174" customFormat="false" ht="14.5" hidden="false" customHeight="false" outlineLevel="0" collapsed="false">
      <c r="A174" s="17" t="s">
        <v>154</v>
      </c>
      <c r="B174" s="18" t="n">
        <v>29</v>
      </c>
      <c r="C174" s="15" t="n">
        <v>4488</v>
      </c>
      <c r="D174" s="5" t="s">
        <v>113</v>
      </c>
      <c r="E174" s="5" t="s">
        <v>112</v>
      </c>
      <c r="G174" s="16" t="n">
        <v>3</v>
      </c>
      <c r="I174" s="16"/>
      <c r="J174" s="0"/>
      <c r="K174" s="16" t="n">
        <v>1</v>
      </c>
      <c r="L174" s="5" t="n">
        <v>1</v>
      </c>
      <c r="N174" s="5" t="n">
        <v>1</v>
      </c>
      <c r="O174" s="5" t="n">
        <v>1</v>
      </c>
      <c r="P174" s="0"/>
      <c r="Q174" s="5" t="n">
        <v>1</v>
      </c>
      <c r="R174" s="0"/>
      <c r="S174" s="16" t="n">
        <v>1</v>
      </c>
      <c r="T174" s="0"/>
      <c r="U174" s="16"/>
      <c r="V174" s="16"/>
      <c r="W174" s="0"/>
      <c r="AD174" s="16" t="n">
        <v>2</v>
      </c>
      <c r="AE174" s="5"/>
      <c r="AF174" s="16"/>
      <c r="AG174" s="16"/>
      <c r="AH174" s="16" t="n">
        <v>1</v>
      </c>
      <c r="AJ174" s="16"/>
      <c r="AL174" s="16" t="n">
        <v>2</v>
      </c>
      <c r="AN174" s="16"/>
      <c r="AP174" s="16"/>
      <c r="AR174" s="16" t="n">
        <v>1</v>
      </c>
      <c r="AT174" s="16"/>
      <c r="AU174" s="16"/>
      <c r="AV174" s="16"/>
      <c r="AW174" s="16" t="n">
        <v>1</v>
      </c>
      <c r="AX174" s="16"/>
      <c r="AY174" s="16"/>
      <c r="AZ174" s="16"/>
      <c r="BB174" s="16" t="n">
        <v>1</v>
      </c>
      <c r="BC174" s="16" t="e">
        <f aca="false">MatchData[cheval scored crossings]*5</f>
        <v>#VALUE!</v>
      </c>
      <c r="BD174" s="16" t="e">
        <f aca="false">MatchData[moat scored crosings]*5</f>
        <v>#VALUE!</v>
      </c>
      <c r="BE174" s="16" t="e">
        <f aca="false">MatchData[ramparts scored crossings]*5</f>
        <v>#VALUE!</v>
      </c>
      <c r="BF174" s="16" t="e">
        <f aca="false">MatchData[drawbridge scored crossings]*5</f>
        <v>#VALUE!</v>
      </c>
      <c r="BG174" s="16" t="e">
        <f aca="false">MatchData[sally port scored crossings]*5</f>
        <v>#VALUE!</v>
      </c>
      <c r="BH174" s="16" t="e">
        <f aca="false">MatchData[rock wall scored crossings]*5</f>
        <v>#VALUE!</v>
      </c>
      <c r="BI174" s="16" t="e">
        <f aca="false">MatchData[rough terrain scored crossings]*5</f>
        <v>#VALUE!</v>
      </c>
      <c r="BJ174" s="16" t="e">
        <f aca="false">MatchData[low bar scored crossings]*5</f>
        <v>#VALUE!</v>
      </c>
      <c r="BK174" s="16" t="e">
        <f aca="false">SUM(MatchData[[#this row],[low bar teleop crossings]:[rough terrain scored crossings]])</f>
        <v>#VALUE!</v>
      </c>
      <c r="BL174" s="16" t="e">
        <f aca="false">IFERROR(IF(OR(MatchData[[#this row],[challenge flag]],MatchData[[#this row],[climb flag]]),1,0),0)</f>
        <v>#VALUE!</v>
      </c>
      <c r="BM174" s="16" t="e">
        <f aca="false">MatchData[auto high goals]*10+MatchData[teleop high goals]*5</f>
        <v>#VALUE!</v>
      </c>
      <c r="BN174" s="16" t="e">
        <f aca="false">MatchData[auto low goals]*5+MatchData[teleop low goals]*2</f>
        <v>#VALUE!</v>
      </c>
      <c r="BO174" s="16" t="e">
        <f aca="false">MatchData[high goal score]+MatchData[low goal score]</f>
        <v>#VALUE!</v>
      </c>
      <c r="BP174" s="16" t="e">
        <f aca="false">MatchData[teleop high goals]+MatchData[teleop low goals]</f>
        <v>#VALUE!</v>
      </c>
      <c r="BQ174" s="16" t="e">
        <f aca="false">MatchData[[#this row],[auto reach flag]]*2+SUM(MatchData[[#this row],[portcullis auto crossings]:[low bar auto crossings]])*10+MatchData[[#this row],[auto low goals]]*5+MatchData[auto high goals]*10</f>
        <v>#VALUE!</v>
      </c>
      <c r="BR174" s="16" t="e">
        <f aca="false">SUM(MatchData[[#this row],[cheval teleop crossing score]:[low bar teleop crossing score]])</f>
        <v>#VALUE!</v>
      </c>
      <c r="BS174" s="16" t="e">
        <f aca="false">SUMIF(MatchData[team],MatchData[[#this row],[team]],MatchData[total auto score])/MatchData[match count]</f>
        <v>#VALUE!</v>
      </c>
      <c r="BT174" s="16" t="e">
        <f aca="false">MatchData[challenge flag]*5</f>
        <v>#VALUE!</v>
      </c>
      <c r="BU174" s="16" t="e">
        <f aca="false">MatchData[climb flag]*15</f>
        <v>#VALUE!</v>
      </c>
      <c r="BV174" s="16" t="e">
        <f aca="false">SUM(MatchData[[#this row],[total goal score]],MatchData[[#this row],[crossing score]],MatchData[[#this row],[challenge score]],MatchData[[#this row],[climb score]],MatchData[[#this row],[total auto score]])</f>
        <v>#VALUE!</v>
      </c>
      <c r="BW174" s="16" t="e">
        <f aca="false">ROUND(SUMIF(MatchData[team],MatchData[[#this row],[team]],MatchData[teleop low goals])/COUNTIF(MatchData[team],MatchData[[#this row],[team]]),2)</f>
        <v>#VALUE!</v>
      </c>
      <c r="BX174" s="16" t="e">
        <f aca="false">ROUND(SUMIF(MatchData[team],MatchData[[#this row],[team]],MatchData[teleop high goals])/COUNTIF(MatchData[team],MatchData[[#this row],[team]]),2)</f>
        <v>#VALUE!</v>
      </c>
      <c r="BY174" s="16" t="e">
        <f aca="false">COUNTIF(MatchData[team],MatchData[[#this row],[team]])</f>
        <v>#VALUE!</v>
      </c>
      <c r="BZ174" s="16" t="e">
        <f aca="false">SUMIF(MatchData[team],MatchData[[#this row],[team]],MatchData[portcullis available])</f>
        <v>#VALUE!</v>
      </c>
      <c r="CA174" s="16" t="e">
        <f aca="false">SUMIF(MatchData[team],MatchData[[#this row],[team]],MatchData[cheval available])</f>
        <v>#VALUE!</v>
      </c>
      <c r="CB174" s="16" t="e">
        <f aca="false">SUMIF(MatchData[team],MatchData[[#this row],[team]],MatchData[moat available])</f>
        <v>#VALUE!</v>
      </c>
      <c r="CC174" s="16" t="e">
        <f aca="false">SUMIF(MatchData[team],MatchData[[#this row],[team]],MatchData[ramparts available])</f>
        <v>#VALUE!</v>
      </c>
      <c r="CD174" s="16" t="e">
        <f aca="false">SUMIF(MatchData[team],MatchData[[#this row],[team]],MatchData[drawbridge available])</f>
        <v>#VALUE!</v>
      </c>
      <c r="CE174" s="16" t="e">
        <f aca="false">SUMIF(MatchData[team],MatchData[[#this row],[team]],MatchData[sally port available])</f>
        <v>#VALUE!</v>
      </c>
      <c r="CF174" s="16" t="e">
        <f aca="false">SUMIF(MatchData[team],MatchData[[#this row],[team]],MatchData[rock wall available])</f>
        <v>#VALUE!</v>
      </c>
      <c r="CG174" s="16" t="e">
        <f aca="false">SUMIF(MatchData[team],MatchData[[#this row],[team]],MatchData[rough terrain available])</f>
        <v>#VALUE!</v>
      </c>
      <c r="CH174" s="16" t="e">
        <f aca="false">SUMIF(MatchData[team],MatchData[[#this row],[team]],MatchData[low bar available])</f>
        <v>#VALUE!</v>
      </c>
      <c r="CI174" s="16" t="e">
        <f aca="false">SUMIF(MatchData[team],MatchData[[#this row],[team]],MatchData[portcullis teleop crossings]:MatchData[portcullis scored crossings])</f>
        <v>#VALUE!</v>
      </c>
      <c r="CJ174" s="16" t="e">
        <f aca="false">SUMIF(MatchData[team],MatchData[[#this row],[team]],MatchData[cheval teleop crossings])+SUMIF(MatchData[team],MatchData[[#this row],[team]],MatchData[cheval scored crossings])</f>
        <v>#VALUE!</v>
      </c>
      <c r="CK174" s="16" t="e">
        <f aca="false">SUMIF(MatchData[team],MatchData[[#this row],[team]],MatchData[moat teleop crossings])+SUMIF(MatchData[team],MatchData[[#this row],[team]],MatchData[moat scored crosings])</f>
        <v>#VALUE!</v>
      </c>
      <c r="CL174" s="16" t="e">
        <f aca="false">SUMIF(MatchData[team],MatchData[[#this row],[team]],MatchData[ramparts teleop crossings])+SUMIF(MatchData[team],MatchData[[#this row],[team]],MatchData[ramparts scored crossings])</f>
        <v>#VALUE!</v>
      </c>
      <c r="CM174" s="16" t="e">
        <f aca="false">SUMIF(MatchData[team],MatchData[[#this row],[team]],MatchData[drawbridge teleop crossings])+SUMIF(MatchData[team],MatchData[[#this row],[team]],MatchData[drawbridge scored crossings])</f>
        <v>#VALUE!</v>
      </c>
      <c r="CN174" s="16" t="e">
        <f aca="false">SUMIF(MatchData[team],MatchData[[#this row],[team]],MatchData[sally port teleop crossings])+SUMIF(MatchData[team],MatchData[[#this row],[team]],MatchData[sally port scored crossings])</f>
        <v>#VALUE!</v>
      </c>
      <c r="CO174" s="16" t="e">
        <f aca="false">SUMIF(MatchData[team],MatchData[[#this row],[team]],MatchData[rock wall teleop crossings])+SUMIF(MatchData[team],MatchData[[#this row],[team]],MatchData[rock wall scored crossings])</f>
        <v>#VALUE!</v>
      </c>
      <c r="CP174" s="16" t="e">
        <f aca="false">SUMIF(MatchData[team],MatchData[[#this row],[team]],MatchData[rough terrain teleop crossings])+SUMIF(MatchData[team],MatchData[[#this row],[team]],MatchData[rough terrain scored crossings])</f>
        <v>#VALUE!</v>
      </c>
      <c r="CQ174" s="16" t="e">
        <f aca="false">SUMIF(MatchData[team],MatchData[[#this row],[team]],MatchData[low bar teleop crossings])+SUMIF(MatchData[team],MatchData[[#this row],[team]],MatchData[low bar scored crossings])</f>
        <v>#VALUE!</v>
      </c>
      <c r="CR174" s="16" t="e">
        <f aca="false">IFERROR(ROUND(MatchData[[#this row],[portcullis sum]]/MatchData[[#this row],[portcullis avail count]],2),0)</f>
        <v>#VALUE!</v>
      </c>
      <c r="CS174" s="16" t="e">
        <f aca="false">IFERROR(ROUND(MatchData[[#this row],[cheval sum]]/MatchData[[#this row],[cheval avail count]],2),0)</f>
        <v>#VALUE!</v>
      </c>
      <c r="CT174" s="16" t="e">
        <f aca="false">IFERROR(ROUND(MatchData[[#this row],[moat sum]]/MatchData[[#this row],[moat avail count]],2),0)</f>
        <v>#VALUE!</v>
      </c>
      <c r="CU174" s="16" t="e">
        <f aca="false">IFERROR(ROUND(MatchData[[#this row],[ramparts sum]]/MatchData[[#this row],[ramparts avail count]],2),0)</f>
        <v>#VALUE!</v>
      </c>
      <c r="CV174" s="16" t="e">
        <f aca="false">IFERROR(ROUND(MatchData[[#this row],[drawbridge sum]]/MatchData[[#this row],[drawbridge avail countigh6]],2),0)</f>
        <v>#VALUE!</v>
      </c>
      <c r="CW174" s="16" t="e">
        <f aca="false">IFERROR(ROUND(MatchData[[#this row],[sally port sum]]/MatchData[[#this row],[sally port avail count]],2),0)</f>
        <v>#VALUE!</v>
      </c>
      <c r="CX174" s="5" t="e">
        <f aca="false">IFERROR(ROUND(MatchData[[#this row],[rock wall sum]]/MatchData[[#this row],[rock wall avail count]],2),0)</f>
        <v>#VALUE!</v>
      </c>
      <c r="CY174" s="5" t="e">
        <f aca="false">IFERROR(ROUND(MatchData[[#this row],[rough terrain sum]]/MatchData[[#this row],[rough terrain avail count]],2),0)</f>
        <v>#VALUE!</v>
      </c>
      <c r="CZ174" s="5" t="e">
        <f aca="false">IFERROR(ROUND(MatchData[[#this row],[low bar sum]]/MatchData[[#this row],[low bar avail count]],2),0)</f>
        <v>#VALUE!</v>
      </c>
      <c r="DA174" s="16" t="e">
        <f aca="false">SUM(MatchData[[#this row],[cheval sum]:[low bar sum]])/MatchData[match count]</f>
        <v>#VALUE!</v>
      </c>
      <c r="DB174" s="16" t="n">
        <f aca="false">MAX(IF(C$2:C$74=C174,BP$2:BP$74))</f>
        <v>-1.79769313486232E+308</v>
      </c>
      <c r="DC174" s="16" t="e">
        <f aca="false">AVERAGEIF(MatchData[team],MatchData[[#this row],[team]],MatchData[total score])</f>
        <v>#VALUE!</v>
      </c>
      <c r="DD174" s="16" t="e">
        <f aca="false">ROUND(AVERAGEIF(MatchData[team],MatchData[team],MatchData[climb or challenge flag]),2)</f>
        <v>#VALUE!</v>
      </c>
    </row>
    <row r="175" customFormat="false" ht="14.5" hidden="false" customHeight="false" outlineLevel="0" collapsed="false">
      <c r="A175" s="17" t="s">
        <v>108</v>
      </c>
      <c r="B175" s="14" t="n">
        <v>29</v>
      </c>
      <c r="C175" s="15" t="n">
        <v>5975</v>
      </c>
      <c r="D175" s="5" t="s">
        <v>113</v>
      </c>
      <c r="E175" s="5" t="s">
        <v>149</v>
      </c>
      <c r="G175" s="16"/>
      <c r="I175" s="16"/>
      <c r="J175" s="5" t="n">
        <v>1</v>
      </c>
      <c r="K175" s="16"/>
      <c r="L175" s="5" t="n">
        <v>1</v>
      </c>
      <c r="N175" s="5" t="n">
        <v>1</v>
      </c>
      <c r="O175" s="5" t="n">
        <v>1</v>
      </c>
      <c r="P175" s="0"/>
      <c r="Q175" s="5" t="n">
        <v>1</v>
      </c>
      <c r="R175" s="0"/>
      <c r="S175" s="16"/>
      <c r="T175" s="0"/>
      <c r="U175" s="16"/>
      <c r="V175" s="16"/>
      <c r="W175" s="0"/>
      <c r="AB175" s="5" t="n">
        <v>1</v>
      </c>
      <c r="AD175" s="16" t="n">
        <v>2</v>
      </c>
      <c r="AE175" s="5"/>
      <c r="AF175" s="16"/>
      <c r="AG175" s="16"/>
      <c r="AH175" s="16"/>
      <c r="AJ175" s="16"/>
      <c r="AL175" s="16"/>
      <c r="AN175" s="16"/>
      <c r="AP175" s="16"/>
      <c r="AR175" s="16"/>
      <c r="AT175" s="16"/>
      <c r="AU175" s="16"/>
      <c r="AV175" s="16"/>
      <c r="AW175" s="16" t="n">
        <v>1</v>
      </c>
      <c r="AX175" s="16"/>
      <c r="AY175" s="16"/>
      <c r="AZ175" s="16"/>
      <c r="BB175" s="16" t="n">
        <v>1</v>
      </c>
      <c r="BC175" s="16" t="e">
        <f aca="false">MatchData[cheval scored crossings]*5</f>
        <v>#VALUE!</v>
      </c>
      <c r="BD175" s="16" t="e">
        <f aca="false">MatchData[moat scored crosings]*5</f>
        <v>#VALUE!</v>
      </c>
      <c r="BE175" s="16" t="e">
        <f aca="false">MatchData[ramparts scored crossings]*5</f>
        <v>#VALUE!</v>
      </c>
      <c r="BF175" s="16" t="e">
        <f aca="false">MatchData[drawbridge scored crossings]*5</f>
        <v>#VALUE!</v>
      </c>
      <c r="BG175" s="16" t="e">
        <f aca="false">MatchData[sally port scored crossings]*5</f>
        <v>#VALUE!</v>
      </c>
      <c r="BH175" s="16" t="e">
        <f aca="false">MatchData[rock wall scored crossings]*5</f>
        <v>#VALUE!</v>
      </c>
      <c r="BI175" s="16" t="e">
        <f aca="false">MatchData[rough terrain scored crossings]*5</f>
        <v>#VALUE!</v>
      </c>
      <c r="BJ175" s="16" t="e">
        <f aca="false">MatchData[low bar scored crossings]*5</f>
        <v>#VALUE!</v>
      </c>
      <c r="BK175" s="16" t="e">
        <f aca="false">SUM(MatchData[[#this row],[low bar teleop crossings]:[rough terrain scored crossings]])</f>
        <v>#VALUE!</v>
      </c>
      <c r="BL175" s="16" t="e">
        <f aca="false">IFERROR(IF(OR(MatchData[[#this row],[challenge flag]],MatchData[[#this row],[climb flag]]),1,0),0)</f>
        <v>#VALUE!</v>
      </c>
      <c r="BM175" s="16" t="e">
        <f aca="false">MatchData[auto high goals]*10+MatchData[teleop high goals]*5</f>
        <v>#VALUE!</v>
      </c>
      <c r="BN175" s="16" t="e">
        <f aca="false">MatchData[auto low goals]*5+MatchData[teleop low goals]*2</f>
        <v>#VALUE!</v>
      </c>
      <c r="BO175" s="16" t="e">
        <f aca="false">MatchData[high goal score]+MatchData[low goal score]</f>
        <v>#VALUE!</v>
      </c>
      <c r="BP175" s="16" t="e">
        <f aca="false">MatchData[teleop high goals]+MatchData[teleop low goals]</f>
        <v>#VALUE!</v>
      </c>
      <c r="BQ175" s="16" t="e">
        <f aca="false">MatchData[[#this row],[auto reach flag]]*2+SUM(MatchData[[#this row],[portcullis auto crossings]:[low bar auto crossings]])*10+MatchData[[#this row],[auto low goals]]*5+MatchData[auto high goals]*10</f>
        <v>#VALUE!</v>
      </c>
      <c r="BR175" s="16" t="e">
        <f aca="false">SUM(MatchData[[#this row],[cheval teleop crossing score]:[low bar teleop crossing score]])</f>
        <v>#VALUE!</v>
      </c>
      <c r="BS175" s="16" t="e">
        <f aca="false">SUMIF(MatchData[team],MatchData[[#this row],[team]],MatchData[total auto score])/MatchData[match count]</f>
        <v>#VALUE!</v>
      </c>
      <c r="BT175" s="16" t="e">
        <f aca="false">MatchData[challenge flag]*5</f>
        <v>#VALUE!</v>
      </c>
      <c r="BU175" s="16" t="e">
        <f aca="false">MatchData[climb flag]*15</f>
        <v>#VALUE!</v>
      </c>
      <c r="BV175" s="16" t="e">
        <f aca="false">SUM(MatchData[[#this row],[total goal score]],MatchData[[#this row],[crossing score]],MatchData[[#this row],[challenge score]],MatchData[[#this row],[climb score]],MatchData[[#this row],[total auto score]])</f>
        <v>#VALUE!</v>
      </c>
      <c r="BW175" s="16" t="e">
        <f aca="false">ROUND(SUMIF(MatchData[team],MatchData[[#this row],[team]],MatchData[teleop low goals])/COUNTIF(MatchData[team],MatchData[[#this row],[team]]),2)</f>
        <v>#VALUE!</v>
      </c>
      <c r="BX175" s="16" t="e">
        <f aca="false">ROUND(SUMIF(MatchData[team],MatchData[[#this row],[team]],MatchData[teleop high goals])/COUNTIF(MatchData[team],MatchData[[#this row],[team]]),2)</f>
        <v>#VALUE!</v>
      </c>
      <c r="BY175" s="16" t="e">
        <f aca="false">COUNTIF(MatchData[team],MatchData[[#this row],[team]])</f>
        <v>#VALUE!</v>
      </c>
      <c r="BZ175" s="16" t="e">
        <f aca="false">SUMIF(MatchData[team],MatchData[[#this row],[team]],MatchData[portcullis available])</f>
        <v>#VALUE!</v>
      </c>
      <c r="CA175" s="16" t="e">
        <f aca="false">SUMIF(MatchData[team],MatchData[[#this row],[team]],MatchData[cheval available])</f>
        <v>#VALUE!</v>
      </c>
      <c r="CB175" s="16" t="e">
        <f aca="false">SUMIF(MatchData[team],MatchData[[#this row],[team]],MatchData[moat available])</f>
        <v>#VALUE!</v>
      </c>
      <c r="CC175" s="16" t="e">
        <f aca="false">SUMIF(MatchData[team],MatchData[[#this row],[team]],MatchData[ramparts available])</f>
        <v>#VALUE!</v>
      </c>
      <c r="CD175" s="16" t="e">
        <f aca="false">SUMIF(MatchData[team],MatchData[[#this row],[team]],MatchData[drawbridge available])</f>
        <v>#VALUE!</v>
      </c>
      <c r="CE175" s="16" t="e">
        <f aca="false">SUMIF(MatchData[team],MatchData[[#this row],[team]],MatchData[sally port available])</f>
        <v>#VALUE!</v>
      </c>
      <c r="CF175" s="16" t="e">
        <f aca="false">SUMIF(MatchData[team],MatchData[[#this row],[team]],MatchData[rock wall available])</f>
        <v>#VALUE!</v>
      </c>
      <c r="CG175" s="16" t="e">
        <f aca="false">SUMIF(MatchData[team],MatchData[[#this row],[team]],MatchData[rough terrain available])</f>
        <v>#VALUE!</v>
      </c>
      <c r="CH175" s="16" t="e">
        <f aca="false">SUMIF(MatchData[team],MatchData[[#this row],[team]],MatchData[low bar available])</f>
        <v>#VALUE!</v>
      </c>
      <c r="CI175" s="16" t="e">
        <f aca="false">SUMIF(MatchData[team],MatchData[[#this row],[team]],MatchData[portcullis teleop crossings]:MatchData[portcullis scored crossings])</f>
        <v>#VALUE!</v>
      </c>
      <c r="CJ175" s="16" t="e">
        <f aca="false">SUMIF(MatchData[team],MatchData[[#this row],[team]],MatchData[cheval teleop crossings])+SUMIF(MatchData[team],MatchData[[#this row],[team]],MatchData[cheval scored crossings])</f>
        <v>#VALUE!</v>
      </c>
      <c r="CK175" s="16" t="e">
        <f aca="false">SUMIF(MatchData[team],MatchData[[#this row],[team]],MatchData[moat teleop crossings])+SUMIF(MatchData[team],MatchData[[#this row],[team]],MatchData[moat scored crosings])</f>
        <v>#VALUE!</v>
      </c>
      <c r="CL175" s="16" t="e">
        <f aca="false">SUMIF(MatchData[team],MatchData[[#this row],[team]],MatchData[ramparts teleop crossings])+SUMIF(MatchData[team],MatchData[[#this row],[team]],MatchData[ramparts scored crossings])</f>
        <v>#VALUE!</v>
      </c>
      <c r="CM175" s="16" t="e">
        <f aca="false">SUMIF(MatchData[team],MatchData[[#this row],[team]],MatchData[drawbridge teleop crossings])+SUMIF(MatchData[team],MatchData[[#this row],[team]],MatchData[drawbridge scored crossings])</f>
        <v>#VALUE!</v>
      </c>
      <c r="CN175" s="16" t="e">
        <f aca="false">SUMIF(MatchData[team],MatchData[[#this row],[team]],MatchData[sally port teleop crossings])+SUMIF(MatchData[team],MatchData[[#this row],[team]],MatchData[sally port scored crossings])</f>
        <v>#VALUE!</v>
      </c>
      <c r="CO175" s="16" t="e">
        <f aca="false">SUMIF(MatchData[team],MatchData[[#this row],[team]],MatchData[rock wall teleop crossings])+SUMIF(MatchData[team],MatchData[[#this row],[team]],MatchData[rock wall scored crossings])</f>
        <v>#VALUE!</v>
      </c>
      <c r="CP175" s="16" t="e">
        <f aca="false">SUMIF(MatchData[team],MatchData[[#this row],[team]],MatchData[rough terrain teleop crossings])+SUMIF(MatchData[team],MatchData[[#this row],[team]],MatchData[rough terrain scored crossings])</f>
        <v>#VALUE!</v>
      </c>
      <c r="CQ175" s="16" t="e">
        <f aca="false">SUMIF(MatchData[team],MatchData[[#this row],[team]],MatchData[low bar teleop crossings])+SUMIF(MatchData[team],MatchData[[#this row],[team]],MatchData[low bar scored crossings])</f>
        <v>#VALUE!</v>
      </c>
      <c r="CR175" s="16" t="e">
        <f aca="false">IFERROR(ROUND(MatchData[[#this row],[portcullis sum]]/MatchData[[#this row],[portcullis avail count]],2),0)</f>
        <v>#VALUE!</v>
      </c>
      <c r="CS175" s="16" t="e">
        <f aca="false">IFERROR(ROUND(MatchData[[#this row],[cheval sum]]/MatchData[[#this row],[cheval avail count]],2),0)</f>
        <v>#VALUE!</v>
      </c>
      <c r="CT175" s="16" t="e">
        <f aca="false">IFERROR(ROUND(MatchData[[#this row],[moat sum]]/MatchData[[#this row],[moat avail count]],2),0)</f>
        <v>#VALUE!</v>
      </c>
      <c r="CU175" s="16" t="e">
        <f aca="false">IFERROR(ROUND(MatchData[[#this row],[ramparts sum]]/MatchData[[#this row],[ramparts avail count]],2),0)</f>
        <v>#VALUE!</v>
      </c>
      <c r="CV175" s="16" t="e">
        <f aca="false">IFERROR(ROUND(MatchData[[#this row],[drawbridge sum]]/MatchData[[#this row],[drawbridge avail countigh6]],2),0)</f>
        <v>#VALUE!</v>
      </c>
      <c r="CW175" s="16" t="e">
        <f aca="false">IFERROR(ROUND(MatchData[[#this row],[sally port sum]]/MatchData[[#this row],[sally port avail count]],2),0)</f>
        <v>#VALUE!</v>
      </c>
      <c r="CX175" s="5" t="e">
        <f aca="false">IFERROR(ROUND(MatchData[[#this row],[rock wall sum]]/MatchData[[#this row],[rock wall avail count]],2),0)</f>
        <v>#VALUE!</v>
      </c>
      <c r="CY175" s="5" t="e">
        <f aca="false">IFERROR(ROUND(MatchData[[#this row],[rough terrain sum]]/MatchData[[#this row],[rough terrain avail count]],2),0)</f>
        <v>#VALUE!</v>
      </c>
      <c r="CZ175" s="5" t="e">
        <f aca="false">IFERROR(ROUND(MatchData[[#this row],[low bar sum]]/MatchData[[#this row],[low bar avail count]],2),0)</f>
        <v>#VALUE!</v>
      </c>
      <c r="DA175" s="16" t="e">
        <f aca="false">SUM(MatchData[[#this row],[cheval sum]:[low bar sum]])/MatchData[match count]</f>
        <v>#VALUE!</v>
      </c>
      <c r="DB175" s="16" t="n">
        <f aca="false">MAX(IF(C$2:C$74=C175,BP$2:BP$74))</f>
        <v>-1.79769313486232E+308</v>
      </c>
      <c r="DC175" s="16" t="e">
        <f aca="false">AVERAGEIF(MatchData[team],MatchData[[#this row],[team]],MatchData[total score])</f>
        <v>#VALUE!</v>
      </c>
      <c r="DD175" s="16" t="e">
        <f aca="false">ROUND(AVERAGEIF(MatchData[team],MatchData[team],MatchData[climb or challenge flag]),2)</f>
        <v>#VALUE!</v>
      </c>
    </row>
    <row r="176" customFormat="false" ht="14.5" hidden="false" customHeight="false" outlineLevel="0" collapsed="false">
      <c r="A176" s="20" t="s">
        <v>108</v>
      </c>
      <c r="B176" s="21" t="n">
        <v>30</v>
      </c>
      <c r="C176" s="15" t="n">
        <v>1510</v>
      </c>
      <c r="D176" s="5" t="s">
        <v>109</v>
      </c>
      <c r="E176" s="5" t="s">
        <v>110</v>
      </c>
      <c r="G176" s="16"/>
      <c r="I176" s="16"/>
      <c r="J176" s="5" t="n">
        <v>1</v>
      </c>
      <c r="K176" s="16"/>
      <c r="L176" s="5" t="n">
        <v>1</v>
      </c>
      <c r="N176" s="5" t="n">
        <v>1</v>
      </c>
      <c r="O176" s="0"/>
      <c r="P176" s="5" t="n">
        <v>1</v>
      </c>
      <c r="Q176" s="5" t="n">
        <v>1</v>
      </c>
      <c r="R176" s="0"/>
      <c r="S176" s="16"/>
      <c r="T176" s="0"/>
      <c r="U176" s="16"/>
      <c r="V176" s="16"/>
      <c r="W176" s="0"/>
      <c r="AD176" s="16"/>
      <c r="AE176" s="5"/>
      <c r="AF176" s="16"/>
      <c r="AG176" s="16"/>
      <c r="AH176" s="16" t="n">
        <v>1</v>
      </c>
      <c r="AJ176" s="16"/>
      <c r="AL176" s="16"/>
      <c r="AN176" s="16"/>
      <c r="AP176" s="16"/>
      <c r="AR176" s="16"/>
      <c r="AT176" s="16"/>
      <c r="AU176" s="16"/>
      <c r="AV176" s="16"/>
      <c r="AW176" s="16"/>
      <c r="AX176" s="16"/>
      <c r="AY176" s="16"/>
      <c r="AZ176" s="16" t="n">
        <v>1</v>
      </c>
      <c r="BB176" s="16" t="n">
        <v>1</v>
      </c>
      <c r="BC176" s="16" t="e">
        <f aca="false">MatchData[cheval scored crossings]*5</f>
        <v>#VALUE!</v>
      </c>
      <c r="BD176" s="16" t="e">
        <f aca="false">MatchData[moat scored crosings]*5</f>
        <v>#VALUE!</v>
      </c>
      <c r="BE176" s="16" t="e">
        <f aca="false">MatchData[ramparts scored crossings]*5</f>
        <v>#VALUE!</v>
      </c>
      <c r="BF176" s="16" t="e">
        <f aca="false">MatchData[drawbridge scored crossings]*5</f>
        <v>#VALUE!</v>
      </c>
      <c r="BG176" s="16" t="e">
        <f aca="false">MatchData[sally port scored crossings]*5</f>
        <v>#VALUE!</v>
      </c>
      <c r="BH176" s="16" t="e">
        <f aca="false">MatchData[rock wall scored crossings]*5</f>
        <v>#VALUE!</v>
      </c>
      <c r="BI176" s="16" t="e">
        <f aca="false">MatchData[rough terrain scored crossings]*5</f>
        <v>#VALUE!</v>
      </c>
      <c r="BJ176" s="16" t="e">
        <f aca="false">MatchData[low bar scored crossings]*5</f>
        <v>#VALUE!</v>
      </c>
      <c r="BK176" s="16" t="e">
        <f aca="false">SUM(MatchData[[#this row],[low bar teleop crossings]:[rough terrain scored crossings]])</f>
        <v>#VALUE!</v>
      </c>
      <c r="BL176" s="16" t="e">
        <f aca="false">IFERROR(IF(OR(MatchData[[#this row],[challenge flag]],MatchData[[#this row],[climb flag]]),1,0),0)</f>
        <v>#VALUE!</v>
      </c>
      <c r="BM176" s="16" t="e">
        <f aca="false">MatchData[auto high goals]*10+MatchData[teleop high goals]*5</f>
        <v>#VALUE!</v>
      </c>
      <c r="BN176" s="16" t="e">
        <f aca="false">MatchData[auto low goals]*5+MatchData[teleop low goals]*2</f>
        <v>#VALUE!</v>
      </c>
      <c r="BO176" s="16" t="e">
        <f aca="false">MatchData[high goal score]+MatchData[low goal score]</f>
        <v>#VALUE!</v>
      </c>
      <c r="BP176" s="16" t="e">
        <f aca="false">MatchData[teleop high goals]+MatchData[teleop low goals]</f>
        <v>#VALUE!</v>
      </c>
      <c r="BQ176" s="16" t="e">
        <f aca="false">MatchData[[#this row],[auto reach flag]]*2+SUM(MatchData[[#this row],[portcullis auto crossings]:[low bar auto crossings]])*10+MatchData[[#this row],[auto low goals]]*5+MatchData[auto high goals]*10</f>
        <v>#VALUE!</v>
      </c>
      <c r="BR176" s="16" t="e">
        <f aca="false">SUM(MatchData[[#this row],[cheval teleop crossing score]:[low bar teleop crossing score]])</f>
        <v>#VALUE!</v>
      </c>
      <c r="BS176" s="16" t="e">
        <f aca="false">SUMIF(MatchData[team],MatchData[[#this row],[team]],MatchData[total auto score])/MatchData[match count]</f>
        <v>#VALUE!</v>
      </c>
      <c r="BT176" s="16" t="e">
        <f aca="false">MatchData[challenge flag]*5</f>
        <v>#VALUE!</v>
      </c>
      <c r="BU176" s="16" t="e">
        <f aca="false">MatchData[climb flag]*15</f>
        <v>#VALUE!</v>
      </c>
      <c r="BV176" s="16" t="e">
        <f aca="false">SUM(MatchData[[#this row],[total goal score]],MatchData[[#this row],[crossing score]],MatchData[[#this row],[challenge score]],MatchData[[#this row],[climb score]],MatchData[[#this row],[total auto score]])</f>
        <v>#VALUE!</v>
      </c>
      <c r="BW176" s="16" t="e">
        <f aca="false">ROUND(SUMIF(MatchData[team],MatchData[[#this row],[team]],MatchData[teleop low goals])/COUNTIF(MatchData[team],MatchData[[#this row],[team]]),2)</f>
        <v>#VALUE!</v>
      </c>
      <c r="BX176" s="16" t="e">
        <f aca="false">ROUND(SUMIF(MatchData[team],MatchData[[#this row],[team]],MatchData[teleop high goals])/COUNTIF(MatchData[team],MatchData[[#this row],[team]]),2)</f>
        <v>#VALUE!</v>
      </c>
      <c r="BY176" s="16" t="e">
        <f aca="false">COUNTIF(MatchData[team],MatchData[[#this row],[team]])</f>
        <v>#VALUE!</v>
      </c>
      <c r="BZ176" s="16" t="e">
        <f aca="false">SUMIF(MatchData[team],MatchData[[#this row],[team]],MatchData[portcullis available])</f>
        <v>#VALUE!</v>
      </c>
      <c r="CA176" s="16" t="e">
        <f aca="false">SUMIF(MatchData[team],MatchData[[#this row],[team]],MatchData[cheval available])</f>
        <v>#VALUE!</v>
      </c>
      <c r="CB176" s="16" t="e">
        <f aca="false">SUMIF(MatchData[team],MatchData[[#this row],[team]],MatchData[moat available])</f>
        <v>#VALUE!</v>
      </c>
      <c r="CC176" s="16" t="e">
        <f aca="false">SUMIF(MatchData[team],MatchData[[#this row],[team]],MatchData[ramparts available])</f>
        <v>#VALUE!</v>
      </c>
      <c r="CD176" s="16" t="e">
        <f aca="false">SUMIF(MatchData[team],MatchData[[#this row],[team]],MatchData[drawbridge available])</f>
        <v>#VALUE!</v>
      </c>
      <c r="CE176" s="16" t="e">
        <f aca="false">SUMIF(MatchData[team],MatchData[[#this row],[team]],MatchData[sally port available])</f>
        <v>#VALUE!</v>
      </c>
      <c r="CF176" s="16" t="e">
        <f aca="false">SUMIF(MatchData[team],MatchData[[#this row],[team]],MatchData[rock wall available])</f>
        <v>#VALUE!</v>
      </c>
      <c r="CG176" s="16" t="e">
        <f aca="false">SUMIF(MatchData[team],MatchData[[#this row],[team]],MatchData[rough terrain available])</f>
        <v>#VALUE!</v>
      </c>
      <c r="CH176" s="16" t="e">
        <f aca="false">SUMIF(MatchData[team],MatchData[[#this row],[team]],MatchData[low bar available])</f>
        <v>#VALUE!</v>
      </c>
      <c r="CI176" s="16" t="e">
        <f aca="false">SUMIF(MatchData[team],MatchData[[#this row],[team]],MatchData[portcullis teleop crossings]:MatchData[portcullis scored crossings])</f>
        <v>#VALUE!</v>
      </c>
      <c r="CJ176" s="16" t="e">
        <f aca="false">SUMIF(MatchData[team],MatchData[[#this row],[team]],MatchData[cheval teleop crossings])+SUMIF(MatchData[team],MatchData[[#this row],[team]],MatchData[cheval scored crossings])</f>
        <v>#VALUE!</v>
      </c>
      <c r="CK176" s="16" t="e">
        <f aca="false">SUMIF(MatchData[team],MatchData[[#this row],[team]],MatchData[moat teleop crossings])+SUMIF(MatchData[team],MatchData[[#this row],[team]],MatchData[moat scored crosings])</f>
        <v>#VALUE!</v>
      </c>
      <c r="CL176" s="16" t="e">
        <f aca="false">SUMIF(MatchData[team],MatchData[[#this row],[team]],MatchData[ramparts teleop crossings])+SUMIF(MatchData[team],MatchData[[#this row],[team]],MatchData[ramparts scored crossings])</f>
        <v>#VALUE!</v>
      </c>
      <c r="CM176" s="16" t="e">
        <f aca="false">SUMIF(MatchData[team],MatchData[[#this row],[team]],MatchData[drawbridge teleop crossings])+SUMIF(MatchData[team],MatchData[[#this row],[team]],MatchData[drawbridge scored crossings])</f>
        <v>#VALUE!</v>
      </c>
      <c r="CN176" s="16" t="e">
        <f aca="false">SUMIF(MatchData[team],MatchData[[#this row],[team]],MatchData[sally port teleop crossings])+SUMIF(MatchData[team],MatchData[[#this row],[team]],MatchData[sally port scored crossings])</f>
        <v>#VALUE!</v>
      </c>
      <c r="CO176" s="16" t="e">
        <f aca="false">SUMIF(MatchData[team],MatchData[[#this row],[team]],MatchData[rock wall teleop crossings])+SUMIF(MatchData[team],MatchData[[#this row],[team]],MatchData[rock wall scored crossings])</f>
        <v>#VALUE!</v>
      </c>
      <c r="CP176" s="16" t="e">
        <f aca="false">SUMIF(MatchData[team],MatchData[[#this row],[team]],MatchData[rough terrain teleop crossings])+SUMIF(MatchData[team],MatchData[[#this row],[team]],MatchData[rough terrain scored crossings])</f>
        <v>#VALUE!</v>
      </c>
      <c r="CQ176" s="16" t="e">
        <f aca="false">SUMIF(MatchData[team],MatchData[[#this row],[team]],MatchData[low bar teleop crossings])+SUMIF(MatchData[team],MatchData[[#this row],[team]],MatchData[low bar scored crossings])</f>
        <v>#VALUE!</v>
      </c>
      <c r="CR176" s="16" t="e">
        <f aca="false">IFERROR(ROUND(MatchData[[#this row],[portcullis sum]]/MatchData[[#this row],[portcullis avail count]],2),0)</f>
        <v>#VALUE!</v>
      </c>
      <c r="CS176" s="16" t="e">
        <f aca="false">IFERROR(ROUND(MatchData[[#this row],[cheval sum]]/MatchData[[#this row],[cheval avail count]],2),0)</f>
        <v>#VALUE!</v>
      </c>
      <c r="CT176" s="16" t="e">
        <f aca="false">IFERROR(ROUND(MatchData[[#this row],[moat sum]]/MatchData[[#this row],[moat avail count]],2),0)</f>
        <v>#VALUE!</v>
      </c>
      <c r="CU176" s="16" t="e">
        <f aca="false">IFERROR(ROUND(MatchData[[#this row],[ramparts sum]]/MatchData[[#this row],[ramparts avail count]],2),0)</f>
        <v>#VALUE!</v>
      </c>
      <c r="CV176" s="16" t="e">
        <f aca="false">IFERROR(ROUND(MatchData[[#this row],[drawbridge sum]]/MatchData[[#this row],[drawbridge avail countigh6]],2),0)</f>
        <v>#VALUE!</v>
      </c>
      <c r="CW176" s="16" t="e">
        <f aca="false">IFERROR(ROUND(MatchData[[#this row],[sally port sum]]/MatchData[[#this row],[sally port avail count]],2),0)</f>
        <v>#VALUE!</v>
      </c>
      <c r="CX176" s="5" t="e">
        <f aca="false">IFERROR(ROUND(MatchData[[#this row],[rock wall sum]]/MatchData[[#this row],[rock wall avail count]],2),0)</f>
        <v>#VALUE!</v>
      </c>
      <c r="CY176" s="5" t="e">
        <f aca="false">IFERROR(ROUND(MatchData[[#this row],[rough terrain sum]]/MatchData[[#this row],[rough terrain avail count]],2),0)</f>
        <v>#VALUE!</v>
      </c>
      <c r="CZ176" s="5" t="e">
        <f aca="false">IFERROR(ROUND(MatchData[[#this row],[low bar sum]]/MatchData[[#this row],[low bar avail count]],2),0)</f>
        <v>#VALUE!</v>
      </c>
      <c r="DA176" s="16" t="e">
        <f aca="false">SUM(MatchData[[#this row],[cheval sum]:[low bar sum]])/MatchData[match count]</f>
        <v>#VALUE!</v>
      </c>
      <c r="DB176" s="16" t="n">
        <f aca="false">MAX(IF(C$2:C$74=C176,BP$2:BP$74))</f>
        <v>-1.79769313486232E+308</v>
      </c>
      <c r="DC176" s="16" t="e">
        <f aca="false">AVERAGEIF(MatchData[team],MatchData[[#this row],[team]],MatchData[total score])</f>
        <v>#VALUE!</v>
      </c>
      <c r="DD176" s="16" t="e">
        <f aca="false">ROUND(AVERAGEIF(MatchData[team],MatchData[team],MatchData[climb or challenge flag]),2)</f>
        <v>#VALUE!</v>
      </c>
    </row>
    <row r="177" customFormat="false" ht="14.5" hidden="false" customHeight="false" outlineLevel="0" collapsed="false">
      <c r="A177" s="20" t="s">
        <v>108</v>
      </c>
      <c r="B177" s="22" t="n">
        <v>30</v>
      </c>
      <c r="C177" s="15" t="n">
        <v>2635</v>
      </c>
      <c r="D177" s="5" t="s">
        <v>109</v>
      </c>
      <c r="E177" s="5" t="s">
        <v>118</v>
      </c>
      <c r="G177" s="16"/>
      <c r="I177" s="16"/>
      <c r="J177" s="5" t="n">
        <v>1</v>
      </c>
      <c r="K177" s="16"/>
      <c r="L177" s="5" t="n">
        <v>1</v>
      </c>
      <c r="N177" s="5" t="n">
        <v>1</v>
      </c>
      <c r="O177" s="0"/>
      <c r="P177" s="5" t="n">
        <v>1</v>
      </c>
      <c r="Q177" s="5" t="n">
        <v>1</v>
      </c>
      <c r="R177" s="0"/>
      <c r="S177" s="16"/>
      <c r="T177" s="0"/>
      <c r="U177" s="16"/>
      <c r="V177" s="16"/>
      <c r="W177" s="0"/>
      <c r="AD177" s="16"/>
      <c r="AE177" s="5"/>
      <c r="AF177" s="16"/>
      <c r="AG177" s="16"/>
      <c r="AH177" s="16"/>
      <c r="AJ177" s="16"/>
      <c r="AL177" s="16" t="n">
        <v>2</v>
      </c>
      <c r="AN177" s="16"/>
      <c r="AP177" s="16"/>
      <c r="AR177" s="16" t="n">
        <v>1</v>
      </c>
      <c r="AT177" s="16"/>
      <c r="AU177" s="16"/>
      <c r="AV177" s="16"/>
      <c r="AW177" s="16" t="n">
        <v>1</v>
      </c>
      <c r="AX177" s="16"/>
      <c r="AY177" s="16"/>
      <c r="AZ177" s="16"/>
      <c r="BB177" s="16" t="n">
        <v>1</v>
      </c>
      <c r="BC177" s="16" t="e">
        <f aca="false">MatchData[cheval scored crossings]*5</f>
        <v>#VALUE!</v>
      </c>
      <c r="BD177" s="16" t="e">
        <f aca="false">MatchData[moat scored crosings]*5</f>
        <v>#VALUE!</v>
      </c>
      <c r="BE177" s="16" t="e">
        <f aca="false">MatchData[ramparts scored crossings]*5</f>
        <v>#VALUE!</v>
      </c>
      <c r="BF177" s="16" t="e">
        <f aca="false">MatchData[drawbridge scored crossings]*5</f>
        <v>#VALUE!</v>
      </c>
      <c r="BG177" s="16" t="e">
        <f aca="false">MatchData[sally port scored crossings]*5</f>
        <v>#VALUE!</v>
      </c>
      <c r="BH177" s="16" t="e">
        <f aca="false">MatchData[rock wall scored crossings]*5</f>
        <v>#VALUE!</v>
      </c>
      <c r="BI177" s="16" t="e">
        <f aca="false">MatchData[rough terrain scored crossings]*5</f>
        <v>#VALUE!</v>
      </c>
      <c r="BJ177" s="16" t="e">
        <f aca="false">MatchData[low bar scored crossings]*5</f>
        <v>#VALUE!</v>
      </c>
      <c r="BK177" s="16" t="e">
        <f aca="false">SUM(MatchData[[#this row],[low bar teleop crossings]:[rough terrain scored crossings]])</f>
        <v>#VALUE!</v>
      </c>
      <c r="BL177" s="16" t="e">
        <f aca="false">IFERROR(IF(OR(MatchData[[#this row],[challenge flag]],MatchData[[#this row],[climb flag]]),1,0),0)</f>
        <v>#VALUE!</v>
      </c>
      <c r="BM177" s="16" t="e">
        <f aca="false">MatchData[auto high goals]*10+MatchData[teleop high goals]*5</f>
        <v>#VALUE!</v>
      </c>
      <c r="BN177" s="16" t="e">
        <f aca="false">MatchData[auto low goals]*5+MatchData[teleop low goals]*2</f>
        <v>#VALUE!</v>
      </c>
      <c r="BO177" s="16" t="e">
        <f aca="false">MatchData[high goal score]+MatchData[low goal score]</f>
        <v>#VALUE!</v>
      </c>
      <c r="BP177" s="16" t="e">
        <f aca="false">MatchData[teleop high goals]+MatchData[teleop low goals]</f>
        <v>#VALUE!</v>
      </c>
      <c r="BQ177" s="16" t="e">
        <f aca="false">MatchData[[#this row],[auto reach flag]]*2+SUM(MatchData[[#this row],[portcullis auto crossings]:[low bar auto crossings]])*10+MatchData[[#this row],[auto low goals]]*5+MatchData[auto high goals]*10</f>
        <v>#VALUE!</v>
      </c>
      <c r="BR177" s="16" t="e">
        <f aca="false">SUM(MatchData[[#this row],[cheval teleop crossing score]:[low bar teleop crossing score]])</f>
        <v>#VALUE!</v>
      </c>
      <c r="BS177" s="16" t="e">
        <f aca="false">SUMIF(MatchData[team],MatchData[[#this row],[team]],MatchData[total auto score])/MatchData[match count]</f>
        <v>#VALUE!</v>
      </c>
      <c r="BT177" s="16" t="e">
        <f aca="false">MatchData[challenge flag]*5</f>
        <v>#VALUE!</v>
      </c>
      <c r="BU177" s="16" t="e">
        <f aca="false">MatchData[climb flag]*15</f>
        <v>#VALUE!</v>
      </c>
      <c r="BV177" s="16" t="e">
        <f aca="false">SUM(MatchData[[#this row],[total goal score]],MatchData[[#this row],[crossing score]],MatchData[[#this row],[challenge score]],MatchData[[#this row],[climb score]],MatchData[[#this row],[total auto score]])</f>
        <v>#VALUE!</v>
      </c>
      <c r="BW177" s="16" t="e">
        <f aca="false">ROUND(SUMIF(MatchData[team],MatchData[[#this row],[team]],MatchData[teleop low goals])/COUNTIF(MatchData[team],MatchData[[#this row],[team]]),2)</f>
        <v>#VALUE!</v>
      </c>
      <c r="BX177" s="16" t="e">
        <f aca="false">ROUND(SUMIF(MatchData[team],MatchData[[#this row],[team]],MatchData[teleop high goals])/COUNTIF(MatchData[team],MatchData[[#this row],[team]]),2)</f>
        <v>#VALUE!</v>
      </c>
      <c r="BY177" s="16" t="e">
        <f aca="false">COUNTIF(MatchData[team],MatchData[[#this row],[team]])</f>
        <v>#VALUE!</v>
      </c>
      <c r="BZ177" s="16" t="e">
        <f aca="false">SUMIF(MatchData[team],MatchData[[#this row],[team]],MatchData[portcullis available])</f>
        <v>#VALUE!</v>
      </c>
      <c r="CA177" s="16" t="e">
        <f aca="false">SUMIF(MatchData[team],MatchData[[#this row],[team]],MatchData[cheval available])</f>
        <v>#VALUE!</v>
      </c>
      <c r="CB177" s="16" t="e">
        <f aca="false">SUMIF(MatchData[team],MatchData[[#this row],[team]],MatchData[moat available])</f>
        <v>#VALUE!</v>
      </c>
      <c r="CC177" s="16" t="e">
        <f aca="false">SUMIF(MatchData[team],MatchData[[#this row],[team]],MatchData[ramparts available])</f>
        <v>#VALUE!</v>
      </c>
      <c r="CD177" s="16" t="e">
        <f aca="false">SUMIF(MatchData[team],MatchData[[#this row],[team]],MatchData[drawbridge available])</f>
        <v>#VALUE!</v>
      </c>
      <c r="CE177" s="16" t="e">
        <f aca="false">SUMIF(MatchData[team],MatchData[[#this row],[team]],MatchData[sally port available])</f>
        <v>#VALUE!</v>
      </c>
      <c r="CF177" s="16" t="e">
        <f aca="false">SUMIF(MatchData[team],MatchData[[#this row],[team]],MatchData[rock wall available])</f>
        <v>#VALUE!</v>
      </c>
      <c r="CG177" s="16" t="e">
        <f aca="false">SUMIF(MatchData[team],MatchData[[#this row],[team]],MatchData[rough terrain available])</f>
        <v>#VALUE!</v>
      </c>
      <c r="CH177" s="16" t="e">
        <f aca="false">SUMIF(MatchData[team],MatchData[[#this row],[team]],MatchData[low bar available])</f>
        <v>#VALUE!</v>
      </c>
      <c r="CI177" s="16" t="e">
        <f aca="false">SUMIF(MatchData[team],MatchData[[#this row],[team]],MatchData[portcullis teleop crossings]:MatchData[portcullis scored crossings])</f>
        <v>#VALUE!</v>
      </c>
      <c r="CJ177" s="16" t="e">
        <f aca="false">SUMIF(MatchData[team],MatchData[[#this row],[team]],MatchData[cheval teleop crossings])+SUMIF(MatchData[team],MatchData[[#this row],[team]],MatchData[cheval scored crossings])</f>
        <v>#VALUE!</v>
      </c>
      <c r="CK177" s="16" t="e">
        <f aca="false">SUMIF(MatchData[team],MatchData[[#this row],[team]],MatchData[moat teleop crossings])+SUMIF(MatchData[team],MatchData[[#this row],[team]],MatchData[moat scored crosings])</f>
        <v>#VALUE!</v>
      </c>
      <c r="CL177" s="16" t="e">
        <f aca="false">SUMIF(MatchData[team],MatchData[[#this row],[team]],MatchData[ramparts teleop crossings])+SUMIF(MatchData[team],MatchData[[#this row],[team]],MatchData[ramparts scored crossings])</f>
        <v>#VALUE!</v>
      </c>
      <c r="CM177" s="16" t="e">
        <f aca="false">SUMIF(MatchData[team],MatchData[[#this row],[team]],MatchData[drawbridge teleop crossings])+SUMIF(MatchData[team],MatchData[[#this row],[team]],MatchData[drawbridge scored crossings])</f>
        <v>#VALUE!</v>
      </c>
      <c r="CN177" s="16" t="e">
        <f aca="false">SUMIF(MatchData[team],MatchData[[#this row],[team]],MatchData[sally port teleop crossings])+SUMIF(MatchData[team],MatchData[[#this row],[team]],MatchData[sally port scored crossings])</f>
        <v>#VALUE!</v>
      </c>
      <c r="CO177" s="16" t="e">
        <f aca="false">SUMIF(MatchData[team],MatchData[[#this row],[team]],MatchData[rock wall teleop crossings])+SUMIF(MatchData[team],MatchData[[#this row],[team]],MatchData[rock wall scored crossings])</f>
        <v>#VALUE!</v>
      </c>
      <c r="CP177" s="16" t="e">
        <f aca="false">SUMIF(MatchData[team],MatchData[[#this row],[team]],MatchData[rough terrain teleop crossings])+SUMIF(MatchData[team],MatchData[[#this row],[team]],MatchData[rough terrain scored crossings])</f>
        <v>#VALUE!</v>
      </c>
      <c r="CQ177" s="16" t="e">
        <f aca="false">SUMIF(MatchData[team],MatchData[[#this row],[team]],MatchData[low bar teleop crossings])+SUMIF(MatchData[team],MatchData[[#this row],[team]],MatchData[low bar scored crossings])</f>
        <v>#VALUE!</v>
      </c>
      <c r="CR177" s="16" t="e">
        <f aca="false">IFERROR(ROUND(MatchData[[#this row],[portcullis sum]]/MatchData[[#this row],[portcullis avail count]],2),0)</f>
        <v>#VALUE!</v>
      </c>
      <c r="CS177" s="16" t="e">
        <f aca="false">IFERROR(ROUND(MatchData[[#this row],[cheval sum]]/MatchData[[#this row],[cheval avail count]],2),0)</f>
        <v>#VALUE!</v>
      </c>
      <c r="CT177" s="16" t="e">
        <f aca="false">IFERROR(ROUND(MatchData[[#this row],[moat sum]]/MatchData[[#this row],[moat avail count]],2),0)</f>
        <v>#VALUE!</v>
      </c>
      <c r="CU177" s="16" t="e">
        <f aca="false">IFERROR(ROUND(MatchData[[#this row],[ramparts sum]]/MatchData[[#this row],[ramparts avail count]],2),0)</f>
        <v>#VALUE!</v>
      </c>
      <c r="CV177" s="16" t="e">
        <f aca="false">IFERROR(ROUND(MatchData[[#this row],[drawbridge sum]]/MatchData[[#this row],[drawbridge avail countigh6]],2),0)</f>
        <v>#VALUE!</v>
      </c>
      <c r="CW177" s="16" t="e">
        <f aca="false">IFERROR(ROUND(MatchData[[#this row],[sally port sum]]/MatchData[[#this row],[sally port avail count]],2),0)</f>
        <v>#VALUE!</v>
      </c>
      <c r="CX177" s="5" t="e">
        <f aca="false">IFERROR(ROUND(MatchData[[#this row],[rock wall sum]]/MatchData[[#this row],[rock wall avail count]],2),0)</f>
        <v>#VALUE!</v>
      </c>
      <c r="CY177" s="5" t="e">
        <f aca="false">IFERROR(ROUND(MatchData[[#this row],[rough terrain sum]]/MatchData[[#this row],[rough terrain avail count]],2),0)</f>
        <v>#VALUE!</v>
      </c>
      <c r="CZ177" s="5" t="e">
        <f aca="false">IFERROR(ROUND(MatchData[[#this row],[low bar sum]]/MatchData[[#this row],[low bar avail count]],2),0)</f>
        <v>#VALUE!</v>
      </c>
      <c r="DA177" s="16" t="e">
        <f aca="false">SUM(MatchData[[#this row],[cheval sum]:[low bar sum]])/MatchData[match count]</f>
        <v>#VALUE!</v>
      </c>
      <c r="DB177" s="16" t="n">
        <f aca="false">MAX(IF(C$2:C$74=C177,BP$2:BP$74))</f>
        <v>-1.79769313486232E+308</v>
      </c>
      <c r="DC177" s="16" t="e">
        <f aca="false">AVERAGEIF(MatchData[team],MatchData[[#this row],[team]],MatchData[total score])</f>
        <v>#VALUE!</v>
      </c>
      <c r="DD177" s="16" t="e">
        <f aca="false">ROUND(AVERAGEIF(MatchData[team],MatchData[team],MatchData[climb or challenge flag]),2)</f>
        <v>#VALUE!</v>
      </c>
    </row>
    <row r="178" customFormat="false" ht="14.5" hidden="false" customHeight="false" outlineLevel="0" collapsed="false">
      <c r="A178" s="20" t="s">
        <v>108</v>
      </c>
      <c r="B178" s="22" t="n">
        <v>30</v>
      </c>
      <c r="C178" s="15" t="n">
        <v>5970</v>
      </c>
      <c r="D178" s="5" t="s">
        <v>109</v>
      </c>
      <c r="E178" s="5" t="s">
        <v>153</v>
      </c>
      <c r="G178" s="16"/>
      <c r="I178" s="16"/>
      <c r="J178" s="5" t="n">
        <v>1</v>
      </c>
      <c r="K178" s="16"/>
      <c r="L178" s="5" t="n">
        <v>1</v>
      </c>
      <c r="N178" s="5" t="n">
        <v>1</v>
      </c>
      <c r="O178" s="0"/>
      <c r="P178" s="5" t="n">
        <v>1</v>
      </c>
      <c r="Q178" s="5" t="n">
        <v>1</v>
      </c>
      <c r="R178" s="0"/>
      <c r="S178" s="16"/>
      <c r="T178" s="0"/>
      <c r="U178" s="16"/>
      <c r="V178" s="16"/>
      <c r="W178" s="0"/>
      <c r="AD178" s="16"/>
      <c r="AE178" s="5"/>
      <c r="AF178" s="16"/>
      <c r="AG178" s="16"/>
      <c r="AH178" s="16" t="n">
        <v>1</v>
      </c>
      <c r="AJ178" s="16"/>
      <c r="AL178" s="16"/>
      <c r="AN178" s="16"/>
      <c r="AP178" s="16"/>
      <c r="AR178" s="16"/>
      <c r="AT178" s="16"/>
      <c r="AU178" s="16"/>
      <c r="AV178" s="16"/>
      <c r="AW178" s="16"/>
      <c r="AX178" s="16"/>
      <c r="AY178" s="16"/>
      <c r="AZ178" s="16"/>
      <c r="BB178" s="16" t="n">
        <v>1</v>
      </c>
      <c r="BC178" s="16" t="e">
        <f aca="false">MatchData[cheval scored crossings]*5</f>
        <v>#VALUE!</v>
      </c>
      <c r="BD178" s="16" t="e">
        <f aca="false">MatchData[moat scored crosings]*5</f>
        <v>#VALUE!</v>
      </c>
      <c r="BE178" s="16" t="e">
        <f aca="false">MatchData[ramparts scored crossings]*5</f>
        <v>#VALUE!</v>
      </c>
      <c r="BF178" s="16" t="e">
        <f aca="false">MatchData[drawbridge scored crossings]*5</f>
        <v>#VALUE!</v>
      </c>
      <c r="BG178" s="16" t="e">
        <f aca="false">MatchData[sally port scored crossings]*5</f>
        <v>#VALUE!</v>
      </c>
      <c r="BH178" s="16" t="e">
        <f aca="false">MatchData[rock wall scored crossings]*5</f>
        <v>#VALUE!</v>
      </c>
      <c r="BI178" s="16" t="e">
        <f aca="false">MatchData[rough terrain scored crossings]*5</f>
        <v>#VALUE!</v>
      </c>
      <c r="BJ178" s="16" t="e">
        <f aca="false">MatchData[low bar scored crossings]*5</f>
        <v>#VALUE!</v>
      </c>
      <c r="BK178" s="16" t="e">
        <f aca="false">SUM(MatchData[[#this row],[low bar teleop crossings]:[rough terrain scored crossings]])</f>
        <v>#VALUE!</v>
      </c>
      <c r="BL178" s="16" t="e">
        <f aca="false">IFERROR(IF(OR(MatchData[[#this row],[challenge flag]],MatchData[[#this row],[climb flag]]),1,0),0)</f>
        <v>#VALUE!</v>
      </c>
      <c r="BM178" s="16" t="e">
        <f aca="false">MatchData[auto high goals]*10+MatchData[teleop high goals]*5</f>
        <v>#VALUE!</v>
      </c>
      <c r="BN178" s="16" t="e">
        <f aca="false">MatchData[auto low goals]*5+MatchData[teleop low goals]*2</f>
        <v>#VALUE!</v>
      </c>
      <c r="BO178" s="16" t="e">
        <f aca="false">MatchData[high goal score]+MatchData[low goal score]</f>
        <v>#VALUE!</v>
      </c>
      <c r="BP178" s="16" t="e">
        <f aca="false">MatchData[teleop high goals]+MatchData[teleop low goals]</f>
        <v>#VALUE!</v>
      </c>
      <c r="BQ178" s="16" t="e">
        <f aca="false">MatchData[[#this row],[auto reach flag]]*2+SUM(MatchData[[#this row],[portcullis auto crossings]:[low bar auto crossings]])*10+MatchData[[#this row],[auto low goals]]*5+MatchData[auto high goals]*10</f>
        <v>#VALUE!</v>
      </c>
      <c r="BR178" s="16" t="e">
        <f aca="false">SUM(MatchData[[#this row],[cheval teleop crossing score]:[low bar teleop crossing score]])</f>
        <v>#VALUE!</v>
      </c>
      <c r="BS178" s="16" t="e">
        <f aca="false">SUMIF(MatchData[team],MatchData[[#this row],[team]],MatchData[total auto score])/MatchData[match count]</f>
        <v>#VALUE!</v>
      </c>
      <c r="BT178" s="16" t="e">
        <f aca="false">MatchData[challenge flag]*5</f>
        <v>#VALUE!</v>
      </c>
      <c r="BU178" s="16" t="e">
        <f aca="false">MatchData[climb flag]*15</f>
        <v>#VALUE!</v>
      </c>
      <c r="BV178" s="16" t="e">
        <f aca="false">SUM(MatchData[[#this row],[total goal score]],MatchData[[#this row],[crossing score]],MatchData[[#this row],[challenge score]],MatchData[[#this row],[climb score]],MatchData[[#this row],[total auto score]])</f>
        <v>#VALUE!</v>
      </c>
      <c r="BW178" s="16" t="e">
        <f aca="false">ROUND(SUMIF(MatchData[team],MatchData[[#this row],[team]],MatchData[teleop low goals])/COUNTIF(MatchData[team],MatchData[[#this row],[team]]),2)</f>
        <v>#VALUE!</v>
      </c>
      <c r="BX178" s="16" t="e">
        <f aca="false">ROUND(SUMIF(MatchData[team],MatchData[[#this row],[team]],MatchData[teleop high goals])/COUNTIF(MatchData[team],MatchData[[#this row],[team]]),2)</f>
        <v>#VALUE!</v>
      </c>
      <c r="BY178" s="16" t="e">
        <f aca="false">COUNTIF(MatchData[team],MatchData[[#this row],[team]])</f>
        <v>#VALUE!</v>
      </c>
      <c r="BZ178" s="16" t="e">
        <f aca="false">SUMIF(MatchData[team],MatchData[[#this row],[team]],MatchData[portcullis available])</f>
        <v>#VALUE!</v>
      </c>
      <c r="CA178" s="16" t="e">
        <f aca="false">SUMIF(MatchData[team],MatchData[[#this row],[team]],MatchData[cheval available])</f>
        <v>#VALUE!</v>
      </c>
      <c r="CB178" s="16" t="e">
        <f aca="false">SUMIF(MatchData[team],MatchData[[#this row],[team]],MatchData[moat available])</f>
        <v>#VALUE!</v>
      </c>
      <c r="CC178" s="16" t="e">
        <f aca="false">SUMIF(MatchData[team],MatchData[[#this row],[team]],MatchData[ramparts available])</f>
        <v>#VALUE!</v>
      </c>
      <c r="CD178" s="16" t="e">
        <f aca="false">SUMIF(MatchData[team],MatchData[[#this row],[team]],MatchData[drawbridge available])</f>
        <v>#VALUE!</v>
      </c>
      <c r="CE178" s="16" t="e">
        <f aca="false">SUMIF(MatchData[team],MatchData[[#this row],[team]],MatchData[sally port available])</f>
        <v>#VALUE!</v>
      </c>
      <c r="CF178" s="16" t="e">
        <f aca="false">SUMIF(MatchData[team],MatchData[[#this row],[team]],MatchData[rock wall available])</f>
        <v>#VALUE!</v>
      </c>
      <c r="CG178" s="16" t="e">
        <f aca="false">SUMIF(MatchData[team],MatchData[[#this row],[team]],MatchData[rough terrain available])</f>
        <v>#VALUE!</v>
      </c>
      <c r="CH178" s="16" t="e">
        <f aca="false">SUMIF(MatchData[team],MatchData[[#this row],[team]],MatchData[low bar available])</f>
        <v>#VALUE!</v>
      </c>
      <c r="CI178" s="16" t="e">
        <f aca="false">SUMIF(MatchData[team],MatchData[[#this row],[team]],MatchData[portcullis teleop crossings]:MatchData[portcullis scored crossings])</f>
        <v>#VALUE!</v>
      </c>
      <c r="CJ178" s="16" t="e">
        <f aca="false">SUMIF(MatchData[team],MatchData[[#this row],[team]],MatchData[cheval teleop crossings])+SUMIF(MatchData[team],MatchData[[#this row],[team]],MatchData[cheval scored crossings])</f>
        <v>#VALUE!</v>
      </c>
      <c r="CK178" s="16" t="e">
        <f aca="false">SUMIF(MatchData[team],MatchData[[#this row],[team]],MatchData[moat teleop crossings])+SUMIF(MatchData[team],MatchData[[#this row],[team]],MatchData[moat scored crosings])</f>
        <v>#VALUE!</v>
      </c>
      <c r="CL178" s="16" t="e">
        <f aca="false">SUMIF(MatchData[team],MatchData[[#this row],[team]],MatchData[ramparts teleop crossings])+SUMIF(MatchData[team],MatchData[[#this row],[team]],MatchData[ramparts scored crossings])</f>
        <v>#VALUE!</v>
      </c>
      <c r="CM178" s="16" t="e">
        <f aca="false">SUMIF(MatchData[team],MatchData[[#this row],[team]],MatchData[drawbridge teleop crossings])+SUMIF(MatchData[team],MatchData[[#this row],[team]],MatchData[drawbridge scored crossings])</f>
        <v>#VALUE!</v>
      </c>
      <c r="CN178" s="16" t="e">
        <f aca="false">SUMIF(MatchData[team],MatchData[[#this row],[team]],MatchData[sally port teleop crossings])+SUMIF(MatchData[team],MatchData[[#this row],[team]],MatchData[sally port scored crossings])</f>
        <v>#VALUE!</v>
      </c>
      <c r="CO178" s="16" t="e">
        <f aca="false">SUMIF(MatchData[team],MatchData[[#this row],[team]],MatchData[rock wall teleop crossings])+SUMIF(MatchData[team],MatchData[[#this row],[team]],MatchData[rock wall scored crossings])</f>
        <v>#VALUE!</v>
      </c>
      <c r="CP178" s="16" t="e">
        <f aca="false">SUMIF(MatchData[team],MatchData[[#this row],[team]],MatchData[rough terrain teleop crossings])+SUMIF(MatchData[team],MatchData[[#this row],[team]],MatchData[rough terrain scored crossings])</f>
        <v>#VALUE!</v>
      </c>
      <c r="CQ178" s="16" t="e">
        <f aca="false">SUMIF(MatchData[team],MatchData[[#this row],[team]],MatchData[low bar teleop crossings])+SUMIF(MatchData[team],MatchData[[#this row],[team]],MatchData[low bar scored crossings])</f>
        <v>#VALUE!</v>
      </c>
      <c r="CR178" s="16" t="e">
        <f aca="false">IFERROR(ROUND(MatchData[[#this row],[portcullis sum]]/MatchData[[#this row],[portcullis avail count]],2),0)</f>
        <v>#VALUE!</v>
      </c>
      <c r="CS178" s="16" t="e">
        <f aca="false">IFERROR(ROUND(MatchData[[#this row],[cheval sum]]/MatchData[[#this row],[cheval avail count]],2),0)</f>
        <v>#VALUE!</v>
      </c>
      <c r="CT178" s="16" t="e">
        <f aca="false">IFERROR(ROUND(MatchData[[#this row],[moat sum]]/MatchData[[#this row],[moat avail count]],2),0)</f>
        <v>#VALUE!</v>
      </c>
      <c r="CU178" s="16" t="e">
        <f aca="false">IFERROR(ROUND(MatchData[[#this row],[ramparts sum]]/MatchData[[#this row],[ramparts avail count]],2),0)</f>
        <v>#VALUE!</v>
      </c>
      <c r="CV178" s="16" t="e">
        <f aca="false">IFERROR(ROUND(MatchData[[#this row],[drawbridge sum]]/MatchData[[#this row],[drawbridge avail countigh6]],2),0)</f>
        <v>#VALUE!</v>
      </c>
      <c r="CW178" s="16" t="e">
        <f aca="false">IFERROR(ROUND(MatchData[[#this row],[sally port sum]]/MatchData[[#this row],[sally port avail count]],2),0)</f>
        <v>#VALUE!</v>
      </c>
      <c r="CX178" s="5" t="e">
        <f aca="false">IFERROR(ROUND(MatchData[[#this row],[rock wall sum]]/MatchData[[#this row],[rock wall avail count]],2),0)</f>
        <v>#VALUE!</v>
      </c>
      <c r="CY178" s="5" t="e">
        <f aca="false">IFERROR(ROUND(MatchData[[#this row],[rough terrain sum]]/MatchData[[#this row],[rough terrain avail count]],2),0)</f>
        <v>#VALUE!</v>
      </c>
      <c r="CZ178" s="5" t="e">
        <f aca="false">IFERROR(ROUND(MatchData[[#this row],[low bar sum]]/MatchData[[#this row],[low bar avail count]],2),0)</f>
        <v>#VALUE!</v>
      </c>
      <c r="DA178" s="16" t="e">
        <f aca="false">SUM(MatchData[[#this row],[cheval sum]:[low bar sum]])/MatchData[match count]</f>
        <v>#VALUE!</v>
      </c>
      <c r="DB178" s="16" t="n">
        <f aca="false">MAX(IF(C$2:C$74=C178,BP$2:BP$74))</f>
        <v>-1.79769313486232E+308</v>
      </c>
      <c r="DC178" s="16" t="e">
        <f aca="false">AVERAGEIF(MatchData[team],MatchData[[#this row],[team]],MatchData[total score])</f>
        <v>#VALUE!</v>
      </c>
      <c r="DD178" s="16" t="e">
        <f aca="false">ROUND(AVERAGEIF(MatchData[team],MatchData[team],MatchData[climb or challenge flag]),2)</f>
        <v>#VALUE!</v>
      </c>
    </row>
    <row r="179" customFormat="false" ht="14.5" hidden="false" customHeight="false" outlineLevel="0" collapsed="false">
      <c r="A179" s="20" t="s">
        <v>108</v>
      </c>
      <c r="B179" s="21" t="n">
        <v>30</v>
      </c>
      <c r="C179" s="15" t="n">
        <v>3711</v>
      </c>
      <c r="D179" s="5" t="s">
        <v>113</v>
      </c>
      <c r="E179" s="5" t="s">
        <v>111</v>
      </c>
      <c r="G179" s="16"/>
      <c r="I179" s="16"/>
      <c r="J179" s="5" t="n">
        <v>1</v>
      </c>
      <c r="K179" s="16"/>
      <c r="L179" s="5" t="n">
        <v>1</v>
      </c>
      <c r="M179" s="5" t="n">
        <v>1</v>
      </c>
      <c r="N179" s="0"/>
      <c r="O179" s="0"/>
      <c r="P179" s="5" t="n">
        <v>1</v>
      </c>
      <c r="Q179" s="5" t="n">
        <v>1</v>
      </c>
      <c r="R179" s="0"/>
      <c r="S179" s="16"/>
      <c r="T179" s="0"/>
      <c r="U179" s="16"/>
      <c r="V179" s="16"/>
      <c r="W179" s="0"/>
      <c r="AD179" s="16"/>
      <c r="AE179" s="5"/>
      <c r="AF179" s="16"/>
      <c r="AG179" s="16"/>
      <c r="AH179" s="16" t="n">
        <v>1</v>
      </c>
      <c r="AJ179" s="16"/>
      <c r="AL179" s="16"/>
      <c r="AN179" s="16"/>
      <c r="AP179" s="16" t="n">
        <v>1</v>
      </c>
      <c r="AR179" s="16" t="n">
        <v>2</v>
      </c>
      <c r="AT179" s="16"/>
      <c r="AU179" s="16"/>
      <c r="AV179" s="16"/>
      <c r="AW179" s="16" t="n">
        <v>1</v>
      </c>
      <c r="AX179" s="16"/>
      <c r="AY179" s="16"/>
      <c r="AZ179" s="16"/>
      <c r="BB179" s="16" t="n">
        <v>1</v>
      </c>
      <c r="BC179" s="16" t="e">
        <f aca="false">MatchData[cheval scored crossings]*5</f>
        <v>#VALUE!</v>
      </c>
      <c r="BD179" s="16" t="e">
        <f aca="false">MatchData[moat scored crosings]*5</f>
        <v>#VALUE!</v>
      </c>
      <c r="BE179" s="16" t="e">
        <f aca="false">MatchData[ramparts scored crossings]*5</f>
        <v>#VALUE!</v>
      </c>
      <c r="BF179" s="16" t="e">
        <f aca="false">MatchData[drawbridge scored crossings]*5</f>
        <v>#VALUE!</v>
      </c>
      <c r="BG179" s="16" t="e">
        <f aca="false">MatchData[sally port scored crossings]*5</f>
        <v>#VALUE!</v>
      </c>
      <c r="BH179" s="16" t="e">
        <f aca="false">MatchData[rock wall scored crossings]*5</f>
        <v>#VALUE!</v>
      </c>
      <c r="BI179" s="16" t="e">
        <f aca="false">MatchData[rough terrain scored crossings]*5</f>
        <v>#VALUE!</v>
      </c>
      <c r="BJ179" s="16" t="e">
        <f aca="false">MatchData[low bar scored crossings]*5</f>
        <v>#VALUE!</v>
      </c>
      <c r="BK179" s="16" t="e">
        <f aca="false">SUM(MatchData[[#this row],[low bar teleop crossings]:[rough terrain scored crossings]])</f>
        <v>#VALUE!</v>
      </c>
      <c r="BL179" s="16" t="e">
        <f aca="false">IFERROR(IF(OR(MatchData[[#this row],[challenge flag]],MatchData[[#this row],[climb flag]]),1,0),0)</f>
        <v>#VALUE!</v>
      </c>
      <c r="BM179" s="16" t="e">
        <f aca="false">MatchData[auto high goals]*10+MatchData[teleop high goals]*5</f>
        <v>#VALUE!</v>
      </c>
      <c r="BN179" s="16" t="e">
        <f aca="false">MatchData[auto low goals]*5+MatchData[teleop low goals]*2</f>
        <v>#VALUE!</v>
      </c>
      <c r="BO179" s="16" t="e">
        <f aca="false">MatchData[high goal score]+MatchData[low goal score]</f>
        <v>#VALUE!</v>
      </c>
      <c r="BP179" s="16" t="e">
        <f aca="false">MatchData[teleop high goals]+MatchData[teleop low goals]</f>
        <v>#VALUE!</v>
      </c>
      <c r="BQ179" s="16" t="e">
        <f aca="false">MatchData[[#this row],[auto reach flag]]*2+SUM(MatchData[[#this row],[portcullis auto crossings]:[low bar auto crossings]])*10+MatchData[[#this row],[auto low goals]]*5+MatchData[auto high goals]*10</f>
        <v>#VALUE!</v>
      </c>
      <c r="BR179" s="16" t="e">
        <f aca="false">SUM(MatchData[[#this row],[cheval teleop crossing score]:[low bar teleop crossing score]])</f>
        <v>#VALUE!</v>
      </c>
      <c r="BS179" s="16" t="e">
        <f aca="false">SUMIF(MatchData[team],MatchData[[#this row],[team]],MatchData[total auto score])/MatchData[match count]</f>
        <v>#VALUE!</v>
      </c>
      <c r="BT179" s="16" t="e">
        <f aca="false">MatchData[challenge flag]*5</f>
        <v>#VALUE!</v>
      </c>
      <c r="BU179" s="16" t="e">
        <f aca="false">MatchData[climb flag]*15</f>
        <v>#VALUE!</v>
      </c>
      <c r="BV179" s="16" t="e">
        <f aca="false">SUM(MatchData[[#this row],[total goal score]],MatchData[[#this row],[crossing score]],MatchData[[#this row],[challenge score]],MatchData[[#this row],[climb score]],MatchData[[#this row],[total auto score]])</f>
        <v>#VALUE!</v>
      </c>
      <c r="BW179" s="16" t="e">
        <f aca="false">ROUND(SUMIF(MatchData[team],MatchData[[#this row],[team]],MatchData[teleop low goals])/COUNTIF(MatchData[team],MatchData[[#this row],[team]]),2)</f>
        <v>#VALUE!</v>
      </c>
      <c r="BX179" s="16" t="e">
        <f aca="false">ROUND(SUMIF(MatchData[team],MatchData[[#this row],[team]],MatchData[teleop high goals])/COUNTIF(MatchData[team],MatchData[[#this row],[team]]),2)</f>
        <v>#VALUE!</v>
      </c>
      <c r="BY179" s="16" t="e">
        <f aca="false">COUNTIF(MatchData[team],MatchData[[#this row],[team]])</f>
        <v>#VALUE!</v>
      </c>
      <c r="BZ179" s="16" t="e">
        <f aca="false">SUMIF(MatchData[team],MatchData[[#this row],[team]],MatchData[portcullis available])</f>
        <v>#VALUE!</v>
      </c>
      <c r="CA179" s="16" t="e">
        <f aca="false">SUMIF(MatchData[team],MatchData[[#this row],[team]],MatchData[cheval available])</f>
        <v>#VALUE!</v>
      </c>
      <c r="CB179" s="16" t="e">
        <f aca="false">SUMIF(MatchData[team],MatchData[[#this row],[team]],MatchData[moat available])</f>
        <v>#VALUE!</v>
      </c>
      <c r="CC179" s="16" t="e">
        <f aca="false">SUMIF(MatchData[team],MatchData[[#this row],[team]],MatchData[ramparts available])</f>
        <v>#VALUE!</v>
      </c>
      <c r="CD179" s="16" t="e">
        <f aca="false">SUMIF(MatchData[team],MatchData[[#this row],[team]],MatchData[drawbridge available])</f>
        <v>#VALUE!</v>
      </c>
      <c r="CE179" s="16" t="e">
        <f aca="false">SUMIF(MatchData[team],MatchData[[#this row],[team]],MatchData[sally port available])</f>
        <v>#VALUE!</v>
      </c>
      <c r="CF179" s="16" t="e">
        <f aca="false">SUMIF(MatchData[team],MatchData[[#this row],[team]],MatchData[rock wall available])</f>
        <v>#VALUE!</v>
      </c>
      <c r="CG179" s="16" t="e">
        <f aca="false">SUMIF(MatchData[team],MatchData[[#this row],[team]],MatchData[rough terrain available])</f>
        <v>#VALUE!</v>
      </c>
      <c r="CH179" s="16" t="e">
        <f aca="false">SUMIF(MatchData[team],MatchData[[#this row],[team]],MatchData[low bar available])</f>
        <v>#VALUE!</v>
      </c>
      <c r="CI179" s="16" t="e">
        <f aca="false">SUMIF(MatchData[team],MatchData[[#this row],[team]],MatchData[portcullis teleop crossings]:MatchData[portcullis scored crossings])</f>
        <v>#VALUE!</v>
      </c>
      <c r="CJ179" s="16" t="e">
        <f aca="false">SUMIF(MatchData[team],MatchData[[#this row],[team]],MatchData[cheval teleop crossings])+SUMIF(MatchData[team],MatchData[[#this row],[team]],MatchData[cheval scored crossings])</f>
        <v>#VALUE!</v>
      </c>
      <c r="CK179" s="16" t="e">
        <f aca="false">SUMIF(MatchData[team],MatchData[[#this row],[team]],MatchData[moat teleop crossings])+SUMIF(MatchData[team],MatchData[[#this row],[team]],MatchData[moat scored crosings])</f>
        <v>#VALUE!</v>
      </c>
      <c r="CL179" s="16" t="e">
        <f aca="false">SUMIF(MatchData[team],MatchData[[#this row],[team]],MatchData[ramparts teleop crossings])+SUMIF(MatchData[team],MatchData[[#this row],[team]],MatchData[ramparts scored crossings])</f>
        <v>#VALUE!</v>
      </c>
      <c r="CM179" s="16" t="e">
        <f aca="false">SUMIF(MatchData[team],MatchData[[#this row],[team]],MatchData[drawbridge teleop crossings])+SUMIF(MatchData[team],MatchData[[#this row],[team]],MatchData[drawbridge scored crossings])</f>
        <v>#VALUE!</v>
      </c>
      <c r="CN179" s="16" t="e">
        <f aca="false">SUMIF(MatchData[team],MatchData[[#this row],[team]],MatchData[sally port teleop crossings])+SUMIF(MatchData[team],MatchData[[#this row],[team]],MatchData[sally port scored crossings])</f>
        <v>#VALUE!</v>
      </c>
      <c r="CO179" s="16" t="e">
        <f aca="false">SUMIF(MatchData[team],MatchData[[#this row],[team]],MatchData[rock wall teleop crossings])+SUMIF(MatchData[team],MatchData[[#this row],[team]],MatchData[rock wall scored crossings])</f>
        <v>#VALUE!</v>
      </c>
      <c r="CP179" s="16" t="e">
        <f aca="false">SUMIF(MatchData[team],MatchData[[#this row],[team]],MatchData[rough terrain teleop crossings])+SUMIF(MatchData[team],MatchData[[#this row],[team]],MatchData[rough terrain scored crossings])</f>
        <v>#VALUE!</v>
      </c>
      <c r="CQ179" s="16" t="e">
        <f aca="false">SUMIF(MatchData[team],MatchData[[#this row],[team]],MatchData[low bar teleop crossings])+SUMIF(MatchData[team],MatchData[[#this row],[team]],MatchData[low bar scored crossings])</f>
        <v>#VALUE!</v>
      </c>
      <c r="CR179" s="16" t="e">
        <f aca="false">IFERROR(ROUND(MatchData[[#this row],[portcullis sum]]/MatchData[[#this row],[portcullis avail count]],2),0)</f>
        <v>#VALUE!</v>
      </c>
      <c r="CS179" s="16" t="e">
        <f aca="false">IFERROR(ROUND(MatchData[[#this row],[cheval sum]]/MatchData[[#this row],[cheval avail count]],2),0)</f>
        <v>#VALUE!</v>
      </c>
      <c r="CT179" s="16" t="e">
        <f aca="false">IFERROR(ROUND(MatchData[[#this row],[moat sum]]/MatchData[[#this row],[moat avail count]],2),0)</f>
        <v>#VALUE!</v>
      </c>
      <c r="CU179" s="16" t="e">
        <f aca="false">IFERROR(ROUND(MatchData[[#this row],[ramparts sum]]/MatchData[[#this row],[ramparts avail count]],2),0)</f>
        <v>#VALUE!</v>
      </c>
      <c r="CV179" s="16" t="e">
        <f aca="false">IFERROR(ROUND(MatchData[[#this row],[drawbridge sum]]/MatchData[[#this row],[drawbridge avail countigh6]],2),0)</f>
        <v>#VALUE!</v>
      </c>
      <c r="CW179" s="16" t="e">
        <f aca="false">IFERROR(ROUND(MatchData[[#this row],[sally port sum]]/MatchData[[#this row],[sally port avail count]],2),0)</f>
        <v>#VALUE!</v>
      </c>
      <c r="CX179" s="5" t="e">
        <f aca="false">IFERROR(ROUND(MatchData[[#this row],[rock wall sum]]/MatchData[[#this row],[rock wall avail count]],2),0)</f>
        <v>#VALUE!</v>
      </c>
      <c r="CY179" s="5" t="e">
        <f aca="false">IFERROR(ROUND(MatchData[[#this row],[rough terrain sum]]/MatchData[[#this row],[rough terrain avail count]],2),0)</f>
        <v>#VALUE!</v>
      </c>
      <c r="CZ179" s="5" t="e">
        <f aca="false">IFERROR(ROUND(MatchData[[#this row],[low bar sum]]/MatchData[[#this row],[low bar avail count]],2),0)</f>
        <v>#VALUE!</v>
      </c>
      <c r="DA179" s="16" t="e">
        <f aca="false">SUM(MatchData[[#this row],[cheval sum]:[low bar sum]])/MatchData[match count]</f>
        <v>#VALUE!</v>
      </c>
      <c r="DB179" s="16" t="n">
        <f aca="false">MAX(IF(C$2:C$74=C179,BP$2:BP$74))</f>
        <v>-1.79769313486232E+308</v>
      </c>
      <c r="DC179" s="16" t="e">
        <f aca="false">AVERAGEIF(MatchData[team],MatchData[[#this row],[team]],MatchData[total score])</f>
        <v>#VALUE!</v>
      </c>
      <c r="DD179" s="16" t="e">
        <f aca="false">ROUND(AVERAGEIF(MatchData[team],MatchData[team],MatchData[climb or challenge flag]),2)</f>
        <v>#VALUE!</v>
      </c>
    </row>
    <row r="180" customFormat="false" ht="14.5" hidden="false" customHeight="false" outlineLevel="0" collapsed="false">
      <c r="A180" s="20" t="s">
        <v>108</v>
      </c>
      <c r="B180" s="22" t="n">
        <v>30</v>
      </c>
      <c r="C180" s="15" t="n">
        <v>4051</v>
      </c>
      <c r="D180" s="5" t="s">
        <v>113</v>
      </c>
      <c r="E180" s="5" t="s">
        <v>112</v>
      </c>
      <c r="G180" s="16"/>
      <c r="I180" s="16"/>
      <c r="J180" s="5" t="n">
        <v>1</v>
      </c>
      <c r="K180" s="16"/>
      <c r="L180" s="5" t="n">
        <v>1</v>
      </c>
      <c r="N180" s="5" t="n">
        <v>1</v>
      </c>
      <c r="O180" s="0"/>
      <c r="P180" s="5" t="n">
        <v>1</v>
      </c>
      <c r="Q180" s="5" t="n">
        <v>1</v>
      </c>
      <c r="R180" s="0"/>
      <c r="S180" s="16"/>
      <c r="T180" s="0"/>
      <c r="U180" s="16"/>
      <c r="V180" s="16"/>
      <c r="W180" s="0"/>
      <c r="AD180" s="16"/>
      <c r="AE180" s="5"/>
      <c r="AF180" s="16"/>
      <c r="AG180" s="16"/>
      <c r="AH180" s="16"/>
      <c r="AJ180" s="16"/>
      <c r="AL180" s="16"/>
      <c r="AN180" s="16"/>
      <c r="AP180" s="16"/>
      <c r="AR180" s="16" t="n">
        <v>1</v>
      </c>
      <c r="AT180" s="16"/>
      <c r="AU180" s="16"/>
      <c r="AV180" s="16"/>
      <c r="AW180" s="16"/>
      <c r="AX180" s="16"/>
      <c r="AY180" s="16"/>
      <c r="AZ180" s="16"/>
      <c r="BB180" s="16"/>
      <c r="BC180" s="16" t="e">
        <f aca="false">MatchData[cheval scored crossings]*5</f>
        <v>#VALUE!</v>
      </c>
      <c r="BD180" s="16" t="e">
        <f aca="false">MatchData[moat scored crosings]*5</f>
        <v>#VALUE!</v>
      </c>
      <c r="BE180" s="16" t="e">
        <f aca="false">MatchData[ramparts scored crossings]*5</f>
        <v>#VALUE!</v>
      </c>
      <c r="BF180" s="16" t="e">
        <f aca="false">MatchData[drawbridge scored crossings]*5</f>
        <v>#VALUE!</v>
      </c>
      <c r="BG180" s="16" t="e">
        <f aca="false">MatchData[sally port scored crossings]*5</f>
        <v>#VALUE!</v>
      </c>
      <c r="BH180" s="16" t="e">
        <f aca="false">MatchData[rock wall scored crossings]*5</f>
        <v>#VALUE!</v>
      </c>
      <c r="BI180" s="16" t="e">
        <f aca="false">MatchData[rough terrain scored crossings]*5</f>
        <v>#VALUE!</v>
      </c>
      <c r="BJ180" s="16" t="e">
        <f aca="false">MatchData[low bar scored crossings]*5</f>
        <v>#VALUE!</v>
      </c>
      <c r="BK180" s="16" t="e">
        <f aca="false">SUM(MatchData[[#this row],[low bar teleop crossings]:[rough terrain scored crossings]])</f>
        <v>#VALUE!</v>
      </c>
      <c r="BL180" s="16" t="e">
        <f aca="false">IFERROR(IF(OR(MatchData[[#this row],[challenge flag]],MatchData[[#this row],[climb flag]]),1,0),0)</f>
        <v>#VALUE!</v>
      </c>
      <c r="BM180" s="16" t="e">
        <f aca="false">MatchData[auto high goals]*10+MatchData[teleop high goals]*5</f>
        <v>#VALUE!</v>
      </c>
      <c r="BN180" s="16" t="e">
        <f aca="false">MatchData[auto low goals]*5+MatchData[teleop low goals]*2</f>
        <v>#VALUE!</v>
      </c>
      <c r="BO180" s="16" t="e">
        <f aca="false">MatchData[high goal score]+MatchData[low goal score]</f>
        <v>#VALUE!</v>
      </c>
      <c r="BP180" s="16" t="e">
        <f aca="false">MatchData[teleop high goals]+MatchData[teleop low goals]</f>
        <v>#VALUE!</v>
      </c>
      <c r="BQ180" s="16" t="e">
        <f aca="false">MatchData[[#this row],[auto reach flag]]*2+SUM(MatchData[[#this row],[portcullis auto crossings]:[low bar auto crossings]])*10+MatchData[[#this row],[auto low goals]]*5+MatchData[auto high goals]*10</f>
        <v>#VALUE!</v>
      </c>
      <c r="BR180" s="16" t="e">
        <f aca="false">SUM(MatchData[[#this row],[cheval teleop crossing score]:[low bar teleop crossing score]])</f>
        <v>#VALUE!</v>
      </c>
      <c r="BS180" s="16" t="e">
        <f aca="false">SUMIF(MatchData[team],MatchData[[#this row],[team]],MatchData[total auto score])/MatchData[match count]</f>
        <v>#VALUE!</v>
      </c>
      <c r="BT180" s="16" t="e">
        <f aca="false">MatchData[challenge flag]*5</f>
        <v>#VALUE!</v>
      </c>
      <c r="BU180" s="16" t="e">
        <f aca="false">MatchData[climb flag]*15</f>
        <v>#VALUE!</v>
      </c>
      <c r="BV180" s="16" t="e">
        <f aca="false">SUM(MatchData[[#this row],[total goal score]],MatchData[[#this row],[crossing score]],MatchData[[#this row],[challenge score]],MatchData[[#this row],[climb score]],MatchData[[#this row],[total auto score]])</f>
        <v>#VALUE!</v>
      </c>
      <c r="BW180" s="16" t="e">
        <f aca="false">ROUND(SUMIF(MatchData[team],MatchData[[#this row],[team]],MatchData[teleop low goals])/COUNTIF(MatchData[team],MatchData[[#this row],[team]]),2)</f>
        <v>#VALUE!</v>
      </c>
      <c r="BX180" s="16" t="e">
        <f aca="false">ROUND(SUMIF(MatchData[team],MatchData[[#this row],[team]],MatchData[teleop high goals])/COUNTIF(MatchData[team],MatchData[[#this row],[team]]),2)</f>
        <v>#VALUE!</v>
      </c>
      <c r="BY180" s="16" t="e">
        <f aca="false">COUNTIF(MatchData[team],MatchData[[#this row],[team]])</f>
        <v>#VALUE!</v>
      </c>
      <c r="BZ180" s="16" t="e">
        <f aca="false">SUMIF(MatchData[team],MatchData[[#this row],[team]],MatchData[portcullis available])</f>
        <v>#VALUE!</v>
      </c>
      <c r="CA180" s="16" t="e">
        <f aca="false">SUMIF(MatchData[team],MatchData[[#this row],[team]],MatchData[cheval available])</f>
        <v>#VALUE!</v>
      </c>
      <c r="CB180" s="16" t="e">
        <f aca="false">SUMIF(MatchData[team],MatchData[[#this row],[team]],MatchData[moat available])</f>
        <v>#VALUE!</v>
      </c>
      <c r="CC180" s="16" t="e">
        <f aca="false">SUMIF(MatchData[team],MatchData[[#this row],[team]],MatchData[ramparts available])</f>
        <v>#VALUE!</v>
      </c>
      <c r="CD180" s="16" t="e">
        <f aca="false">SUMIF(MatchData[team],MatchData[[#this row],[team]],MatchData[drawbridge available])</f>
        <v>#VALUE!</v>
      </c>
      <c r="CE180" s="16" t="e">
        <f aca="false">SUMIF(MatchData[team],MatchData[[#this row],[team]],MatchData[sally port available])</f>
        <v>#VALUE!</v>
      </c>
      <c r="CF180" s="16" t="e">
        <f aca="false">SUMIF(MatchData[team],MatchData[[#this row],[team]],MatchData[rock wall available])</f>
        <v>#VALUE!</v>
      </c>
      <c r="CG180" s="16" t="e">
        <f aca="false">SUMIF(MatchData[team],MatchData[[#this row],[team]],MatchData[rough terrain available])</f>
        <v>#VALUE!</v>
      </c>
      <c r="CH180" s="16" t="e">
        <f aca="false">SUMIF(MatchData[team],MatchData[[#this row],[team]],MatchData[low bar available])</f>
        <v>#VALUE!</v>
      </c>
      <c r="CI180" s="16" t="e">
        <f aca="false">SUMIF(MatchData[team],MatchData[[#this row],[team]],MatchData[portcullis teleop crossings]:MatchData[portcullis scored crossings])</f>
        <v>#VALUE!</v>
      </c>
      <c r="CJ180" s="16" t="e">
        <f aca="false">SUMIF(MatchData[team],MatchData[[#this row],[team]],MatchData[cheval teleop crossings])+SUMIF(MatchData[team],MatchData[[#this row],[team]],MatchData[cheval scored crossings])</f>
        <v>#VALUE!</v>
      </c>
      <c r="CK180" s="16" t="e">
        <f aca="false">SUMIF(MatchData[team],MatchData[[#this row],[team]],MatchData[moat teleop crossings])+SUMIF(MatchData[team],MatchData[[#this row],[team]],MatchData[moat scored crosings])</f>
        <v>#VALUE!</v>
      </c>
      <c r="CL180" s="16" t="e">
        <f aca="false">SUMIF(MatchData[team],MatchData[[#this row],[team]],MatchData[ramparts teleop crossings])+SUMIF(MatchData[team],MatchData[[#this row],[team]],MatchData[ramparts scored crossings])</f>
        <v>#VALUE!</v>
      </c>
      <c r="CM180" s="16" t="e">
        <f aca="false">SUMIF(MatchData[team],MatchData[[#this row],[team]],MatchData[drawbridge teleop crossings])+SUMIF(MatchData[team],MatchData[[#this row],[team]],MatchData[drawbridge scored crossings])</f>
        <v>#VALUE!</v>
      </c>
      <c r="CN180" s="16" t="e">
        <f aca="false">SUMIF(MatchData[team],MatchData[[#this row],[team]],MatchData[sally port teleop crossings])+SUMIF(MatchData[team],MatchData[[#this row],[team]],MatchData[sally port scored crossings])</f>
        <v>#VALUE!</v>
      </c>
      <c r="CO180" s="16" t="e">
        <f aca="false">SUMIF(MatchData[team],MatchData[[#this row],[team]],MatchData[rock wall teleop crossings])+SUMIF(MatchData[team],MatchData[[#this row],[team]],MatchData[rock wall scored crossings])</f>
        <v>#VALUE!</v>
      </c>
      <c r="CP180" s="16" t="e">
        <f aca="false">SUMIF(MatchData[team],MatchData[[#this row],[team]],MatchData[rough terrain teleop crossings])+SUMIF(MatchData[team],MatchData[[#this row],[team]],MatchData[rough terrain scored crossings])</f>
        <v>#VALUE!</v>
      </c>
      <c r="CQ180" s="16" t="e">
        <f aca="false">SUMIF(MatchData[team],MatchData[[#this row],[team]],MatchData[low bar teleop crossings])+SUMIF(MatchData[team],MatchData[[#this row],[team]],MatchData[low bar scored crossings])</f>
        <v>#VALUE!</v>
      </c>
      <c r="CR180" s="16" t="e">
        <f aca="false">IFERROR(ROUND(MatchData[[#this row],[portcullis sum]]/MatchData[[#this row],[portcullis avail count]],2),0)</f>
        <v>#VALUE!</v>
      </c>
      <c r="CS180" s="16" t="e">
        <f aca="false">IFERROR(ROUND(MatchData[[#this row],[cheval sum]]/MatchData[[#this row],[cheval avail count]],2),0)</f>
        <v>#VALUE!</v>
      </c>
      <c r="CT180" s="16" t="e">
        <f aca="false">IFERROR(ROUND(MatchData[[#this row],[moat sum]]/MatchData[[#this row],[moat avail count]],2),0)</f>
        <v>#VALUE!</v>
      </c>
      <c r="CU180" s="16" t="e">
        <f aca="false">IFERROR(ROUND(MatchData[[#this row],[ramparts sum]]/MatchData[[#this row],[ramparts avail count]],2),0)</f>
        <v>#VALUE!</v>
      </c>
      <c r="CV180" s="16" t="e">
        <f aca="false">IFERROR(ROUND(MatchData[[#this row],[drawbridge sum]]/MatchData[[#this row],[drawbridge avail countigh6]],2),0)</f>
        <v>#VALUE!</v>
      </c>
      <c r="CW180" s="16" t="e">
        <f aca="false">IFERROR(ROUND(MatchData[[#this row],[sally port sum]]/MatchData[[#this row],[sally port avail count]],2),0)</f>
        <v>#VALUE!</v>
      </c>
      <c r="CX180" s="5" t="e">
        <f aca="false">IFERROR(ROUND(MatchData[[#this row],[rock wall sum]]/MatchData[[#this row],[rock wall avail count]],2),0)</f>
        <v>#VALUE!</v>
      </c>
      <c r="CY180" s="5" t="e">
        <f aca="false">IFERROR(ROUND(MatchData[[#this row],[rough terrain sum]]/MatchData[[#this row],[rough terrain avail count]],2),0)</f>
        <v>#VALUE!</v>
      </c>
      <c r="CZ180" s="5" t="e">
        <f aca="false">IFERROR(ROUND(MatchData[[#this row],[low bar sum]]/MatchData[[#this row],[low bar avail count]],2),0)</f>
        <v>#VALUE!</v>
      </c>
      <c r="DA180" s="16" t="e">
        <f aca="false">SUM(MatchData[[#this row],[cheval sum]:[low bar sum]])/MatchData[match count]</f>
        <v>#VALUE!</v>
      </c>
      <c r="DB180" s="16" t="n">
        <f aca="false">MAX(IF(C$2:C$74=C180,BP$2:BP$74))</f>
        <v>-1.79769313486232E+308</v>
      </c>
      <c r="DC180" s="16" t="e">
        <f aca="false">AVERAGEIF(MatchData[team],MatchData[[#this row],[team]],MatchData[total score])</f>
        <v>#VALUE!</v>
      </c>
      <c r="DD180" s="16" t="e">
        <f aca="false">ROUND(AVERAGEIF(MatchData[team],MatchData[team],MatchData[climb or challenge flag]),2)</f>
        <v>#VALUE!</v>
      </c>
    </row>
    <row r="181" customFormat="false" ht="14.5" hidden="false" customHeight="false" outlineLevel="0" collapsed="false">
      <c r="A181" s="20" t="s">
        <v>108</v>
      </c>
      <c r="B181" s="21" t="n">
        <v>30</v>
      </c>
      <c r="C181" s="15" t="n">
        <v>4662</v>
      </c>
      <c r="D181" s="5" t="s">
        <v>113</v>
      </c>
      <c r="E181" s="5" t="s">
        <v>149</v>
      </c>
      <c r="G181" s="16"/>
      <c r="I181" s="16"/>
      <c r="J181" s="5" t="n">
        <v>1</v>
      </c>
      <c r="K181" s="16"/>
      <c r="L181" s="5" t="n">
        <v>1</v>
      </c>
      <c r="M181" s="5" t="n">
        <v>1</v>
      </c>
      <c r="N181" s="0"/>
      <c r="O181" s="0"/>
      <c r="P181" s="5" t="n">
        <v>1</v>
      </c>
      <c r="Q181" s="5" t="n">
        <v>1</v>
      </c>
      <c r="R181" s="0"/>
      <c r="S181" s="16"/>
      <c r="T181" s="0"/>
      <c r="U181" s="16"/>
      <c r="V181" s="16"/>
      <c r="W181" s="0"/>
      <c r="AB181" s="5" t="n">
        <v>1</v>
      </c>
      <c r="AD181" s="16" t="n">
        <v>1</v>
      </c>
      <c r="AE181" s="5"/>
      <c r="AF181" s="16"/>
      <c r="AG181" s="16"/>
      <c r="AH181" s="16" t="n">
        <v>2</v>
      </c>
      <c r="AI181" s="5" t="n">
        <v>1</v>
      </c>
      <c r="AJ181" s="16"/>
      <c r="AL181" s="16"/>
      <c r="AN181" s="16"/>
      <c r="AP181" s="16"/>
      <c r="AR181" s="16"/>
      <c r="AT181" s="16"/>
      <c r="AU181" s="16"/>
      <c r="AV181" s="16" t="n">
        <v>1</v>
      </c>
      <c r="AW181" s="16"/>
      <c r="AX181" s="16"/>
      <c r="AY181" s="16"/>
      <c r="AZ181" s="16"/>
      <c r="BB181" s="16"/>
      <c r="BC181" s="16" t="e">
        <f aca="false">MatchData[cheval scored crossings]*5</f>
        <v>#VALUE!</v>
      </c>
      <c r="BD181" s="16" t="e">
        <f aca="false">MatchData[moat scored crosings]*5</f>
        <v>#VALUE!</v>
      </c>
      <c r="BE181" s="16" t="e">
        <f aca="false">MatchData[ramparts scored crossings]*5</f>
        <v>#VALUE!</v>
      </c>
      <c r="BF181" s="16" t="e">
        <f aca="false">MatchData[drawbridge scored crossings]*5</f>
        <v>#VALUE!</v>
      </c>
      <c r="BG181" s="16" t="e">
        <f aca="false">MatchData[sally port scored crossings]*5</f>
        <v>#VALUE!</v>
      </c>
      <c r="BH181" s="16" t="e">
        <f aca="false">MatchData[rock wall scored crossings]*5</f>
        <v>#VALUE!</v>
      </c>
      <c r="BI181" s="16" t="e">
        <f aca="false">MatchData[rough terrain scored crossings]*5</f>
        <v>#VALUE!</v>
      </c>
      <c r="BJ181" s="16" t="e">
        <f aca="false">MatchData[low bar scored crossings]*5</f>
        <v>#VALUE!</v>
      </c>
      <c r="BK181" s="16" t="e">
        <f aca="false">SUM(MatchData[[#this row],[low bar teleop crossings]:[rough terrain scored crossings]])</f>
        <v>#VALUE!</v>
      </c>
      <c r="BL181" s="16" t="e">
        <f aca="false">IFERROR(IF(OR(MatchData[[#this row],[challenge flag]],MatchData[[#this row],[climb flag]]),1,0),0)</f>
        <v>#VALUE!</v>
      </c>
      <c r="BM181" s="16" t="e">
        <f aca="false">MatchData[auto high goals]*10+MatchData[teleop high goals]*5</f>
        <v>#VALUE!</v>
      </c>
      <c r="BN181" s="16" t="e">
        <f aca="false">MatchData[auto low goals]*5+MatchData[teleop low goals]*2</f>
        <v>#VALUE!</v>
      </c>
      <c r="BO181" s="16" t="e">
        <f aca="false">MatchData[high goal score]+MatchData[low goal score]</f>
        <v>#VALUE!</v>
      </c>
      <c r="BP181" s="16" t="e">
        <f aca="false">MatchData[teleop high goals]+MatchData[teleop low goals]</f>
        <v>#VALUE!</v>
      </c>
      <c r="BQ181" s="16" t="e">
        <f aca="false">MatchData[[#this row],[auto reach flag]]*2+SUM(MatchData[[#this row],[portcullis auto crossings]:[low bar auto crossings]])*10+MatchData[[#this row],[auto low goals]]*5+MatchData[auto high goals]*10</f>
        <v>#VALUE!</v>
      </c>
      <c r="BR181" s="16" t="e">
        <f aca="false">SUM(MatchData[[#this row],[cheval teleop crossing score]:[low bar teleop crossing score]])</f>
        <v>#VALUE!</v>
      </c>
      <c r="BS181" s="16" t="e">
        <f aca="false">SUMIF(MatchData[team],MatchData[[#this row],[team]],MatchData[total auto score])/MatchData[match count]</f>
        <v>#VALUE!</v>
      </c>
      <c r="BT181" s="16" t="e">
        <f aca="false">MatchData[challenge flag]*5</f>
        <v>#VALUE!</v>
      </c>
      <c r="BU181" s="16" t="e">
        <f aca="false">MatchData[climb flag]*15</f>
        <v>#VALUE!</v>
      </c>
      <c r="BV181" s="16" t="e">
        <f aca="false">SUM(MatchData[[#this row],[total goal score]],MatchData[[#this row],[crossing score]],MatchData[[#this row],[challenge score]],MatchData[[#this row],[climb score]],MatchData[[#this row],[total auto score]])</f>
        <v>#VALUE!</v>
      </c>
      <c r="BW181" s="16" t="e">
        <f aca="false">ROUND(SUMIF(MatchData[team],MatchData[[#this row],[team]],MatchData[teleop low goals])/COUNTIF(MatchData[team],MatchData[[#this row],[team]]),2)</f>
        <v>#VALUE!</v>
      </c>
      <c r="BX181" s="16" t="e">
        <f aca="false">ROUND(SUMIF(MatchData[team],MatchData[[#this row],[team]],MatchData[teleop high goals])/COUNTIF(MatchData[team],MatchData[[#this row],[team]]),2)</f>
        <v>#VALUE!</v>
      </c>
      <c r="BY181" s="16" t="e">
        <f aca="false">COUNTIF(MatchData[team],MatchData[[#this row],[team]])</f>
        <v>#VALUE!</v>
      </c>
      <c r="BZ181" s="16" t="e">
        <f aca="false">SUMIF(MatchData[team],MatchData[[#this row],[team]],MatchData[portcullis available])</f>
        <v>#VALUE!</v>
      </c>
      <c r="CA181" s="16" t="e">
        <f aca="false">SUMIF(MatchData[team],MatchData[[#this row],[team]],MatchData[cheval available])</f>
        <v>#VALUE!</v>
      </c>
      <c r="CB181" s="16" t="e">
        <f aca="false">SUMIF(MatchData[team],MatchData[[#this row],[team]],MatchData[moat available])</f>
        <v>#VALUE!</v>
      </c>
      <c r="CC181" s="16" t="e">
        <f aca="false">SUMIF(MatchData[team],MatchData[[#this row],[team]],MatchData[ramparts available])</f>
        <v>#VALUE!</v>
      </c>
      <c r="CD181" s="16" t="e">
        <f aca="false">SUMIF(MatchData[team],MatchData[[#this row],[team]],MatchData[drawbridge available])</f>
        <v>#VALUE!</v>
      </c>
      <c r="CE181" s="16" t="e">
        <f aca="false">SUMIF(MatchData[team],MatchData[[#this row],[team]],MatchData[sally port available])</f>
        <v>#VALUE!</v>
      </c>
      <c r="CF181" s="16" t="e">
        <f aca="false">SUMIF(MatchData[team],MatchData[[#this row],[team]],MatchData[rock wall available])</f>
        <v>#VALUE!</v>
      </c>
      <c r="CG181" s="16" t="e">
        <f aca="false">SUMIF(MatchData[team],MatchData[[#this row],[team]],MatchData[rough terrain available])</f>
        <v>#VALUE!</v>
      </c>
      <c r="CH181" s="16" t="e">
        <f aca="false">SUMIF(MatchData[team],MatchData[[#this row],[team]],MatchData[low bar available])</f>
        <v>#VALUE!</v>
      </c>
      <c r="CI181" s="16" t="e">
        <f aca="false">SUMIF(MatchData[team],MatchData[[#this row],[team]],MatchData[portcullis teleop crossings]:MatchData[portcullis scored crossings])</f>
        <v>#VALUE!</v>
      </c>
      <c r="CJ181" s="16" t="e">
        <f aca="false">SUMIF(MatchData[team],MatchData[[#this row],[team]],MatchData[cheval teleop crossings])+SUMIF(MatchData[team],MatchData[[#this row],[team]],MatchData[cheval scored crossings])</f>
        <v>#VALUE!</v>
      </c>
      <c r="CK181" s="16" t="e">
        <f aca="false">SUMIF(MatchData[team],MatchData[[#this row],[team]],MatchData[moat teleop crossings])+SUMIF(MatchData[team],MatchData[[#this row],[team]],MatchData[moat scored crosings])</f>
        <v>#VALUE!</v>
      </c>
      <c r="CL181" s="16" t="e">
        <f aca="false">SUMIF(MatchData[team],MatchData[[#this row],[team]],MatchData[ramparts teleop crossings])+SUMIF(MatchData[team],MatchData[[#this row],[team]],MatchData[ramparts scored crossings])</f>
        <v>#VALUE!</v>
      </c>
      <c r="CM181" s="16" t="e">
        <f aca="false">SUMIF(MatchData[team],MatchData[[#this row],[team]],MatchData[drawbridge teleop crossings])+SUMIF(MatchData[team],MatchData[[#this row],[team]],MatchData[drawbridge scored crossings])</f>
        <v>#VALUE!</v>
      </c>
      <c r="CN181" s="16" t="e">
        <f aca="false">SUMIF(MatchData[team],MatchData[[#this row],[team]],MatchData[sally port teleop crossings])+SUMIF(MatchData[team],MatchData[[#this row],[team]],MatchData[sally port scored crossings])</f>
        <v>#VALUE!</v>
      </c>
      <c r="CO181" s="16" t="e">
        <f aca="false">SUMIF(MatchData[team],MatchData[[#this row],[team]],MatchData[rock wall teleop crossings])+SUMIF(MatchData[team],MatchData[[#this row],[team]],MatchData[rock wall scored crossings])</f>
        <v>#VALUE!</v>
      </c>
      <c r="CP181" s="16" t="e">
        <f aca="false">SUMIF(MatchData[team],MatchData[[#this row],[team]],MatchData[rough terrain teleop crossings])+SUMIF(MatchData[team],MatchData[[#this row],[team]],MatchData[rough terrain scored crossings])</f>
        <v>#VALUE!</v>
      </c>
      <c r="CQ181" s="16" t="e">
        <f aca="false">SUMIF(MatchData[team],MatchData[[#this row],[team]],MatchData[low bar teleop crossings])+SUMIF(MatchData[team],MatchData[[#this row],[team]],MatchData[low bar scored crossings])</f>
        <v>#VALUE!</v>
      </c>
      <c r="CR181" s="16" t="e">
        <f aca="false">IFERROR(ROUND(MatchData[[#this row],[portcullis sum]]/MatchData[[#this row],[portcullis avail count]],2),0)</f>
        <v>#VALUE!</v>
      </c>
      <c r="CS181" s="16" t="e">
        <f aca="false">IFERROR(ROUND(MatchData[[#this row],[cheval sum]]/MatchData[[#this row],[cheval avail count]],2),0)</f>
        <v>#VALUE!</v>
      </c>
      <c r="CT181" s="16" t="e">
        <f aca="false">IFERROR(ROUND(MatchData[[#this row],[moat sum]]/MatchData[[#this row],[moat avail count]],2),0)</f>
        <v>#VALUE!</v>
      </c>
      <c r="CU181" s="16" t="e">
        <f aca="false">IFERROR(ROUND(MatchData[[#this row],[ramparts sum]]/MatchData[[#this row],[ramparts avail count]],2),0)</f>
        <v>#VALUE!</v>
      </c>
      <c r="CV181" s="16" t="e">
        <f aca="false">IFERROR(ROUND(MatchData[[#this row],[drawbridge sum]]/MatchData[[#this row],[drawbridge avail countigh6]],2),0)</f>
        <v>#VALUE!</v>
      </c>
      <c r="CW181" s="16" t="e">
        <f aca="false">IFERROR(ROUND(MatchData[[#this row],[sally port sum]]/MatchData[[#this row],[sally port avail count]],2),0)</f>
        <v>#VALUE!</v>
      </c>
      <c r="CX181" s="5" t="e">
        <f aca="false">IFERROR(ROUND(MatchData[[#this row],[rock wall sum]]/MatchData[[#this row],[rock wall avail count]],2),0)</f>
        <v>#VALUE!</v>
      </c>
      <c r="CY181" s="5" t="e">
        <f aca="false">IFERROR(ROUND(MatchData[[#this row],[rough terrain sum]]/MatchData[[#this row],[rough terrain avail count]],2),0)</f>
        <v>#VALUE!</v>
      </c>
      <c r="CZ181" s="5" t="e">
        <f aca="false">IFERROR(ROUND(MatchData[[#this row],[low bar sum]]/MatchData[[#this row],[low bar avail count]],2),0)</f>
        <v>#VALUE!</v>
      </c>
      <c r="DA181" s="16" t="e">
        <f aca="false">SUM(MatchData[[#this row],[cheval sum]:[low bar sum]])/MatchData[match count]</f>
        <v>#VALUE!</v>
      </c>
      <c r="DB181" s="16" t="n">
        <f aca="false">MAX(IF(C$2:C$74=C181,BP$2:BP$74))</f>
        <v>-1.79769313486232E+308</v>
      </c>
      <c r="DC181" s="16" t="e">
        <f aca="false">AVERAGEIF(MatchData[team],MatchData[[#this row],[team]],MatchData[total score])</f>
        <v>#VALUE!</v>
      </c>
      <c r="DD181" s="16" t="e">
        <f aca="false">ROUND(AVERAGEIF(MatchData[team],MatchData[team],MatchData[climb or challenge flag]),2)</f>
        <v>#VALUE!</v>
      </c>
    </row>
    <row r="182" customFormat="false" ht="14.5" hidden="false" customHeight="false" outlineLevel="0" collapsed="false">
      <c r="A182" s="20" t="s">
        <v>108</v>
      </c>
      <c r="B182" s="21" t="n">
        <v>31</v>
      </c>
      <c r="C182" s="15" t="n">
        <v>957</v>
      </c>
      <c r="D182" s="5" t="s">
        <v>109</v>
      </c>
      <c r="E182" s="5" t="s">
        <v>110</v>
      </c>
      <c r="G182" s="16"/>
      <c r="I182" s="16"/>
      <c r="J182" s="5" t="n">
        <v>1</v>
      </c>
      <c r="K182" s="16"/>
      <c r="L182" s="5" t="n">
        <v>1</v>
      </c>
      <c r="M182" s="5" t="n">
        <v>1</v>
      </c>
      <c r="N182" s="0"/>
      <c r="O182" s="0"/>
      <c r="P182" s="5" t="n">
        <v>1</v>
      </c>
      <c r="Q182" s="5" t="n">
        <v>1</v>
      </c>
      <c r="R182" s="0"/>
      <c r="S182" s="16"/>
      <c r="T182" s="0"/>
      <c r="U182" s="16"/>
      <c r="V182" s="16"/>
      <c r="W182" s="0"/>
      <c r="AD182" s="16"/>
      <c r="AE182" s="5"/>
      <c r="AF182" s="16"/>
      <c r="AG182" s="16"/>
      <c r="AH182" s="16"/>
      <c r="AJ182" s="16"/>
      <c r="AL182" s="16"/>
      <c r="AN182" s="16"/>
      <c r="AP182" s="16"/>
      <c r="AR182" s="16" t="n">
        <v>1</v>
      </c>
      <c r="AT182" s="16"/>
      <c r="AU182" s="16"/>
      <c r="AV182" s="16"/>
      <c r="AW182" s="16"/>
      <c r="AX182" s="16"/>
      <c r="AY182" s="16"/>
      <c r="AZ182" s="16" t="n">
        <v>1</v>
      </c>
      <c r="BB182" s="16"/>
      <c r="BC182" s="16" t="e">
        <f aca="false">MatchData[cheval scored crossings]*5</f>
        <v>#VALUE!</v>
      </c>
      <c r="BD182" s="16" t="e">
        <f aca="false">MatchData[moat scored crosings]*5</f>
        <v>#VALUE!</v>
      </c>
      <c r="BE182" s="16" t="e">
        <f aca="false">MatchData[ramparts scored crossings]*5</f>
        <v>#VALUE!</v>
      </c>
      <c r="BF182" s="16" t="e">
        <f aca="false">MatchData[drawbridge scored crossings]*5</f>
        <v>#VALUE!</v>
      </c>
      <c r="BG182" s="16" t="e">
        <f aca="false">MatchData[sally port scored crossings]*5</f>
        <v>#VALUE!</v>
      </c>
      <c r="BH182" s="16" t="e">
        <f aca="false">MatchData[rock wall scored crossings]*5</f>
        <v>#VALUE!</v>
      </c>
      <c r="BI182" s="16" t="e">
        <f aca="false">MatchData[rough terrain scored crossings]*5</f>
        <v>#VALUE!</v>
      </c>
      <c r="BJ182" s="16" t="e">
        <f aca="false">MatchData[low bar scored crossings]*5</f>
        <v>#VALUE!</v>
      </c>
      <c r="BK182" s="16" t="e">
        <f aca="false">SUM(MatchData[[#this row],[low bar teleop crossings]:[rough terrain scored crossings]])</f>
        <v>#VALUE!</v>
      </c>
      <c r="BL182" s="16" t="e">
        <f aca="false">IFERROR(IF(OR(MatchData[[#this row],[challenge flag]],MatchData[[#this row],[climb flag]]),1,0),0)</f>
        <v>#VALUE!</v>
      </c>
      <c r="BM182" s="16" t="e">
        <f aca="false">MatchData[auto high goals]*10+MatchData[teleop high goals]*5</f>
        <v>#VALUE!</v>
      </c>
      <c r="BN182" s="16" t="e">
        <f aca="false">MatchData[auto low goals]*5+MatchData[teleop low goals]*2</f>
        <v>#VALUE!</v>
      </c>
      <c r="BO182" s="16" t="e">
        <f aca="false">MatchData[high goal score]+MatchData[low goal score]</f>
        <v>#VALUE!</v>
      </c>
      <c r="BP182" s="16" t="e">
        <f aca="false">MatchData[teleop high goals]+MatchData[teleop low goals]</f>
        <v>#VALUE!</v>
      </c>
      <c r="BQ182" s="16" t="e">
        <f aca="false">MatchData[[#this row],[auto reach flag]]*2+SUM(MatchData[[#this row],[portcullis auto crossings]:[low bar auto crossings]])*10+MatchData[[#this row],[auto low goals]]*5+MatchData[auto high goals]*10</f>
        <v>#VALUE!</v>
      </c>
      <c r="BR182" s="16" t="e">
        <f aca="false">SUM(MatchData[[#this row],[cheval teleop crossing score]:[low bar teleop crossing score]])</f>
        <v>#VALUE!</v>
      </c>
      <c r="BS182" s="16" t="e">
        <f aca="false">SUMIF(MatchData[team],MatchData[[#this row],[team]],MatchData[total auto score])/MatchData[match count]</f>
        <v>#VALUE!</v>
      </c>
      <c r="BT182" s="16" t="e">
        <f aca="false">MatchData[challenge flag]*5</f>
        <v>#VALUE!</v>
      </c>
      <c r="BU182" s="16" t="e">
        <f aca="false">MatchData[climb flag]*15</f>
        <v>#VALUE!</v>
      </c>
      <c r="BV182" s="16" t="e">
        <f aca="false">SUM(MatchData[[#this row],[total goal score]],MatchData[[#this row],[crossing score]],MatchData[[#this row],[challenge score]],MatchData[[#this row],[climb score]],MatchData[[#this row],[total auto score]])</f>
        <v>#VALUE!</v>
      </c>
      <c r="BW182" s="16" t="e">
        <f aca="false">ROUND(SUMIF(MatchData[team],MatchData[[#this row],[team]],MatchData[teleop low goals])/COUNTIF(MatchData[team],MatchData[[#this row],[team]]),2)</f>
        <v>#VALUE!</v>
      </c>
      <c r="BX182" s="16" t="e">
        <f aca="false">ROUND(SUMIF(MatchData[team],MatchData[[#this row],[team]],MatchData[teleop high goals])/COUNTIF(MatchData[team],MatchData[[#this row],[team]]),2)</f>
        <v>#VALUE!</v>
      </c>
      <c r="BY182" s="16" t="e">
        <f aca="false">COUNTIF(MatchData[team],MatchData[[#this row],[team]])</f>
        <v>#VALUE!</v>
      </c>
      <c r="BZ182" s="16" t="e">
        <f aca="false">SUMIF(MatchData[team],MatchData[[#this row],[team]],MatchData[portcullis available])</f>
        <v>#VALUE!</v>
      </c>
      <c r="CA182" s="16" t="e">
        <f aca="false">SUMIF(MatchData[team],MatchData[[#this row],[team]],MatchData[cheval available])</f>
        <v>#VALUE!</v>
      </c>
      <c r="CB182" s="16" t="e">
        <f aca="false">SUMIF(MatchData[team],MatchData[[#this row],[team]],MatchData[moat available])</f>
        <v>#VALUE!</v>
      </c>
      <c r="CC182" s="16" t="e">
        <f aca="false">SUMIF(MatchData[team],MatchData[[#this row],[team]],MatchData[ramparts available])</f>
        <v>#VALUE!</v>
      </c>
      <c r="CD182" s="16" t="e">
        <f aca="false">SUMIF(MatchData[team],MatchData[[#this row],[team]],MatchData[drawbridge available])</f>
        <v>#VALUE!</v>
      </c>
      <c r="CE182" s="16" t="e">
        <f aca="false">SUMIF(MatchData[team],MatchData[[#this row],[team]],MatchData[sally port available])</f>
        <v>#VALUE!</v>
      </c>
      <c r="CF182" s="16" t="e">
        <f aca="false">SUMIF(MatchData[team],MatchData[[#this row],[team]],MatchData[rock wall available])</f>
        <v>#VALUE!</v>
      </c>
      <c r="CG182" s="16" t="e">
        <f aca="false">SUMIF(MatchData[team],MatchData[[#this row],[team]],MatchData[rough terrain available])</f>
        <v>#VALUE!</v>
      </c>
      <c r="CH182" s="16" t="e">
        <f aca="false">SUMIF(MatchData[team],MatchData[[#this row],[team]],MatchData[low bar available])</f>
        <v>#VALUE!</v>
      </c>
      <c r="CI182" s="16" t="e">
        <f aca="false">SUMIF(MatchData[team],MatchData[[#this row],[team]],MatchData[portcullis teleop crossings]:MatchData[portcullis scored crossings])</f>
        <v>#VALUE!</v>
      </c>
      <c r="CJ182" s="16" t="e">
        <f aca="false">SUMIF(MatchData[team],MatchData[[#this row],[team]],MatchData[cheval teleop crossings])+SUMIF(MatchData[team],MatchData[[#this row],[team]],MatchData[cheval scored crossings])</f>
        <v>#VALUE!</v>
      </c>
      <c r="CK182" s="16" t="e">
        <f aca="false">SUMIF(MatchData[team],MatchData[[#this row],[team]],MatchData[moat teleop crossings])+SUMIF(MatchData[team],MatchData[[#this row],[team]],MatchData[moat scored crosings])</f>
        <v>#VALUE!</v>
      </c>
      <c r="CL182" s="16" t="e">
        <f aca="false">SUMIF(MatchData[team],MatchData[[#this row],[team]],MatchData[ramparts teleop crossings])+SUMIF(MatchData[team],MatchData[[#this row],[team]],MatchData[ramparts scored crossings])</f>
        <v>#VALUE!</v>
      </c>
      <c r="CM182" s="16" t="e">
        <f aca="false">SUMIF(MatchData[team],MatchData[[#this row],[team]],MatchData[drawbridge teleop crossings])+SUMIF(MatchData[team],MatchData[[#this row],[team]],MatchData[drawbridge scored crossings])</f>
        <v>#VALUE!</v>
      </c>
      <c r="CN182" s="16" t="e">
        <f aca="false">SUMIF(MatchData[team],MatchData[[#this row],[team]],MatchData[sally port teleop crossings])+SUMIF(MatchData[team],MatchData[[#this row],[team]],MatchData[sally port scored crossings])</f>
        <v>#VALUE!</v>
      </c>
      <c r="CO182" s="16" t="e">
        <f aca="false">SUMIF(MatchData[team],MatchData[[#this row],[team]],MatchData[rock wall teleop crossings])+SUMIF(MatchData[team],MatchData[[#this row],[team]],MatchData[rock wall scored crossings])</f>
        <v>#VALUE!</v>
      </c>
      <c r="CP182" s="16" t="e">
        <f aca="false">SUMIF(MatchData[team],MatchData[[#this row],[team]],MatchData[rough terrain teleop crossings])+SUMIF(MatchData[team],MatchData[[#this row],[team]],MatchData[rough terrain scored crossings])</f>
        <v>#VALUE!</v>
      </c>
      <c r="CQ182" s="16" t="e">
        <f aca="false">SUMIF(MatchData[team],MatchData[[#this row],[team]],MatchData[low bar teleop crossings])+SUMIF(MatchData[team],MatchData[[#this row],[team]],MatchData[low bar scored crossings])</f>
        <v>#VALUE!</v>
      </c>
      <c r="CR182" s="16" t="e">
        <f aca="false">IFERROR(ROUND(MatchData[[#this row],[portcullis sum]]/MatchData[[#this row],[portcullis avail count]],2),0)</f>
        <v>#VALUE!</v>
      </c>
      <c r="CS182" s="16" t="e">
        <f aca="false">IFERROR(ROUND(MatchData[[#this row],[cheval sum]]/MatchData[[#this row],[cheval avail count]],2),0)</f>
        <v>#VALUE!</v>
      </c>
      <c r="CT182" s="16" t="e">
        <f aca="false">IFERROR(ROUND(MatchData[[#this row],[moat sum]]/MatchData[[#this row],[moat avail count]],2),0)</f>
        <v>#VALUE!</v>
      </c>
      <c r="CU182" s="16" t="e">
        <f aca="false">IFERROR(ROUND(MatchData[[#this row],[ramparts sum]]/MatchData[[#this row],[ramparts avail count]],2),0)</f>
        <v>#VALUE!</v>
      </c>
      <c r="CV182" s="16" t="e">
        <f aca="false">IFERROR(ROUND(MatchData[[#this row],[drawbridge sum]]/MatchData[[#this row],[drawbridge avail countigh6]],2),0)</f>
        <v>#VALUE!</v>
      </c>
      <c r="CW182" s="16" t="e">
        <f aca="false">IFERROR(ROUND(MatchData[[#this row],[sally port sum]]/MatchData[[#this row],[sally port avail count]],2),0)</f>
        <v>#VALUE!</v>
      </c>
      <c r="CX182" s="5" t="e">
        <f aca="false">IFERROR(ROUND(MatchData[[#this row],[rock wall sum]]/MatchData[[#this row],[rock wall avail count]],2),0)</f>
        <v>#VALUE!</v>
      </c>
      <c r="CY182" s="5" t="e">
        <f aca="false">IFERROR(ROUND(MatchData[[#this row],[rough terrain sum]]/MatchData[[#this row],[rough terrain avail count]],2),0)</f>
        <v>#VALUE!</v>
      </c>
      <c r="CZ182" s="5" t="e">
        <f aca="false">IFERROR(ROUND(MatchData[[#this row],[low bar sum]]/MatchData[[#this row],[low bar avail count]],2),0)</f>
        <v>#VALUE!</v>
      </c>
      <c r="DA182" s="16" t="e">
        <f aca="false">SUM(MatchData[[#this row],[cheval sum]:[low bar sum]])/MatchData[match count]</f>
        <v>#VALUE!</v>
      </c>
      <c r="DB182" s="16" t="n">
        <f aca="false">MAX(IF(C$2:C$74=C182,BP$2:BP$74))</f>
        <v>-1.79769313486232E+308</v>
      </c>
      <c r="DC182" s="16" t="e">
        <f aca="false">AVERAGEIF(MatchData[team],MatchData[[#this row],[team]],MatchData[total score])</f>
        <v>#VALUE!</v>
      </c>
      <c r="DD182" s="16" t="e">
        <f aca="false">ROUND(AVERAGEIF(MatchData[team],MatchData[team],MatchData[climb or challenge flag]),2)</f>
        <v>#VALUE!</v>
      </c>
    </row>
    <row r="183" customFormat="false" ht="14.5" hidden="false" customHeight="false" outlineLevel="0" collapsed="false">
      <c r="A183" s="20" t="s">
        <v>108</v>
      </c>
      <c r="B183" s="22" t="n">
        <v>31</v>
      </c>
      <c r="C183" s="15" t="n">
        <v>3673</v>
      </c>
      <c r="D183" s="5" t="s">
        <v>109</v>
      </c>
      <c r="E183" s="5" t="s">
        <v>149</v>
      </c>
      <c r="G183" s="16"/>
      <c r="I183" s="16"/>
      <c r="J183" s="5" t="n">
        <v>1</v>
      </c>
      <c r="K183" s="16"/>
      <c r="L183" s="5" t="n">
        <v>1</v>
      </c>
      <c r="M183" s="5" t="n">
        <v>1</v>
      </c>
      <c r="N183" s="0"/>
      <c r="O183" s="0"/>
      <c r="P183" s="5" t="n">
        <v>1</v>
      </c>
      <c r="Q183" s="5" t="n">
        <v>1</v>
      </c>
      <c r="R183" s="0"/>
      <c r="S183" s="16"/>
      <c r="T183" s="0"/>
      <c r="U183" s="16"/>
      <c r="V183" s="16"/>
      <c r="W183" s="0"/>
      <c r="AD183" s="16"/>
      <c r="AE183" s="5"/>
      <c r="AF183" s="16"/>
      <c r="AG183" s="16"/>
      <c r="AH183" s="16"/>
      <c r="AJ183" s="16" t="n">
        <v>1</v>
      </c>
      <c r="AL183" s="16"/>
      <c r="AN183" s="16"/>
      <c r="AP183" s="16"/>
      <c r="AR183" s="16" t="n">
        <v>1</v>
      </c>
      <c r="AT183" s="16"/>
      <c r="AU183" s="16"/>
      <c r="AV183" s="16"/>
      <c r="AW183" s="16" t="n">
        <v>1</v>
      </c>
      <c r="AX183" s="16"/>
      <c r="AY183" s="16"/>
      <c r="AZ183" s="16"/>
      <c r="BB183" s="16"/>
      <c r="BC183" s="16" t="e">
        <f aca="false">MatchData[cheval scored crossings]*5</f>
        <v>#VALUE!</v>
      </c>
      <c r="BD183" s="16" t="e">
        <f aca="false">MatchData[moat scored crosings]*5</f>
        <v>#VALUE!</v>
      </c>
      <c r="BE183" s="16" t="e">
        <f aca="false">MatchData[ramparts scored crossings]*5</f>
        <v>#VALUE!</v>
      </c>
      <c r="BF183" s="16" t="e">
        <f aca="false">MatchData[drawbridge scored crossings]*5</f>
        <v>#VALUE!</v>
      </c>
      <c r="BG183" s="16" t="e">
        <f aca="false">MatchData[sally port scored crossings]*5</f>
        <v>#VALUE!</v>
      </c>
      <c r="BH183" s="16" t="e">
        <f aca="false">MatchData[rock wall scored crossings]*5</f>
        <v>#VALUE!</v>
      </c>
      <c r="BI183" s="16" t="e">
        <f aca="false">MatchData[rough terrain scored crossings]*5</f>
        <v>#VALUE!</v>
      </c>
      <c r="BJ183" s="16" t="e">
        <f aca="false">MatchData[low bar scored crossings]*5</f>
        <v>#VALUE!</v>
      </c>
      <c r="BK183" s="16" t="e">
        <f aca="false">SUM(MatchData[[#this row],[low bar teleop crossings]:[rough terrain scored crossings]])</f>
        <v>#VALUE!</v>
      </c>
      <c r="BL183" s="16" t="e">
        <f aca="false">IFERROR(IF(OR(MatchData[[#this row],[challenge flag]],MatchData[[#this row],[climb flag]]),1,0),0)</f>
        <v>#VALUE!</v>
      </c>
      <c r="BM183" s="16" t="e">
        <f aca="false">MatchData[auto high goals]*10+MatchData[teleop high goals]*5</f>
        <v>#VALUE!</v>
      </c>
      <c r="BN183" s="16" t="e">
        <f aca="false">MatchData[auto low goals]*5+MatchData[teleop low goals]*2</f>
        <v>#VALUE!</v>
      </c>
      <c r="BO183" s="16" t="e">
        <f aca="false">MatchData[high goal score]+MatchData[low goal score]</f>
        <v>#VALUE!</v>
      </c>
      <c r="BP183" s="16" t="e">
        <f aca="false">MatchData[teleop high goals]+MatchData[teleop low goals]</f>
        <v>#VALUE!</v>
      </c>
      <c r="BQ183" s="16" t="e">
        <f aca="false">MatchData[[#this row],[auto reach flag]]*2+SUM(MatchData[[#this row],[portcullis auto crossings]:[low bar auto crossings]])*10+MatchData[[#this row],[auto low goals]]*5+MatchData[auto high goals]*10</f>
        <v>#VALUE!</v>
      </c>
      <c r="BR183" s="16" t="e">
        <f aca="false">SUM(MatchData[[#this row],[cheval teleop crossing score]:[low bar teleop crossing score]])</f>
        <v>#VALUE!</v>
      </c>
      <c r="BS183" s="16" t="e">
        <f aca="false">SUMIF(MatchData[team],MatchData[[#this row],[team]],MatchData[total auto score])/MatchData[match count]</f>
        <v>#VALUE!</v>
      </c>
      <c r="BT183" s="16" t="e">
        <f aca="false">MatchData[challenge flag]*5</f>
        <v>#VALUE!</v>
      </c>
      <c r="BU183" s="16" t="e">
        <f aca="false">MatchData[climb flag]*15</f>
        <v>#VALUE!</v>
      </c>
      <c r="BV183" s="16" t="e">
        <f aca="false">SUM(MatchData[[#this row],[total goal score]],MatchData[[#this row],[crossing score]],MatchData[[#this row],[challenge score]],MatchData[[#this row],[climb score]],MatchData[[#this row],[total auto score]])</f>
        <v>#VALUE!</v>
      </c>
      <c r="BW183" s="16" t="e">
        <f aca="false">ROUND(SUMIF(MatchData[team],MatchData[[#this row],[team]],MatchData[teleop low goals])/COUNTIF(MatchData[team],MatchData[[#this row],[team]]),2)</f>
        <v>#VALUE!</v>
      </c>
      <c r="BX183" s="16" t="e">
        <f aca="false">ROUND(SUMIF(MatchData[team],MatchData[[#this row],[team]],MatchData[teleop high goals])/COUNTIF(MatchData[team],MatchData[[#this row],[team]]),2)</f>
        <v>#VALUE!</v>
      </c>
      <c r="BY183" s="16" t="e">
        <f aca="false">COUNTIF(MatchData[team],MatchData[[#this row],[team]])</f>
        <v>#VALUE!</v>
      </c>
      <c r="BZ183" s="16" t="e">
        <f aca="false">SUMIF(MatchData[team],MatchData[[#this row],[team]],MatchData[portcullis available])</f>
        <v>#VALUE!</v>
      </c>
      <c r="CA183" s="16" t="e">
        <f aca="false">SUMIF(MatchData[team],MatchData[[#this row],[team]],MatchData[cheval available])</f>
        <v>#VALUE!</v>
      </c>
      <c r="CB183" s="16" t="e">
        <f aca="false">SUMIF(MatchData[team],MatchData[[#this row],[team]],MatchData[moat available])</f>
        <v>#VALUE!</v>
      </c>
      <c r="CC183" s="16" t="e">
        <f aca="false">SUMIF(MatchData[team],MatchData[[#this row],[team]],MatchData[ramparts available])</f>
        <v>#VALUE!</v>
      </c>
      <c r="CD183" s="16" t="e">
        <f aca="false">SUMIF(MatchData[team],MatchData[[#this row],[team]],MatchData[drawbridge available])</f>
        <v>#VALUE!</v>
      </c>
      <c r="CE183" s="16" t="e">
        <f aca="false">SUMIF(MatchData[team],MatchData[[#this row],[team]],MatchData[sally port available])</f>
        <v>#VALUE!</v>
      </c>
      <c r="CF183" s="16" t="e">
        <f aca="false">SUMIF(MatchData[team],MatchData[[#this row],[team]],MatchData[rock wall available])</f>
        <v>#VALUE!</v>
      </c>
      <c r="CG183" s="16" t="e">
        <f aca="false">SUMIF(MatchData[team],MatchData[[#this row],[team]],MatchData[rough terrain available])</f>
        <v>#VALUE!</v>
      </c>
      <c r="CH183" s="16" t="e">
        <f aca="false">SUMIF(MatchData[team],MatchData[[#this row],[team]],MatchData[low bar available])</f>
        <v>#VALUE!</v>
      </c>
      <c r="CI183" s="16" t="e">
        <f aca="false">SUMIF(MatchData[team],MatchData[[#this row],[team]],MatchData[portcullis teleop crossings]:MatchData[portcullis scored crossings])</f>
        <v>#VALUE!</v>
      </c>
      <c r="CJ183" s="16" t="e">
        <f aca="false">SUMIF(MatchData[team],MatchData[[#this row],[team]],MatchData[cheval teleop crossings])+SUMIF(MatchData[team],MatchData[[#this row],[team]],MatchData[cheval scored crossings])</f>
        <v>#VALUE!</v>
      </c>
      <c r="CK183" s="16" t="e">
        <f aca="false">SUMIF(MatchData[team],MatchData[[#this row],[team]],MatchData[moat teleop crossings])+SUMIF(MatchData[team],MatchData[[#this row],[team]],MatchData[moat scored crosings])</f>
        <v>#VALUE!</v>
      </c>
      <c r="CL183" s="16" t="e">
        <f aca="false">SUMIF(MatchData[team],MatchData[[#this row],[team]],MatchData[ramparts teleop crossings])+SUMIF(MatchData[team],MatchData[[#this row],[team]],MatchData[ramparts scored crossings])</f>
        <v>#VALUE!</v>
      </c>
      <c r="CM183" s="16" t="e">
        <f aca="false">SUMIF(MatchData[team],MatchData[[#this row],[team]],MatchData[drawbridge teleop crossings])+SUMIF(MatchData[team],MatchData[[#this row],[team]],MatchData[drawbridge scored crossings])</f>
        <v>#VALUE!</v>
      </c>
      <c r="CN183" s="16" t="e">
        <f aca="false">SUMIF(MatchData[team],MatchData[[#this row],[team]],MatchData[sally port teleop crossings])+SUMIF(MatchData[team],MatchData[[#this row],[team]],MatchData[sally port scored crossings])</f>
        <v>#VALUE!</v>
      </c>
      <c r="CO183" s="16" t="e">
        <f aca="false">SUMIF(MatchData[team],MatchData[[#this row],[team]],MatchData[rock wall teleop crossings])+SUMIF(MatchData[team],MatchData[[#this row],[team]],MatchData[rock wall scored crossings])</f>
        <v>#VALUE!</v>
      </c>
      <c r="CP183" s="16" t="e">
        <f aca="false">SUMIF(MatchData[team],MatchData[[#this row],[team]],MatchData[rough terrain teleop crossings])+SUMIF(MatchData[team],MatchData[[#this row],[team]],MatchData[rough terrain scored crossings])</f>
        <v>#VALUE!</v>
      </c>
      <c r="CQ183" s="16" t="e">
        <f aca="false">SUMIF(MatchData[team],MatchData[[#this row],[team]],MatchData[low bar teleop crossings])+SUMIF(MatchData[team],MatchData[[#this row],[team]],MatchData[low bar scored crossings])</f>
        <v>#VALUE!</v>
      </c>
      <c r="CR183" s="16" t="e">
        <f aca="false">IFERROR(ROUND(MatchData[[#this row],[portcullis sum]]/MatchData[[#this row],[portcullis avail count]],2),0)</f>
        <v>#VALUE!</v>
      </c>
      <c r="CS183" s="16" t="e">
        <f aca="false">IFERROR(ROUND(MatchData[[#this row],[cheval sum]]/MatchData[[#this row],[cheval avail count]],2),0)</f>
        <v>#VALUE!</v>
      </c>
      <c r="CT183" s="16" t="e">
        <f aca="false">IFERROR(ROUND(MatchData[[#this row],[moat sum]]/MatchData[[#this row],[moat avail count]],2),0)</f>
        <v>#VALUE!</v>
      </c>
      <c r="CU183" s="16" t="e">
        <f aca="false">IFERROR(ROUND(MatchData[[#this row],[ramparts sum]]/MatchData[[#this row],[ramparts avail count]],2),0)</f>
        <v>#VALUE!</v>
      </c>
      <c r="CV183" s="16" t="e">
        <f aca="false">IFERROR(ROUND(MatchData[[#this row],[drawbridge sum]]/MatchData[[#this row],[drawbridge avail countigh6]],2),0)</f>
        <v>#VALUE!</v>
      </c>
      <c r="CW183" s="16" t="e">
        <f aca="false">IFERROR(ROUND(MatchData[[#this row],[sally port sum]]/MatchData[[#this row],[sally port avail count]],2),0)</f>
        <v>#VALUE!</v>
      </c>
      <c r="CX183" s="5" t="e">
        <f aca="false">IFERROR(ROUND(MatchData[[#this row],[rock wall sum]]/MatchData[[#this row],[rock wall avail count]],2),0)</f>
        <v>#VALUE!</v>
      </c>
      <c r="CY183" s="5" t="e">
        <f aca="false">IFERROR(ROUND(MatchData[[#this row],[rough terrain sum]]/MatchData[[#this row],[rough terrain avail count]],2),0)</f>
        <v>#VALUE!</v>
      </c>
      <c r="CZ183" s="5" t="e">
        <f aca="false">IFERROR(ROUND(MatchData[[#this row],[low bar sum]]/MatchData[[#this row],[low bar avail count]],2),0)</f>
        <v>#VALUE!</v>
      </c>
      <c r="DA183" s="16" t="e">
        <f aca="false">SUM(MatchData[[#this row],[cheval sum]:[low bar sum]])/MatchData[match count]</f>
        <v>#VALUE!</v>
      </c>
      <c r="DB183" s="16" t="n">
        <f aca="false">MAX(IF(C$2:C$74=C183,BP$2:BP$74))</f>
        <v>-1.79769313486232E+308</v>
      </c>
      <c r="DC183" s="16" t="e">
        <f aca="false">AVERAGEIF(MatchData[team],MatchData[[#this row],[team]],MatchData[total score])</f>
        <v>#VALUE!</v>
      </c>
      <c r="DD183" s="16" t="e">
        <f aca="false">ROUND(AVERAGEIF(MatchData[team],MatchData[team],MatchData[climb or challenge flag]),2)</f>
        <v>#VALUE!</v>
      </c>
    </row>
    <row r="184" customFormat="false" ht="14.5" hidden="false" customHeight="false" outlineLevel="0" collapsed="false">
      <c r="A184" s="20" t="s">
        <v>108</v>
      </c>
      <c r="B184" s="22" t="n">
        <v>31</v>
      </c>
      <c r="C184" s="15" t="n">
        <v>4127</v>
      </c>
      <c r="D184" s="5" t="s">
        <v>109</v>
      </c>
      <c r="E184" s="5" t="s">
        <v>112</v>
      </c>
      <c r="G184" s="16"/>
      <c r="I184" s="16"/>
      <c r="J184" s="5" t="n">
        <v>1</v>
      </c>
      <c r="K184" s="16"/>
      <c r="L184" s="5" t="n">
        <v>1</v>
      </c>
      <c r="M184" s="5" t="n">
        <v>1</v>
      </c>
      <c r="N184" s="0"/>
      <c r="O184" s="0"/>
      <c r="P184" s="5" t="n">
        <v>1</v>
      </c>
      <c r="Q184" s="5" t="n">
        <v>1</v>
      </c>
      <c r="R184" s="0"/>
      <c r="S184" s="16"/>
      <c r="T184" s="0"/>
      <c r="U184" s="16"/>
      <c r="V184" s="16"/>
      <c r="W184" s="0"/>
      <c r="AD184" s="16"/>
      <c r="AE184" s="5"/>
      <c r="AF184" s="16"/>
      <c r="AG184" s="16"/>
      <c r="AH184" s="16"/>
      <c r="AJ184" s="16" t="n">
        <v>1</v>
      </c>
      <c r="AL184" s="16"/>
      <c r="AN184" s="16"/>
      <c r="AP184" s="16"/>
      <c r="AR184" s="16"/>
      <c r="AT184" s="16"/>
      <c r="AU184" s="16"/>
      <c r="AV184" s="16"/>
      <c r="AW184" s="16"/>
      <c r="AX184" s="16"/>
      <c r="AY184" s="16"/>
      <c r="AZ184" s="16"/>
      <c r="BB184" s="16"/>
      <c r="BC184" s="16" t="e">
        <f aca="false">MatchData[cheval scored crossings]*5</f>
        <v>#VALUE!</v>
      </c>
      <c r="BD184" s="16" t="e">
        <f aca="false">MatchData[moat scored crosings]*5</f>
        <v>#VALUE!</v>
      </c>
      <c r="BE184" s="16" t="e">
        <f aca="false">MatchData[ramparts scored crossings]*5</f>
        <v>#VALUE!</v>
      </c>
      <c r="BF184" s="16" t="e">
        <f aca="false">MatchData[drawbridge scored crossings]*5</f>
        <v>#VALUE!</v>
      </c>
      <c r="BG184" s="16" t="e">
        <f aca="false">MatchData[sally port scored crossings]*5</f>
        <v>#VALUE!</v>
      </c>
      <c r="BH184" s="16" t="e">
        <f aca="false">MatchData[rock wall scored crossings]*5</f>
        <v>#VALUE!</v>
      </c>
      <c r="BI184" s="16" t="e">
        <f aca="false">MatchData[rough terrain scored crossings]*5</f>
        <v>#VALUE!</v>
      </c>
      <c r="BJ184" s="16" t="e">
        <f aca="false">MatchData[low bar scored crossings]*5</f>
        <v>#VALUE!</v>
      </c>
      <c r="BK184" s="16" t="e">
        <f aca="false">SUM(MatchData[[#this row],[low bar teleop crossings]:[rough terrain scored crossings]])</f>
        <v>#VALUE!</v>
      </c>
      <c r="BL184" s="16" t="e">
        <f aca="false">IFERROR(IF(OR(MatchData[[#this row],[challenge flag]],MatchData[[#this row],[climb flag]]),1,0),0)</f>
        <v>#VALUE!</v>
      </c>
      <c r="BM184" s="16" t="e">
        <f aca="false">MatchData[auto high goals]*10+MatchData[teleop high goals]*5</f>
        <v>#VALUE!</v>
      </c>
      <c r="BN184" s="16" t="e">
        <f aca="false">MatchData[auto low goals]*5+MatchData[teleop low goals]*2</f>
        <v>#VALUE!</v>
      </c>
      <c r="BO184" s="16" t="e">
        <f aca="false">MatchData[high goal score]+MatchData[low goal score]</f>
        <v>#VALUE!</v>
      </c>
      <c r="BP184" s="16" t="e">
        <f aca="false">MatchData[teleop high goals]+MatchData[teleop low goals]</f>
        <v>#VALUE!</v>
      </c>
      <c r="BQ184" s="16" t="e">
        <f aca="false">MatchData[[#this row],[auto reach flag]]*2+SUM(MatchData[[#this row],[portcullis auto crossings]:[low bar auto crossings]])*10+MatchData[[#this row],[auto low goals]]*5+MatchData[auto high goals]*10</f>
        <v>#VALUE!</v>
      </c>
      <c r="BR184" s="16" t="e">
        <f aca="false">SUM(MatchData[[#this row],[cheval teleop crossing score]:[low bar teleop crossing score]])</f>
        <v>#VALUE!</v>
      </c>
      <c r="BS184" s="16" t="e">
        <f aca="false">SUMIF(MatchData[team],MatchData[[#this row],[team]],MatchData[total auto score])/MatchData[match count]</f>
        <v>#VALUE!</v>
      </c>
      <c r="BT184" s="16" t="e">
        <f aca="false">MatchData[challenge flag]*5</f>
        <v>#VALUE!</v>
      </c>
      <c r="BU184" s="16" t="e">
        <f aca="false">MatchData[climb flag]*15</f>
        <v>#VALUE!</v>
      </c>
      <c r="BV184" s="16" t="e">
        <f aca="false">SUM(MatchData[[#this row],[total goal score]],MatchData[[#this row],[crossing score]],MatchData[[#this row],[challenge score]],MatchData[[#this row],[climb score]],MatchData[[#this row],[total auto score]])</f>
        <v>#VALUE!</v>
      </c>
      <c r="BW184" s="16" t="e">
        <f aca="false">ROUND(SUMIF(MatchData[team],MatchData[[#this row],[team]],MatchData[teleop low goals])/COUNTIF(MatchData[team],MatchData[[#this row],[team]]),2)</f>
        <v>#VALUE!</v>
      </c>
      <c r="BX184" s="16" t="e">
        <f aca="false">ROUND(SUMIF(MatchData[team],MatchData[[#this row],[team]],MatchData[teleop high goals])/COUNTIF(MatchData[team],MatchData[[#this row],[team]]),2)</f>
        <v>#VALUE!</v>
      </c>
      <c r="BY184" s="16" t="e">
        <f aca="false">COUNTIF(MatchData[team],MatchData[[#this row],[team]])</f>
        <v>#VALUE!</v>
      </c>
      <c r="BZ184" s="16" t="e">
        <f aca="false">SUMIF(MatchData[team],MatchData[[#this row],[team]],MatchData[portcullis available])</f>
        <v>#VALUE!</v>
      </c>
      <c r="CA184" s="16" t="e">
        <f aca="false">SUMIF(MatchData[team],MatchData[[#this row],[team]],MatchData[cheval available])</f>
        <v>#VALUE!</v>
      </c>
      <c r="CB184" s="16" t="e">
        <f aca="false">SUMIF(MatchData[team],MatchData[[#this row],[team]],MatchData[moat available])</f>
        <v>#VALUE!</v>
      </c>
      <c r="CC184" s="16" t="e">
        <f aca="false">SUMIF(MatchData[team],MatchData[[#this row],[team]],MatchData[ramparts available])</f>
        <v>#VALUE!</v>
      </c>
      <c r="CD184" s="16" t="e">
        <f aca="false">SUMIF(MatchData[team],MatchData[[#this row],[team]],MatchData[drawbridge available])</f>
        <v>#VALUE!</v>
      </c>
      <c r="CE184" s="16" t="e">
        <f aca="false">SUMIF(MatchData[team],MatchData[[#this row],[team]],MatchData[sally port available])</f>
        <v>#VALUE!</v>
      </c>
      <c r="CF184" s="16" t="e">
        <f aca="false">SUMIF(MatchData[team],MatchData[[#this row],[team]],MatchData[rock wall available])</f>
        <v>#VALUE!</v>
      </c>
      <c r="CG184" s="16" t="e">
        <f aca="false">SUMIF(MatchData[team],MatchData[[#this row],[team]],MatchData[rough terrain available])</f>
        <v>#VALUE!</v>
      </c>
      <c r="CH184" s="16" t="e">
        <f aca="false">SUMIF(MatchData[team],MatchData[[#this row],[team]],MatchData[low bar available])</f>
        <v>#VALUE!</v>
      </c>
      <c r="CI184" s="16" t="e">
        <f aca="false">SUMIF(MatchData[team],MatchData[[#this row],[team]],MatchData[portcullis teleop crossings]:MatchData[portcullis scored crossings])</f>
        <v>#VALUE!</v>
      </c>
      <c r="CJ184" s="16" t="e">
        <f aca="false">SUMIF(MatchData[team],MatchData[[#this row],[team]],MatchData[cheval teleop crossings])+SUMIF(MatchData[team],MatchData[[#this row],[team]],MatchData[cheval scored crossings])</f>
        <v>#VALUE!</v>
      </c>
      <c r="CK184" s="16" t="e">
        <f aca="false">SUMIF(MatchData[team],MatchData[[#this row],[team]],MatchData[moat teleop crossings])+SUMIF(MatchData[team],MatchData[[#this row],[team]],MatchData[moat scored crosings])</f>
        <v>#VALUE!</v>
      </c>
      <c r="CL184" s="16" t="e">
        <f aca="false">SUMIF(MatchData[team],MatchData[[#this row],[team]],MatchData[ramparts teleop crossings])+SUMIF(MatchData[team],MatchData[[#this row],[team]],MatchData[ramparts scored crossings])</f>
        <v>#VALUE!</v>
      </c>
      <c r="CM184" s="16" t="e">
        <f aca="false">SUMIF(MatchData[team],MatchData[[#this row],[team]],MatchData[drawbridge teleop crossings])+SUMIF(MatchData[team],MatchData[[#this row],[team]],MatchData[drawbridge scored crossings])</f>
        <v>#VALUE!</v>
      </c>
      <c r="CN184" s="16" t="e">
        <f aca="false">SUMIF(MatchData[team],MatchData[[#this row],[team]],MatchData[sally port teleop crossings])+SUMIF(MatchData[team],MatchData[[#this row],[team]],MatchData[sally port scored crossings])</f>
        <v>#VALUE!</v>
      </c>
      <c r="CO184" s="16" t="e">
        <f aca="false">SUMIF(MatchData[team],MatchData[[#this row],[team]],MatchData[rock wall teleop crossings])+SUMIF(MatchData[team],MatchData[[#this row],[team]],MatchData[rock wall scored crossings])</f>
        <v>#VALUE!</v>
      </c>
      <c r="CP184" s="16" t="e">
        <f aca="false">SUMIF(MatchData[team],MatchData[[#this row],[team]],MatchData[rough terrain teleop crossings])+SUMIF(MatchData[team],MatchData[[#this row],[team]],MatchData[rough terrain scored crossings])</f>
        <v>#VALUE!</v>
      </c>
      <c r="CQ184" s="16" t="e">
        <f aca="false">SUMIF(MatchData[team],MatchData[[#this row],[team]],MatchData[low bar teleop crossings])+SUMIF(MatchData[team],MatchData[[#this row],[team]],MatchData[low bar scored crossings])</f>
        <v>#VALUE!</v>
      </c>
      <c r="CR184" s="16" t="e">
        <f aca="false">IFERROR(ROUND(MatchData[[#this row],[portcullis sum]]/MatchData[[#this row],[portcullis avail count]],2),0)</f>
        <v>#VALUE!</v>
      </c>
      <c r="CS184" s="16" t="e">
        <f aca="false">IFERROR(ROUND(MatchData[[#this row],[cheval sum]]/MatchData[[#this row],[cheval avail count]],2),0)</f>
        <v>#VALUE!</v>
      </c>
      <c r="CT184" s="16" t="e">
        <f aca="false">IFERROR(ROUND(MatchData[[#this row],[moat sum]]/MatchData[[#this row],[moat avail count]],2),0)</f>
        <v>#VALUE!</v>
      </c>
      <c r="CU184" s="16" t="e">
        <f aca="false">IFERROR(ROUND(MatchData[[#this row],[ramparts sum]]/MatchData[[#this row],[ramparts avail count]],2),0)</f>
        <v>#VALUE!</v>
      </c>
      <c r="CV184" s="16" t="e">
        <f aca="false">IFERROR(ROUND(MatchData[[#this row],[drawbridge sum]]/MatchData[[#this row],[drawbridge avail countigh6]],2),0)</f>
        <v>#VALUE!</v>
      </c>
      <c r="CW184" s="16" t="e">
        <f aca="false">IFERROR(ROUND(MatchData[[#this row],[sally port sum]]/MatchData[[#this row],[sally port avail count]],2),0)</f>
        <v>#VALUE!</v>
      </c>
      <c r="CX184" s="5" t="e">
        <f aca="false">IFERROR(ROUND(MatchData[[#this row],[rock wall sum]]/MatchData[[#this row],[rock wall avail count]],2),0)</f>
        <v>#VALUE!</v>
      </c>
      <c r="CY184" s="5" t="e">
        <f aca="false">IFERROR(ROUND(MatchData[[#this row],[rough terrain sum]]/MatchData[[#this row],[rough terrain avail count]],2),0)</f>
        <v>#VALUE!</v>
      </c>
      <c r="CZ184" s="5" t="e">
        <f aca="false">IFERROR(ROUND(MatchData[[#this row],[low bar sum]]/MatchData[[#this row],[low bar avail count]],2),0)</f>
        <v>#VALUE!</v>
      </c>
      <c r="DA184" s="16" t="e">
        <f aca="false">SUM(MatchData[[#this row],[cheval sum]:[low bar sum]])/MatchData[match count]</f>
        <v>#VALUE!</v>
      </c>
      <c r="DB184" s="16" t="n">
        <f aca="false">MAX(IF(C$2:C$74=C184,BP$2:BP$74))</f>
        <v>-1.79769313486232E+308</v>
      </c>
      <c r="DC184" s="16" t="e">
        <f aca="false">AVERAGEIF(MatchData[team],MatchData[[#this row],[team]],MatchData[total score])</f>
        <v>#VALUE!</v>
      </c>
      <c r="DD184" s="16" t="e">
        <f aca="false">ROUND(AVERAGEIF(MatchData[team],MatchData[team],MatchData[climb or challenge flag]),2)</f>
        <v>#VALUE!</v>
      </c>
    </row>
    <row r="185" customFormat="false" ht="14.5" hidden="false" customHeight="false" outlineLevel="0" collapsed="false">
      <c r="A185" s="20" t="s">
        <v>108</v>
      </c>
      <c r="B185" s="21" t="n">
        <v>31</v>
      </c>
      <c r="C185" s="15" t="n">
        <v>2002</v>
      </c>
      <c r="D185" s="5" t="s">
        <v>113</v>
      </c>
      <c r="E185" s="5" t="s">
        <v>111</v>
      </c>
      <c r="G185" s="16"/>
      <c r="I185" s="16"/>
      <c r="J185" s="5" t="n">
        <v>1</v>
      </c>
      <c r="K185" s="16"/>
      <c r="L185" s="5" t="n">
        <v>1</v>
      </c>
      <c r="M185" s="5" t="n">
        <v>1</v>
      </c>
      <c r="N185" s="0"/>
      <c r="O185" s="5" t="n">
        <v>1</v>
      </c>
      <c r="P185" s="0"/>
      <c r="Q185" s="5" t="n">
        <v>1</v>
      </c>
      <c r="R185" s="0"/>
      <c r="S185" s="16"/>
      <c r="T185" s="0"/>
      <c r="U185" s="16"/>
      <c r="V185" s="16" t="n">
        <v>1</v>
      </c>
      <c r="W185" s="0"/>
      <c r="AD185" s="16"/>
      <c r="AE185" s="5"/>
      <c r="AF185" s="16"/>
      <c r="AG185" s="16"/>
      <c r="AH185" s="16"/>
      <c r="AJ185" s="16" t="n">
        <v>1</v>
      </c>
      <c r="AL185" s="16"/>
      <c r="AN185" s="16"/>
      <c r="AP185" s="16"/>
      <c r="AR185" s="16"/>
      <c r="AT185" s="16"/>
      <c r="AU185" s="16"/>
      <c r="AV185" s="16" t="n">
        <v>1</v>
      </c>
      <c r="AW185" s="16" t="n">
        <v>1</v>
      </c>
      <c r="AX185" s="16"/>
      <c r="AY185" s="16"/>
      <c r="AZ185" s="16"/>
      <c r="BB185" s="16"/>
      <c r="BC185" s="16" t="e">
        <f aca="false">MatchData[cheval scored crossings]*5</f>
        <v>#VALUE!</v>
      </c>
      <c r="BD185" s="16" t="e">
        <f aca="false">MatchData[moat scored crosings]*5</f>
        <v>#VALUE!</v>
      </c>
      <c r="BE185" s="16" t="e">
        <f aca="false">MatchData[ramparts scored crossings]*5</f>
        <v>#VALUE!</v>
      </c>
      <c r="BF185" s="16" t="e">
        <f aca="false">MatchData[drawbridge scored crossings]*5</f>
        <v>#VALUE!</v>
      </c>
      <c r="BG185" s="16" t="e">
        <f aca="false">MatchData[sally port scored crossings]*5</f>
        <v>#VALUE!</v>
      </c>
      <c r="BH185" s="16" t="e">
        <f aca="false">MatchData[rock wall scored crossings]*5</f>
        <v>#VALUE!</v>
      </c>
      <c r="BI185" s="16" t="e">
        <f aca="false">MatchData[rough terrain scored crossings]*5</f>
        <v>#VALUE!</v>
      </c>
      <c r="BJ185" s="16" t="e">
        <f aca="false">MatchData[low bar scored crossings]*5</f>
        <v>#VALUE!</v>
      </c>
      <c r="BK185" s="16" t="e">
        <f aca="false">SUM(MatchData[[#this row],[low bar teleop crossings]:[rough terrain scored crossings]])</f>
        <v>#VALUE!</v>
      </c>
      <c r="BL185" s="16" t="e">
        <f aca="false">IFERROR(IF(OR(MatchData[[#this row],[challenge flag]],MatchData[[#this row],[climb flag]]),1,0),0)</f>
        <v>#VALUE!</v>
      </c>
      <c r="BM185" s="16" t="e">
        <f aca="false">MatchData[auto high goals]*10+MatchData[teleop high goals]*5</f>
        <v>#VALUE!</v>
      </c>
      <c r="BN185" s="16" t="e">
        <f aca="false">MatchData[auto low goals]*5+MatchData[teleop low goals]*2</f>
        <v>#VALUE!</v>
      </c>
      <c r="BO185" s="16" t="e">
        <f aca="false">MatchData[high goal score]+MatchData[low goal score]</f>
        <v>#VALUE!</v>
      </c>
      <c r="BP185" s="16" t="e">
        <f aca="false">MatchData[teleop high goals]+MatchData[teleop low goals]</f>
        <v>#VALUE!</v>
      </c>
      <c r="BQ185" s="16" t="e">
        <f aca="false">MatchData[[#this row],[auto reach flag]]*2+SUM(MatchData[[#this row],[portcullis auto crossings]:[low bar auto crossings]])*10+MatchData[[#this row],[auto low goals]]*5+MatchData[auto high goals]*10</f>
        <v>#VALUE!</v>
      </c>
      <c r="BR185" s="16" t="e">
        <f aca="false">SUM(MatchData[[#this row],[cheval teleop crossing score]:[low bar teleop crossing score]])</f>
        <v>#VALUE!</v>
      </c>
      <c r="BS185" s="16" t="e">
        <f aca="false">SUMIF(MatchData[team],MatchData[[#this row],[team]],MatchData[total auto score])/MatchData[match count]</f>
        <v>#VALUE!</v>
      </c>
      <c r="BT185" s="16" t="e">
        <f aca="false">MatchData[challenge flag]*5</f>
        <v>#VALUE!</v>
      </c>
      <c r="BU185" s="16" t="e">
        <f aca="false">MatchData[climb flag]*15</f>
        <v>#VALUE!</v>
      </c>
      <c r="BV185" s="16" t="e">
        <f aca="false">SUM(MatchData[[#this row],[total goal score]],MatchData[[#this row],[crossing score]],MatchData[[#this row],[challenge score]],MatchData[[#this row],[climb score]],MatchData[[#this row],[total auto score]])</f>
        <v>#VALUE!</v>
      </c>
      <c r="BW185" s="16" t="e">
        <f aca="false">ROUND(SUMIF(MatchData[team],MatchData[[#this row],[team]],MatchData[teleop low goals])/COUNTIF(MatchData[team],MatchData[[#this row],[team]]),2)</f>
        <v>#VALUE!</v>
      </c>
      <c r="BX185" s="16" t="e">
        <f aca="false">ROUND(SUMIF(MatchData[team],MatchData[[#this row],[team]],MatchData[teleop high goals])/COUNTIF(MatchData[team],MatchData[[#this row],[team]]),2)</f>
        <v>#VALUE!</v>
      </c>
      <c r="BY185" s="16" t="e">
        <f aca="false">COUNTIF(MatchData[team],MatchData[[#this row],[team]])</f>
        <v>#VALUE!</v>
      </c>
      <c r="BZ185" s="16" t="e">
        <f aca="false">SUMIF(MatchData[team],MatchData[[#this row],[team]],MatchData[portcullis available])</f>
        <v>#VALUE!</v>
      </c>
      <c r="CA185" s="16" t="e">
        <f aca="false">SUMIF(MatchData[team],MatchData[[#this row],[team]],MatchData[cheval available])</f>
        <v>#VALUE!</v>
      </c>
      <c r="CB185" s="16" t="e">
        <f aca="false">SUMIF(MatchData[team],MatchData[[#this row],[team]],MatchData[moat available])</f>
        <v>#VALUE!</v>
      </c>
      <c r="CC185" s="16" t="e">
        <f aca="false">SUMIF(MatchData[team],MatchData[[#this row],[team]],MatchData[ramparts available])</f>
        <v>#VALUE!</v>
      </c>
      <c r="CD185" s="16" t="e">
        <f aca="false">SUMIF(MatchData[team],MatchData[[#this row],[team]],MatchData[drawbridge available])</f>
        <v>#VALUE!</v>
      </c>
      <c r="CE185" s="16" t="e">
        <f aca="false">SUMIF(MatchData[team],MatchData[[#this row],[team]],MatchData[sally port available])</f>
        <v>#VALUE!</v>
      </c>
      <c r="CF185" s="16" t="e">
        <f aca="false">SUMIF(MatchData[team],MatchData[[#this row],[team]],MatchData[rock wall available])</f>
        <v>#VALUE!</v>
      </c>
      <c r="CG185" s="16" t="e">
        <f aca="false">SUMIF(MatchData[team],MatchData[[#this row],[team]],MatchData[rough terrain available])</f>
        <v>#VALUE!</v>
      </c>
      <c r="CH185" s="16" t="e">
        <f aca="false">SUMIF(MatchData[team],MatchData[[#this row],[team]],MatchData[low bar available])</f>
        <v>#VALUE!</v>
      </c>
      <c r="CI185" s="16" t="e">
        <f aca="false">SUMIF(MatchData[team],MatchData[[#this row],[team]],MatchData[portcullis teleop crossings]:MatchData[portcullis scored crossings])</f>
        <v>#VALUE!</v>
      </c>
      <c r="CJ185" s="16" t="e">
        <f aca="false">SUMIF(MatchData[team],MatchData[[#this row],[team]],MatchData[cheval teleop crossings])+SUMIF(MatchData[team],MatchData[[#this row],[team]],MatchData[cheval scored crossings])</f>
        <v>#VALUE!</v>
      </c>
      <c r="CK185" s="16" t="e">
        <f aca="false">SUMIF(MatchData[team],MatchData[[#this row],[team]],MatchData[moat teleop crossings])+SUMIF(MatchData[team],MatchData[[#this row],[team]],MatchData[moat scored crosings])</f>
        <v>#VALUE!</v>
      </c>
      <c r="CL185" s="16" t="e">
        <f aca="false">SUMIF(MatchData[team],MatchData[[#this row],[team]],MatchData[ramparts teleop crossings])+SUMIF(MatchData[team],MatchData[[#this row],[team]],MatchData[ramparts scored crossings])</f>
        <v>#VALUE!</v>
      </c>
      <c r="CM185" s="16" t="e">
        <f aca="false">SUMIF(MatchData[team],MatchData[[#this row],[team]],MatchData[drawbridge teleop crossings])+SUMIF(MatchData[team],MatchData[[#this row],[team]],MatchData[drawbridge scored crossings])</f>
        <v>#VALUE!</v>
      </c>
      <c r="CN185" s="16" t="e">
        <f aca="false">SUMIF(MatchData[team],MatchData[[#this row],[team]],MatchData[sally port teleop crossings])+SUMIF(MatchData[team],MatchData[[#this row],[team]],MatchData[sally port scored crossings])</f>
        <v>#VALUE!</v>
      </c>
      <c r="CO185" s="16" t="e">
        <f aca="false">SUMIF(MatchData[team],MatchData[[#this row],[team]],MatchData[rock wall teleop crossings])+SUMIF(MatchData[team],MatchData[[#this row],[team]],MatchData[rock wall scored crossings])</f>
        <v>#VALUE!</v>
      </c>
      <c r="CP185" s="16" t="e">
        <f aca="false">SUMIF(MatchData[team],MatchData[[#this row],[team]],MatchData[rough terrain teleop crossings])+SUMIF(MatchData[team],MatchData[[#this row],[team]],MatchData[rough terrain scored crossings])</f>
        <v>#VALUE!</v>
      </c>
      <c r="CQ185" s="16" t="e">
        <f aca="false">SUMIF(MatchData[team],MatchData[[#this row],[team]],MatchData[low bar teleop crossings])+SUMIF(MatchData[team],MatchData[[#this row],[team]],MatchData[low bar scored crossings])</f>
        <v>#VALUE!</v>
      </c>
      <c r="CR185" s="16" t="e">
        <f aca="false">IFERROR(ROUND(MatchData[[#this row],[portcullis sum]]/MatchData[[#this row],[portcullis avail count]],2),0)</f>
        <v>#VALUE!</v>
      </c>
      <c r="CS185" s="16" t="e">
        <f aca="false">IFERROR(ROUND(MatchData[[#this row],[cheval sum]]/MatchData[[#this row],[cheval avail count]],2),0)</f>
        <v>#VALUE!</v>
      </c>
      <c r="CT185" s="16" t="e">
        <f aca="false">IFERROR(ROUND(MatchData[[#this row],[moat sum]]/MatchData[[#this row],[moat avail count]],2),0)</f>
        <v>#VALUE!</v>
      </c>
      <c r="CU185" s="16" t="e">
        <f aca="false">IFERROR(ROUND(MatchData[[#this row],[ramparts sum]]/MatchData[[#this row],[ramparts avail count]],2),0)</f>
        <v>#VALUE!</v>
      </c>
      <c r="CV185" s="16" t="e">
        <f aca="false">IFERROR(ROUND(MatchData[[#this row],[drawbridge sum]]/MatchData[[#this row],[drawbridge avail countigh6]],2),0)</f>
        <v>#VALUE!</v>
      </c>
      <c r="CW185" s="16" t="e">
        <f aca="false">IFERROR(ROUND(MatchData[[#this row],[sally port sum]]/MatchData[[#this row],[sally port avail count]],2),0)</f>
        <v>#VALUE!</v>
      </c>
      <c r="CX185" s="5" t="e">
        <f aca="false">IFERROR(ROUND(MatchData[[#this row],[rock wall sum]]/MatchData[[#this row],[rock wall avail count]],2),0)</f>
        <v>#VALUE!</v>
      </c>
      <c r="CY185" s="5" t="e">
        <f aca="false">IFERROR(ROUND(MatchData[[#this row],[rough terrain sum]]/MatchData[[#this row],[rough terrain avail count]],2),0)</f>
        <v>#VALUE!</v>
      </c>
      <c r="CZ185" s="5" t="e">
        <f aca="false">IFERROR(ROUND(MatchData[[#this row],[low bar sum]]/MatchData[[#this row],[low bar avail count]],2),0)</f>
        <v>#VALUE!</v>
      </c>
      <c r="DA185" s="16" t="e">
        <f aca="false">SUM(MatchData[[#this row],[cheval sum]:[low bar sum]])/MatchData[match count]</f>
        <v>#VALUE!</v>
      </c>
      <c r="DB185" s="16" t="n">
        <f aca="false">MAX(IF(C$2:C$74=C185,BP$2:BP$74))</f>
        <v>-1.79769313486232E+308</v>
      </c>
      <c r="DC185" s="16" t="e">
        <f aca="false">AVERAGEIF(MatchData[team],MatchData[[#this row],[team]],MatchData[total score])</f>
        <v>#VALUE!</v>
      </c>
      <c r="DD185" s="16" t="e">
        <f aca="false">ROUND(AVERAGEIF(MatchData[team],MatchData[team],MatchData[climb or challenge flag]),2)</f>
        <v>#VALUE!</v>
      </c>
    </row>
    <row r="186" customFormat="false" ht="14.5" hidden="false" customHeight="false" outlineLevel="0" collapsed="false">
      <c r="A186" s="20" t="s">
        <v>108</v>
      </c>
      <c r="B186" s="21" t="n">
        <v>31</v>
      </c>
      <c r="C186" s="15" t="n">
        <v>2374</v>
      </c>
      <c r="D186" s="5" t="s">
        <v>113</v>
      </c>
      <c r="E186" s="5" t="s">
        <v>118</v>
      </c>
      <c r="G186" s="16"/>
      <c r="I186" s="16"/>
      <c r="J186" s="5" t="n">
        <v>1</v>
      </c>
      <c r="K186" s="16"/>
      <c r="L186" s="5" t="n">
        <v>1</v>
      </c>
      <c r="M186" s="5" t="n">
        <v>1</v>
      </c>
      <c r="N186" s="0"/>
      <c r="O186" s="5" t="n">
        <v>1</v>
      </c>
      <c r="P186" s="0"/>
      <c r="Q186" s="5" t="n">
        <v>1</v>
      </c>
      <c r="R186" s="0"/>
      <c r="S186" s="16"/>
      <c r="T186" s="0"/>
      <c r="U186" s="16"/>
      <c r="V186" s="16"/>
      <c r="W186" s="0"/>
      <c r="AD186" s="16"/>
      <c r="AE186" s="5"/>
      <c r="AF186" s="16"/>
      <c r="AG186" s="16"/>
      <c r="AH186" s="16"/>
      <c r="AJ186" s="16" t="n">
        <v>1</v>
      </c>
      <c r="AL186" s="16"/>
      <c r="AN186" s="16" t="n">
        <v>1</v>
      </c>
      <c r="AP186" s="16"/>
      <c r="AR186" s="16" t="n">
        <v>1</v>
      </c>
      <c r="AT186" s="16"/>
      <c r="AU186" s="16"/>
      <c r="AV186" s="16"/>
      <c r="AW186" s="16" t="n">
        <v>1</v>
      </c>
      <c r="AX186" s="16"/>
      <c r="AY186" s="16"/>
      <c r="AZ186" s="16"/>
      <c r="BB186" s="16"/>
      <c r="BC186" s="16" t="e">
        <f aca="false">MatchData[cheval scored crossings]*5</f>
        <v>#VALUE!</v>
      </c>
      <c r="BD186" s="16" t="e">
        <f aca="false">MatchData[moat scored crosings]*5</f>
        <v>#VALUE!</v>
      </c>
      <c r="BE186" s="16" t="e">
        <f aca="false">MatchData[ramparts scored crossings]*5</f>
        <v>#VALUE!</v>
      </c>
      <c r="BF186" s="16" t="e">
        <f aca="false">MatchData[drawbridge scored crossings]*5</f>
        <v>#VALUE!</v>
      </c>
      <c r="BG186" s="16" t="e">
        <f aca="false">MatchData[sally port scored crossings]*5</f>
        <v>#VALUE!</v>
      </c>
      <c r="BH186" s="16" t="e">
        <f aca="false">MatchData[rock wall scored crossings]*5</f>
        <v>#VALUE!</v>
      </c>
      <c r="BI186" s="16" t="e">
        <f aca="false">MatchData[rough terrain scored crossings]*5</f>
        <v>#VALUE!</v>
      </c>
      <c r="BJ186" s="16" t="e">
        <f aca="false">MatchData[low bar scored crossings]*5</f>
        <v>#VALUE!</v>
      </c>
      <c r="BK186" s="16" t="e">
        <f aca="false">SUM(MatchData[[#this row],[low bar teleop crossings]:[rough terrain scored crossings]])</f>
        <v>#VALUE!</v>
      </c>
      <c r="BL186" s="16" t="e">
        <f aca="false">IFERROR(IF(OR(MatchData[[#this row],[challenge flag]],MatchData[[#this row],[climb flag]]),1,0),0)</f>
        <v>#VALUE!</v>
      </c>
      <c r="BM186" s="16" t="e">
        <f aca="false">MatchData[auto high goals]*10+MatchData[teleop high goals]*5</f>
        <v>#VALUE!</v>
      </c>
      <c r="BN186" s="16" t="e">
        <f aca="false">MatchData[auto low goals]*5+MatchData[teleop low goals]*2</f>
        <v>#VALUE!</v>
      </c>
      <c r="BO186" s="16" t="e">
        <f aca="false">MatchData[high goal score]+MatchData[low goal score]</f>
        <v>#VALUE!</v>
      </c>
      <c r="BP186" s="16" t="e">
        <f aca="false">MatchData[teleop high goals]+MatchData[teleop low goals]</f>
        <v>#VALUE!</v>
      </c>
      <c r="BQ186" s="16" t="e">
        <f aca="false">MatchData[[#this row],[auto reach flag]]*2+SUM(MatchData[[#this row],[portcullis auto crossings]:[low bar auto crossings]])*10+MatchData[[#this row],[auto low goals]]*5+MatchData[auto high goals]*10</f>
        <v>#VALUE!</v>
      </c>
      <c r="BR186" s="16" t="e">
        <f aca="false">SUM(MatchData[[#this row],[cheval teleop crossing score]:[low bar teleop crossing score]])</f>
        <v>#VALUE!</v>
      </c>
      <c r="BS186" s="16" t="e">
        <f aca="false">SUMIF(MatchData[team],MatchData[[#this row],[team]],MatchData[total auto score])/MatchData[match count]</f>
        <v>#VALUE!</v>
      </c>
      <c r="BT186" s="16" t="e">
        <f aca="false">MatchData[challenge flag]*5</f>
        <v>#VALUE!</v>
      </c>
      <c r="BU186" s="16" t="e">
        <f aca="false">MatchData[climb flag]*15</f>
        <v>#VALUE!</v>
      </c>
      <c r="BV186" s="16" t="e">
        <f aca="false">SUM(MatchData[[#this row],[total goal score]],MatchData[[#this row],[crossing score]],MatchData[[#this row],[challenge score]],MatchData[[#this row],[climb score]],MatchData[[#this row],[total auto score]])</f>
        <v>#VALUE!</v>
      </c>
      <c r="BW186" s="16" t="e">
        <f aca="false">ROUND(SUMIF(MatchData[team],MatchData[[#this row],[team]],MatchData[teleop low goals])/COUNTIF(MatchData[team],MatchData[[#this row],[team]]),2)</f>
        <v>#VALUE!</v>
      </c>
      <c r="BX186" s="16" t="e">
        <f aca="false">ROUND(SUMIF(MatchData[team],MatchData[[#this row],[team]],MatchData[teleop high goals])/COUNTIF(MatchData[team],MatchData[[#this row],[team]]),2)</f>
        <v>#VALUE!</v>
      </c>
      <c r="BY186" s="16" t="e">
        <f aca="false">COUNTIF(MatchData[team],MatchData[[#this row],[team]])</f>
        <v>#VALUE!</v>
      </c>
      <c r="BZ186" s="16" t="e">
        <f aca="false">SUMIF(MatchData[team],MatchData[[#this row],[team]],MatchData[portcullis available])</f>
        <v>#VALUE!</v>
      </c>
      <c r="CA186" s="16" t="e">
        <f aca="false">SUMIF(MatchData[team],MatchData[[#this row],[team]],MatchData[cheval available])</f>
        <v>#VALUE!</v>
      </c>
      <c r="CB186" s="16" t="e">
        <f aca="false">SUMIF(MatchData[team],MatchData[[#this row],[team]],MatchData[moat available])</f>
        <v>#VALUE!</v>
      </c>
      <c r="CC186" s="16" t="e">
        <f aca="false">SUMIF(MatchData[team],MatchData[[#this row],[team]],MatchData[ramparts available])</f>
        <v>#VALUE!</v>
      </c>
      <c r="CD186" s="16" t="e">
        <f aca="false">SUMIF(MatchData[team],MatchData[[#this row],[team]],MatchData[drawbridge available])</f>
        <v>#VALUE!</v>
      </c>
      <c r="CE186" s="16" t="e">
        <f aca="false">SUMIF(MatchData[team],MatchData[[#this row],[team]],MatchData[sally port available])</f>
        <v>#VALUE!</v>
      </c>
      <c r="CF186" s="16" t="e">
        <f aca="false">SUMIF(MatchData[team],MatchData[[#this row],[team]],MatchData[rock wall available])</f>
        <v>#VALUE!</v>
      </c>
      <c r="CG186" s="16" t="e">
        <f aca="false">SUMIF(MatchData[team],MatchData[[#this row],[team]],MatchData[rough terrain available])</f>
        <v>#VALUE!</v>
      </c>
      <c r="CH186" s="16" t="e">
        <f aca="false">SUMIF(MatchData[team],MatchData[[#this row],[team]],MatchData[low bar available])</f>
        <v>#VALUE!</v>
      </c>
      <c r="CI186" s="16" t="e">
        <f aca="false">SUMIF(MatchData[team],MatchData[[#this row],[team]],MatchData[portcullis teleop crossings]:MatchData[portcullis scored crossings])</f>
        <v>#VALUE!</v>
      </c>
      <c r="CJ186" s="16" t="e">
        <f aca="false">SUMIF(MatchData[team],MatchData[[#this row],[team]],MatchData[cheval teleop crossings])+SUMIF(MatchData[team],MatchData[[#this row],[team]],MatchData[cheval scored crossings])</f>
        <v>#VALUE!</v>
      </c>
      <c r="CK186" s="16" t="e">
        <f aca="false">SUMIF(MatchData[team],MatchData[[#this row],[team]],MatchData[moat teleop crossings])+SUMIF(MatchData[team],MatchData[[#this row],[team]],MatchData[moat scored crosings])</f>
        <v>#VALUE!</v>
      </c>
      <c r="CL186" s="16" t="e">
        <f aca="false">SUMIF(MatchData[team],MatchData[[#this row],[team]],MatchData[ramparts teleop crossings])+SUMIF(MatchData[team],MatchData[[#this row],[team]],MatchData[ramparts scored crossings])</f>
        <v>#VALUE!</v>
      </c>
      <c r="CM186" s="16" t="e">
        <f aca="false">SUMIF(MatchData[team],MatchData[[#this row],[team]],MatchData[drawbridge teleop crossings])+SUMIF(MatchData[team],MatchData[[#this row],[team]],MatchData[drawbridge scored crossings])</f>
        <v>#VALUE!</v>
      </c>
      <c r="CN186" s="16" t="e">
        <f aca="false">SUMIF(MatchData[team],MatchData[[#this row],[team]],MatchData[sally port teleop crossings])+SUMIF(MatchData[team],MatchData[[#this row],[team]],MatchData[sally port scored crossings])</f>
        <v>#VALUE!</v>
      </c>
      <c r="CO186" s="16" t="e">
        <f aca="false">SUMIF(MatchData[team],MatchData[[#this row],[team]],MatchData[rock wall teleop crossings])+SUMIF(MatchData[team],MatchData[[#this row],[team]],MatchData[rock wall scored crossings])</f>
        <v>#VALUE!</v>
      </c>
      <c r="CP186" s="16" t="e">
        <f aca="false">SUMIF(MatchData[team],MatchData[[#this row],[team]],MatchData[rough terrain teleop crossings])+SUMIF(MatchData[team],MatchData[[#this row],[team]],MatchData[rough terrain scored crossings])</f>
        <v>#VALUE!</v>
      </c>
      <c r="CQ186" s="16" t="e">
        <f aca="false">SUMIF(MatchData[team],MatchData[[#this row],[team]],MatchData[low bar teleop crossings])+SUMIF(MatchData[team],MatchData[[#this row],[team]],MatchData[low bar scored crossings])</f>
        <v>#VALUE!</v>
      </c>
      <c r="CR186" s="16" t="e">
        <f aca="false">IFERROR(ROUND(MatchData[[#this row],[portcullis sum]]/MatchData[[#this row],[portcullis avail count]],2),0)</f>
        <v>#VALUE!</v>
      </c>
      <c r="CS186" s="16" t="e">
        <f aca="false">IFERROR(ROUND(MatchData[[#this row],[cheval sum]]/MatchData[[#this row],[cheval avail count]],2),0)</f>
        <v>#VALUE!</v>
      </c>
      <c r="CT186" s="16" t="e">
        <f aca="false">IFERROR(ROUND(MatchData[[#this row],[moat sum]]/MatchData[[#this row],[moat avail count]],2),0)</f>
        <v>#VALUE!</v>
      </c>
      <c r="CU186" s="16" t="e">
        <f aca="false">IFERROR(ROUND(MatchData[[#this row],[ramparts sum]]/MatchData[[#this row],[ramparts avail count]],2),0)</f>
        <v>#VALUE!</v>
      </c>
      <c r="CV186" s="16" t="e">
        <f aca="false">IFERROR(ROUND(MatchData[[#this row],[drawbridge sum]]/MatchData[[#this row],[drawbridge avail countigh6]],2),0)</f>
        <v>#VALUE!</v>
      </c>
      <c r="CW186" s="16" t="e">
        <f aca="false">IFERROR(ROUND(MatchData[[#this row],[sally port sum]]/MatchData[[#this row],[sally port avail count]],2),0)</f>
        <v>#VALUE!</v>
      </c>
      <c r="CX186" s="5" t="e">
        <f aca="false">IFERROR(ROUND(MatchData[[#this row],[rock wall sum]]/MatchData[[#this row],[rock wall avail count]],2),0)</f>
        <v>#VALUE!</v>
      </c>
      <c r="CY186" s="5" t="e">
        <f aca="false">IFERROR(ROUND(MatchData[[#this row],[rough terrain sum]]/MatchData[[#this row],[rough terrain avail count]],2),0)</f>
        <v>#VALUE!</v>
      </c>
      <c r="CZ186" s="5" t="e">
        <f aca="false">IFERROR(ROUND(MatchData[[#this row],[low bar sum]]/MatchData[[#this row],[low bar avail count]],2),0)</f>
        <v>#VALUE!</v>
      </c>
      <c r="DA186" s="16" t="e">
        <f aca="false">SUM(MatchData[[#this row],[cheval sum]:[low bar sum]])/MatchData[match count]</f>
        <v>#VALUE!</v>
      </c>
      <c r="DB186" s="16" t="n">
        <f aca="false">MAX(IF(C$2:C$74=C186,BP$2:BP$74))</f>
        <v>-1.79769313486232E+308</v>
      </c>
      <c r="DC186" s="16" t="e">
        <f aca="false">AVERAGEIF(MatchData[team],MatchData[[#this row],[team]],MatchData[total score])</f>
        <v>#VALUE!</v>
      </c>
      <c r="DD186" s="16" t="e">
        <f aca="false">ROUND(AVERAGEIF(MatchData[team],MatchData[team],MatchData[climb or challenge flag]),2)</f>
        <v>#VALUE!</v>
      </c>
    </row>
    <row r="187" customFormat="false" ht="14.5" hidden="false" customHeight="false" outlineLevel="0" collapsed="false">
      <c r="A187" s="20" t="s">
        <v>108</v>
      </c>
      <c r="B187" s="22" t="n">
        <v>31</v>
      </c>
      <c r="C187" s="15" t="n">
        <v>5198</v>
      </c>
      <c r="D187" s="5" t="s">
        <v>113</v>
      </c>
      <c r="E187" s="5" t="s">
        <v>153</v>
      </c>
      <c r="G187" s="16"/>
      <c r="I187" s="16"/>
      <c r="J187" s="5" t="n">
        <v>1</v>
      </c>
      <c r="K187" s="16"/>
      <c r="L187" s="5" t="n">
        <v>1</v>
      </c>
      <c r="M187" s="5" t="n">
        <v>1</v>
      </c>
      <c r="N187" s="0"/>
      <c r="O187" s="5" t="n">
        <v>1</v>
      </c>
      <c r="P187" s="0"/>
      <c r="Q187" s="5" t="n">
        <v>1</v>
      </c>
      <c r="R187" s="0"/>
      <c r="S187" s="16"/>
      <c r="T187" s="0"/>
      <c r="U187" s="16"/>
      <c r="V187" s="16"/>
      <c r="W187" s="0"/>
      <c r="AD187" s="16"/>
      <c r="AE187" s="5"/>
      <c r="AF187" s="16"/>
      <c r="AG187" s="16"/>
      <c r="AH187" s="16"/>
      <c r="AJ187" s="16"/>
      <c r="AL187" s="16"/>
      <c r="AN187" s="16" t="n">
        <v>1</v>
      </c>
      <c r="AP187" s="16"/>
      <c r="AR187" s="16"/>
      <c r="AT187" s="16"/>
      <c r="AU187" s="16"/>
      <c r="AV187" s="16" t="n">
        <v>1</v>
      </c>
      <c r="AW187" s="16"/>
      <c r="AX187" s="16"/>
      <c r="AY187" s="16"/>
      <c r="AZ187" s="16"/>
      <c r="BB187" s="16"/>
      <c r="BC187" s="16" t="e">
        <f aca="false">MatchData[cheval scored crossings]*5</f>
        <v>#VALUE!</v>
      </c>
      <c r="BD187" s="16" t="e">
        <f aca="false">MatchData[moat scored crosings]*5</f>
        <v>#VALUE!</v>
      </c>
      <c r="BE187" s="16" t="e">
        <f aca="false">MatchData[ramparts scored crossings]*5</f>
        <v>#VALUE!</v>
      </c>
      <c r="BF187" s="16" t="e">
        <f aca="false">MatchData[drawbridge scored crossings]*5</f>
        <v>#VALUE!</v>
      </c>
      <c r="BG187" s="16" t="e">
        <f aca="false">MatchData[sally port scored crossings]*5</f>
        <v>#VALUE!</v>
      </c>
      <c r="BH187" s="16" t="e">
        <f aca="false">MatchData[rock wall scored crossings]*5</f>
        <v>#VALUE!</v>
      </c>
      <c r="BI187" s="16" t="e">
        <f aca="false">MatchData[rough terrain scored crossings]*5</f>
        <v>#VALUE!</v>
      </c>
      <c r="BJ187" s="16" t="e">
        <f aca="false">MatchData[low bar scored crossings]*5</f>
        <v>#VALUE!</v>
      </c>
      <c r="BK187" s="16" t="e">
        <f aca="false">SUM(MatchData[[#this row],[low bar teleop crossings]:[rough terrain scored crossings]])</f>
        <v>#VALUE!</v>
      </c>
      <c r="BL187" s="16" t="e">
        <f aca="false">IFERROR(IF(OR(MatchData[[#this row],[challenge flag]],MatchData[[#this row],[climb flag]]),1,0),0)</f>
        <v>#VALUE!</v>
      </c>
      <c r="BM187" s="16" t="e">
        <f aca="false">MatchData[auto high goals]*10+MatchData[teleop high goals]*5</f>
        <v>#VALUE!</v>
      </c>
      <c r="BN187" s="16" t="e">
        <f aca="false">MatchData[auto low goals]*5+MatchData[teleop low goals]*2</f>
        <v>#VALUE!</v>
      </c>
      <c r="BO187" s="16" t="e">
        <f aca="false">MatchData[high goal score]+MatchData[low goal score]</f>
        <v>#VALUE!</v>
      </c>
      <c r="BP187" s="16" t="e">
        <f aca="false">MatchData[teleop high goals]+MatchData[teleop low goals]</f>
        <v>#VALUE!</v>
      </c>
      <c r="BQ187" s="16" t="e">
        <f aca="false">MatchData[[#this row],[auto reach flag]]*2+SUM(MatchData[[#this row],[portcullis auto crossings]:[low bar auto crossings]])*10+MatchData[[#this row],[auto low goals]]*5+MatchData[auto high goals]*10</f>
        <v>#VALUE!</v>
      </c>
      <c r="BR187" s="16" t="e">
        <f aca="false">SUM(MatchData[[#this row],[cheval teleop crossing score]:[low bar teleop crossing score]])</f>
        <v>#VALUE!</v>
      </c>
      <c r="BS187" s="16" t="e">
        <f aca="false">SUMIF(MatchData[team],MatchData[[#this row],[team]],MatchData[total auto score])/MatchData[match count]</f>
        <v>#VALUE!</v>
      </c>
      <c r="BT187" s="16" t="e">
        <f aca="false">MatchData[challenge flag]*5</f>
        <v>#VALUE!</v>
      </c>
      <c r="BU187" s="16" t="e">
        <f aca="false">MatchData[climb flag]*15</f>
        <v>#VALUE!</v>
      </c>
      <c r="BV187" s="16" t="e">
        <f aca="false">SUM(MatchData[[#this row],[total goal score]],MatchData[[#this row],[crossing score]],MatchData[[#this row],[challenge score]],MatchData[[#this row],[climb score]],MatchData[[#this row],[total auto score]])</f>
        <v>#VALUE!</v>
      </c>
      <c r="BW187" s="16" t="e">
        <f aca="false">ROUND(SUMIF(MatchData[team],MatchData[[#this row],[team]],MatchData[teleop low goals])/COUNTIF(MatchData[team],MatchData[[#this row],[team]]),2)</f>
        <v>#VALUE!</v>
      </c>
      <c r="BX187" s="16" t="e">
        <f aca="false">ROUND(SUMIF(MatchData[team],MatchData[[#this row],[team]],MatchData[teleop high goals])/COUNTIF(MatchData[team],MatchData[[#this row],[team]]),2)</f>
        <v>#VALUE!</v>
      </c>
      <c r="BY187" s="16" t="e">
        <f aca="false">COUNTIF(MatchData[team],MatchData[[#this row],[team]])</f>
        <v>#VALUE!</v>
      </c>
      <c r="BZ187" s="16" t="e">
        <f aca="false">SUMIF(MatchData[team],MatchData[[#this row],[team]],MatchData[portcullis available])</f>
        <v>#VALUE!</v>
      </c>
      <c r="CA187" s="16" t="e">
        <f aca="false">SUMIF(MatchData[team],MatchData[[#this row],[team]],MatchData[cheval available])</f>
        <v>#VALUE!</v>
      </c>
      <c r="CB187" s="16" t="e">
        <f aca="false">SUMIF(MatchData[team],MatchData[[#this row],[team]],MatchData[moat available])</f>
        <v>#VALUE!</v>
      </c>
      <c r="CC187" s="16" t="e">
        <f aca="false">SUMIF(MatchData[team],MatchData[[#this row],[team]],MatchData[ramparts available])</f>
        <v>#VALUE!</v>
      </c>
      <c r="CD187" s="16" t="e">
        <f aca="false">SUMIF(MatchData[team],MatchData[[#this row],[team]],MatchData[drawbridge available])</f>
        <v>#VALUE!</v>
      </c>
      <c r="CE187" s="16" t="e">
        <f aca="false">SUMIF(MatchData[team],MatchData[[#this row],[team]],MatchData[sally port available])</f>
        <v>#VALUE!</v>
      </c>
      <c r="CF187" s="16" t="e">
        <f aca="false">SUMIF(MatchData[team],MatchData[[#this row],[team]],MatchData[rock wall available])</f>
        <v>#VALUE!</v>
      </c>
      <c r="CG187" s="16" t="e">
        <f aca="false">SUMIF(MatchData[team],MatchData[[#this row],[team]],MatchData[rough terrain available])</f>
        <v>#VALUE!</v>
      </c>
      <c r="CH187" s="16" t="e">
        <f aca="false">SUMIF(MatchData[team],MatchData[[#this row],[team]],MatchData[low bar available])</f>
        <v>#VALUE!</v>
      </c>
      <c r="CI187" s="16" t="e">
        <f aca="false">SUMIF(MatchData[team],MatchData[[#this row],[team]],MatchData[portcullis teleop crossings]:MatchData[portcullis scored crossings])</f>
        <v>#VALUE!</v>
      </c>
      <c r="CJ187" s="16" t="e">
        <f aca="false">SUMIF(MatchData[team],MatchData[[#this row],[team]],MatchData[cheval teleop crossings])+SUMIF(MatchData[team],MatchData[[#this row],[team]],MatchData[cheval scored crossings])</f>
        <v>#VALUE!</v>
      </c>
      <c r="CK187" s="16" t="e">
        <f aca="false">SUMIF(MatchData[team],MatchData[[#this row],[team]],MatchData[moat teleop crossings])+SUMIF(MatchData[team],MatchData[[#this row],[team]],MatchData[moat scored crosings])</f>
        <v>#VALUE!</v>
      </c>
      <c r="CL187" s="16" t="e">
        <f aca="false">SUMIF(MatchData[team],MatchData[[#this row],[team]],MatchData[ramparts teleop crossings])+SUMIF(MatchData[team],MatchData[[#this row],[team]],MatchData[ramparts scored crossings])</f>
        <v>#VALUE!</v>
      </c>
      <c r="CM187" s="16" t="e">
        <f aca="false">SUMIF(MatchData[team],MatchData[[#this row],[team]],MatchData[drawbridge teleop crossings])+SUMIF(MatchData[team],MatchData[[#this row],[team]],MatchData[drawbridge scored crossings])</f>
        <v>#VALUE!</v>
      </c>
      <c r="CN187" s="16" t="e">
        <f aca="false">SUMIF(MatchData[team],MatchData[[#this row],[team]],MatchData[sally port teleop crossings])+SUMIF(MatchData[team],MatchData[[#this row],[team]],MatchData[sally port scored crossings])</f>
        <v>#VALUE!</v>
      </c>
      <c r="CO187" s="16" t="e">
        <f aca="false">SUMIF(MatchData[team],MatchData[[#this row],[team]],MatchData[rock wall teleop crossings])+SUMIF(MatchData[team],MatchData[[#this row],[team]],MatchData[rock wall scored crossings])</f>
        <v>#VALUE!</v>
      </c>
      <c r="CP187" s="16" t="e">
        <f aca="false">SUMIF(MatchData[team],MatchData[[#this row],[team]],MatchData[rough terrain teleop crossings])+SUMIF(MatchData[team],MatchData[[#this row],[team]],MatchData[rough terrain scored crossings])</f>
        <v>#VALUE!</v>
      </c>
      <c r="CQ187" s="16" t="e">
        <f aca="false">SUMIF(MatchData[team],MatchData[[#this row],[team]],MatchData[low bar teleop crossings])+SUMIF(MatchData[team],MatchData[[#this row],[team]],MatchData[low bar scored crossings])</f>
        <v>#VALUE!</v>
      </c>
      <c r="CR187" s="16" t="e">
        <f aca="false">IFERROR(ROUND(MatchData[[#this row],[portcullis sum]]/MatchData[[#this row],[portcullis avail count]],2),0)</f>
        <v>#VALUE!</v>
      </c>
      <c r="CS187" s="16" t="e">
        <f aca="false">IFERROR(ROUND(MatchData[[#this row],[cheval sum]]/MatchData[[#this row],[cheval avail count]],2),0)</f>
        <v>#VALUE!</v>
      </c>
      <c r="CT187" s="16" t="e">
        <f aca="false">IFERROR(ROUND(MatchData[[#this row],[moat sum]]/MatchData[[#this row],[moat avail count]],2),0)</f>
        <v>#VALUE!</v>
      </c>
      <c r="CU187" s="16" t="e">
        <f aca="false">IFERROR(ROUND(MatchData[[#this row],[ramparts sum]]/MatchData[[#this row],[ramparts avail count]],2),0)</f>
        <v>#VALUE!</v>
      </c>
      <c r="CV187" s="16" t="e">
        <f aca="false">IFERROR(ROUND(MatchData[[#this row],[drawbridge sum]]/MatchData[[#this row],[drawbridge avail countigh6]],2),0)</f>
        <v>#VALUE!</v>
      </c>
      <c r="CW187" s="16" t="e">
        <f aca="false">IFERROR(ROUND(MatchData[[#this row],[sally port sum]]/MatchData[[#this row],[sally port avail count]],2),0)</f>
        <v>#VALUE!</v>
      </c>
      <c r="CX187" s="5" t="e">
        <f aca="false">IFERROR(ROUND(MatchData[[#this row],[rock wall sum]]/MatchData[[#this row],[rock wall avail count]],2),0)</f>
        <v>#VALUE!</v>
      </c>
      <c r="CY187" s="5" t="e">
        <f aca="false">IFERROR(ROUND(MatchData[[#this row],[rough terrain sum]]/MatchData[[#this row],[rough terrain avail count]],2),0)</f>
        <v>#VALUE!</v>
      </c>
      <c r="CZ187" s="5" t="e">
        <f aca="false">IFERROR(ROUND(MatchData[[#this row],[low bar sum]]/MatchData[[#this row],[low bar avail count]],2),0)</f>
        <v>#VALUE!</v>
      </c>
      <c r="DA187" s="16" t="e">
        <f aca="false">SUM(MatchData[[#this row],[cheval sum]:[low bar sum]])/MatchData[match count]</f>
        <v>#VALUE!</v>
      </c>
      <c r="DB187" s="16" t="n">
        <f aca="false">MAX(IF(C$2:C$74=C187,BP$2:BP$74))</f>
        <v>-1.79769313486232E+308</v>
      </c>
      <c r="DC187" s="16" t="e">
        <f aca="false">AVERAGEIF(MatchData[team],MatchData[[#this row],[team]],MatchData[total score])</f>
        <v>#VALUE!</v>
      </c>
      <c r="DD187" s="16" t="e">
        <f aca="false">ROUND(AVERAGEIF(MatchData[team],MatchData[team],MatchData[climb or challenge flag]),2)</f>
        <v>#VALUE!</v>
      </c>
    </row>
    <row r="188" customFormat="false" ht="14.5" hidden="false" customHeight="false" outlineLevel="0" collapsed="false">
      <c r="A188" s="20" t="s">
        <v>108</v>
      </c>
      <c r="B188" s="22" t="n">
        <v>32</v>
      </c>
      <c r="C188" s="15" t="n">
        <v>2521</v>
      </c>
      <c r="D188" s="5" t="s">
        <v>155</v>
      </c>
      <c r="G188" s="16"/>
      <c r="I188" s="16"/>
      <c r="J188" s="0"/>
      <c r="K188" s="16"/>
      <c r="N188" s="0"/>
      <c r="O188" s="0"/>
      <c r="P188" s="0"/>
      <c r="Q188" s="0"/>
      <c r="R188" s="0"/>
      <c r="S188" s="16"/>
      <c r="T188" s="0"/>
      <c r="U188" s="16"/>
      <c r="V188" s="16"/>
      <c r="W188" s="0"/>
      <c r="AD188" s="16"/>
      <c r="AE188" s="5"/>
      <c r="AF188" s="16"/>
      <c r="AG188" s="16"/>
      <c r="AH188" s="16"/>
      <c r="AJ188" s="16"/>
      <c r="AL188" s="16"/>
      <c r="AN188" s="16"/>
      <c r="AP188" s="16"/>
      <c r="AR188" s="16"/>
      <c r="AT188" s="16"/>
      <c r="AU188" s="16"/>
      <c r="AV188" s="16"/>
      <c r="AW188" s="16"/>
      <c r="AX188" s="16"/>
      <c r="AY188" s="16"/>
      <c r="AZ188" s="16"/>
      <c r="BB188" s="16"/>
      <c r="BC188" s="16" t="e">
        <f aca="false">MatchData[cheval scored crossings]*5</f>
        <v>#VALUE!</v>
      </c>
      <c r="BD188" s="16" t="e">
        <f aca="false">MatchData[moat scored crosings]*5</f>
        <v>#VALUE!</v>
      </c>
      <c r="BE188" s="16" t="e">
        <f aca="false">MatchData[ramparts scored crossings]*5</f>
        <v>#VALUE!</v>
      </c>
      <c r="BF188" s="16" t="e">
        <f aca="false">MatchData[drawbridge scored crossings]*5</f>
        <v>#VALUE!</v>
      </c>
      <c r="BG188" s="16" t="e">
        <f aca="false">MatchData[sally port scored crossings]*5</f>
        <v>#VALUE!</v>
      </c>
      <c r="BH188" s="16" t="e">
        <f aca="false">MatchData[rock wall scored crossings]*5</f>
        <v>#VALUE!</v>
      </c>
      <c r="BI188" s="16" t="e">
        <f aca="false">MatchData[rough terrain scored crossings]*5</f>
        <v>#VALUE!</v>
      </c>
      <c r="BJ188" s="16" t="e">
        <f aca="false">MatchData[low bar scored crossings]*5</f>
        <v>#VALUE!</v>
      </c>
      <c r="BK188" s="16" t="e">
        <f aca="false">SUM(MatchData[[#this row],[low bar teleop crossings]:[rough terrain scored crossings]])</f>
        <v>#VALUE!</v>
      </c>
      <c r="BL188" s="16" t="e">
        <f aca="false">IFERROR(IF(OR(MatchData[[#this row],[challenge flag]],MatchData[[#this row],[climb flag]]),1,0),0)</f>
        <v>#VALUE!</v>
      </c>
      <c r="BM188" s="16" t="e">
        <f aca="false">MatchData[auto high goals]*10+MatchData[teleop high goals]*5</f>
        <v>#VALUE!</v>
      </c>
      <c r="BN188" s="16" t="e">
        <f aca="false">MatchData[auto low goals]*5+MatchData[teleop low goals]*2</f>
        <v>#VALUE!</v>
      </c>
      <c r="BO188" s="16" t="e">
        <f aca="false">MatchData[high goal score]+MatchData[low goal score]</f>
        <v>#VALUE!</v>
      </c>
      <c r="BP188" s="16" t="e">
        <f aca="false">MatchData[teleop high goals]+MatchData[teleop low goals]</f>
        <v>#VALUE!</v>
      </c>
      <c r="BQ188" s="16" t="e">
        <f aca="false">MatchData[[#this row],[auto reach flag]]*2+SUM(MatchData[[#this row],[portcullis auto crossings]:[low bar auto crossings]])*10+MatchData[[#this row],[auto low goals]]*5+MatchData[auto high goals]*10</f>
        <v>#VALUE!</v>
      </c>
      <c r="BR188" s="16" t="e">
        <f aca="false">SUM(MatchData[[#this row],[cheval teleop crossing score]:[low bar teleop crossing score]])</f>
        <v>#VALUE!</v>
      </c>
      <c r="BS188" s="16" t="e">
        <f aca="false">SUMIF(MatchData[team],MatchData[[#this row],[team]],MatchData[total auto score])/MatchData[match count]</f>
        <v>#VALUE!</v>
      </c>
      <c r="BT188" s="16" t="e">
        <f aca="false">MatchData[challenge flag]*5</f>
        <v>#VALUE!</v>
      </c>
      <c r="BU188" s="16" t="e">
        <f aca="false">MatchData[climb flag]*15</f>
        <v>#VALUE!</v>
      </c>
      <c r="BV188" s="16" t="e">
        <f aca="false">SUM(MatchData[[#this row],[total goal score]],MatchData[[#this row],[crossing score]],MatchData[[#this row],[challenge score]],MatchData[[#this row],[climb score]],MatchData[[#this row],[total auto score]])</f>
        <v>#VALUE!</v>
      </c>
      <c r="BW188" s="16" t="e">
        <f aca="false">ROUND(SUMIF(MatchData[team],MatchData[[#this row],[team]],MatchData[teleop low goals])/COUNTIF(MatchData[team],MatchData[[#this row],[team]]),2)</f>
        <v>#VALUE!</v>
      </c>
      <c r="BX188" s="16" t="e">
        <f aca="false">ROUND(SUMIF(MatchData[team],MatchData[[#this row],[team]],MatchData[teleop high goals])/COUNTIF(MatchData[team],MatchData[[#this row],[team]]),2)</f>
        <v>#VALUE!</v>
      </c>
      <c r="BY188" s="16" t="e">
        <f aca="false">COUNTIF(MatchData[team],MatchData[[#this row],[team]])</f>
        <v>#VALUE!</v>
      </c>
      <c r="BZ188" s="16" t="e">
        <f aca="false">SUMIF(MatchData[team],MatchData[[#this row],[team]],MatchData[portcullis available])</f>
        <v>#VALUE!</v>
      </c>
      <c r="CA188" s="16" t="e">
        <f aca="false">SUMIF(MatchData[team],MatchData[[#this row],[team]],MatchData[cheval available])</f>
        <v>#VALUE!</v>
      </c>
      <c r="CB188" s="16" t="e">
        <f aca="false">SUMIF(MatchData[team],MatchData[[#this row],[team]],MatchData[moat available])</f>
        <v>#VALUE!</v>
      </c>
      <c r="CC188" s="16" t="e">
        <f aca="false">SUMIF(MatchData[team],MatchData[[#this row],[team]],MatchData[ramparts available])</f>
        <v>#VALUE!</v>
      </c>
      <c r="CD188" s="16" t="e">
        <f aca="false">SUMIF(MatchData[team],MatchData[[#this row],[team]],MatchData[drawbridge available])</f>
        <v>#VALUE!</v>
      </c>
      <c r="CE188" s="16" t="e">
        <f aca="false">SUMIF(MatchData[team],MatchData[[#this row],[team]],MatchData[sally port available])</f>
        <v>#VALUE!</v>
      </c>
      <c r="CF188" s="16" t="e">
        <f aca="false">SUMIF(MatchData[team],MatchData[[#this row],[team]],MatchData[rock wall available])</f>
        <v>#VALUE!</v>
      </c>
      <c r="CG188" s="16" t="e">
        <f aca="false">SUMIF(MatchData[team],MatchData[[#this row],[team]],MatchData[rough terrain available])</f>
        <v>#VALUE!</v>
      </c>
      <c r="CH188" s="16" t="e">
        <f aca="false">SUMIF(MatchData[team],MatchData[[#this row],[team]],MatchData[low bar available])</f>
        <v>#VALUE!</v>
      </c>
      <c r="CI188" s="16" t="e">
        <f aca="false">SUMIF(MatchData[team],MatchData[[#this row],[team]],MatchData[portcullis teleop crossings]:MatchData[portcullis scored crossings])</f>
        <v>#VALUE!</v>
      </c>
      <c r="CJ188" s="16" t="e">
        <f aca="false">SUMIF(MatchData[team],MatchData[[#this row],[team]],MatchData[cheval teleop crossings])+SUMIF(MatchData[team],MatchData[[#this row],[team]],MatchData[cheval scored crossings])</f>
        <v>#VALUE!</v>
      </c>
      <c r="CK188" s="16" t="e">
        <f aca="false">SUMIF(MatchData[team],MatchData[[#this row],[team]],MatchData[moat teleop crossings])+SUMIF(MatchData[team],MatchData[[#this row],[team]],MatchData[moat scored crosings])</f>
        <v>#VALUE!</v>
      </c>
      <c r="CL188" s="16" t="e">
        <f aca="false">SUMIF(MatchData[team],MatchData[[#this row],[team]],MatchData[ramparts teleop crossings])+SUMIF(MatchData[team],MatchData[[#this row],[team]],MatchData[ramparts scored crossings])</f>
        <v>#VALUE!</v>
      </c>
      <c r="CM188" s="16" t="e">
        <f aca="false">SUMIF(MatchData[team],MatchData[[#this row],[team]],MatchData[drawbridge teleop crossings])+SUMIF(MatchData[team],MatchData[[#this row],[team]],MatchData[drawbridge scored crossings])</f>
        <v>#VALUE!</v>
      </c>
      <c r="CN188" s="16" t="e">
        <f aca="false">SUMIF(MatchData[team],MatchData[[#this row],[team]],MatchData[sally port teleop crossings])+SUMIF(MatchData[team],MatchData[[#this row],[team]],MatchData[sally port scored crossings])</f>
        <v>#VALUE!</v>
      </c>
      <c r="CO188" s="16" t="e">
        <f aca="false">SUMIF(MatchData[team],MatchData[[#this row],[team]],MatchData[rock wall teleop crossings])+SUMIF(MatchData[team],MatchData[[#this row],[team]],MatchData[rock wall scored crossings])</f>
        <v>#VALUE!</v>
      </c>
      <c r="CP188" s="16" t="e">
        <f aca="false">SUMIF(MatchData[team],MatchData[[#this row],[team]],MatchData[rough terrain teleop crossings])+SUMIF(MatchData[team],MatchData[[#this row],[team]],MatchData[rough terrain scored crossings])</f>
        <v>#VALUE!</v>
      </c>
      <c r="CQ188" s="16" t="e">
        <f aca="false">SUMIF(MatchData[team],MatchData[[#this row],[team]],MatchData[low bar teleop crossings])+SUMIF(MatchData[team],MatchData[[#this row],[team]],MatchData[low bar scored crossings])</f>
        <v>#VALUE!</v>
      </c>
      <c r="CR188" s="16" t="e">
        <f aca="false">IFERROR(ROUND(MatchData[[#this row],[portcullis sum]]/MatchData[[#this row],[portcullis avail count]],2),0)</f>
        <v>#VALUE!</v>
      </c>
      <c r="CS188" s="16" t="e">
        <f aca="false">IFERROR(ROUND(MatchData[[#this row],[cheval sum]]/MatchData[[#this row],[cheval avail count]],2),0)</f>
        <v>#VALUE!</v>
      </c>
      <c r="CT188" s="16" t="e">
        <f aca="false">IFERROR(ROUND(MatchData[[#this row],[moat sum]]/MatchData[[#this row],[moat avail count]],2),0)</f>
        <v>#VALUE!</v>
      </c>
      <c r="CU188" s="16" t="e">
        <f aca="false">IFERROR(ROUND(MatchData[[#this row],[ramparts sum]]/MatchData[[#this row],[ramparts avail count]],2),0)</f>
        <v>#VALUE!</v>
      </c>
      <c r="CV188" s="16" t="e">
        <f aca="false">IFERROR(ROUND(MatchData[[#this row],[drawbridge sum]]/MatchData[[#this row],[drawbridge avail countigh6]],2),0)</f>
        <v>#VALUE!</v>
      </c>
      <c r="CW188" s="16" t="e">
        <f aca="false">IFERROR(ROUND(MatchData[[#this row],[sally port sum]]/MatchData[[#this row],[sally port avail count]],2),0)</f>
        <v>#VALUE!</v>
      </c>
      <c r="CX188" s="5" t="e">
        <f aca="false">IFERROR(ROUND(MatchData[[#this row],[rock wall sum]]/MatchData[[#this row],[rock wall avail count]],2),0)</f>
        <v>#VALUE!</v>
      </c>
      <c r="CY188" s="5" t="e">
        <f aca="false">IFERROR(ROUND(MatchData[[#this row],[rough terrain sum]]/MatchData[[#this row],[rough terrain avail count]],2),0)</f>
        <v>#VALUE!</v>
      </c>
      <c r="CZ188" s="5" t="e">
        <f aca="false">IFERROR(ROUND(MatchData[[#this row],[low bar sum]]/MatchData[[#this row],[low bar avail count]],2),0)</f>
        <v>#VALUE!</v>
      </c>
      <c r="DA188" s="16" t="e">
        <f aca="false">SUM(MatchData[[#this row],[cheval sum]:[low bar sum]])/MatchData[match count]</f>
        <v>#VALUE!</v>
      </c>
      <c r="DB188" s="16" t="n">
        <f aca="false">MAX(IF(C$2:C$74=C188,BP$2:BP$74))</f>
        <v>-1.79769313486232E+308</v>
      </c>
      <c r="DC188" s="16" t="e">
        <f aca="false">AVERAGEIF(MatchData[team],MatchData[[#this row],[team]],MatchData[total score])</f>
        <v>#VALUE!</v>
      </c>
      <c r="DD188" s="16" t="e">
        <f aca="false">ROUND(AVERAGEIF(MatchData[team],MatchData[team],MatchData[climb or challenge flag]),2)</f>
        <v>#VALUE!</v>
      </c>
    </row>
    <row r="189" customFormat="false" ht="14.5" hidden="false" customHeight="false" outlineLevel="0" collapsed="false">
      <c r="A189" s="20" t="s">
        <v>108</v>
      </c>
      <c r="B189" s="21" t="n">
        <v>32</v>
      </c>
      <c r="C189" s="15" t="n">
        <v>3192</v>
      </c>
      <c r="D189" s="5" t="s">
        <v>109</v>
      </c>
      <c r="E189" s="5" t="s">
        <v>110</v>
      </c>
      <c r="G189" s="16"/>
      <c r="I189" s="16"/>
      <c r="J189" s="5" t="n">
        <v>1</v>
      </c>
      <c r="K189" s="16"/>
      <c r="L189" s="5" t="n">
        <v>1</v>
      </c>
      <c r="M189" s="5" t="n">
        <v>1</v>
      </c>
      <c r="N189" s="0"/>
      <c r="O189" s="0"/>
      <c r="P189" s="5" t="n">
        <v>1</v>
      </c>
      <c r="Q189" s="5" t="n">
        <v>1</v>
      </c>
      <c r="R189" s="0"/>
      <c r="S189" s="16"/>
      <c r="T189" s="0"/>
      <c r="U189" s="16"/>
      <c r="V189" s="16"/>
      <c r="W189" s="0"/>
      <c r="AD189" s="16"/>
      <c r="AE189" s="5"/>
      <c r="AF189" s="16"/>
      <c r="AG189" s="16"/>
      <c r="AH189" s="16"/>
      <c r="AJ189" s="16"/>
      <c r="AL189" s="16"/>
      <c r="AN189" s="16"/>
      <c r="AP189" s="16"/>
      <c r="AR189" s="16" t="n">
        <v>1</v>
      </c>
      <c r="AT189" s="16"/>
      <c r="AU189" s="16"/>
      <c r="AV189" s="16"/>
      <c r="AW189" s="16"/>
      <c r="AX189" s="16"/>
      <c r="AY189" s="16"/>
      <c r="AZ189" s="16" t="n">
        <v>1</v>
      </c>
      <c r="BB189" s="16"/>
      <c r="BC189" s="16" t="e">
        <f aca="false">MatchData[cheval scored crossings]*5</f>
        <v>#VALUE!</v>
      </c>
      <c r="BD189" s="16" t="e">
        <f aca="false">MatchData[moat scored crosings]*5</f>
        <v>#VALUE!</v>
      </c>
      <c r="BE189" s="16" t="e">
        <f aca="false">MatchData[ramparts scored crossings]*5</f>
        <v>#VALUE!</v>
      </c>
      <c r="BF189" s="16" t="e">
        <f aca="false">MatchData[drawbridge scored crossings]*5</f>
        <v>#VALUE!</v>
      </c>
      <c r="BG189" s="16" t="e">
        <f aca="false">MatchData[sally port scored crossings]*5</f>
        <v>#VALUE!</v>
      </c>
      <c r="BH189" s="16" t="e">
        <f aca="false">MatchData[rock wall scored crossings]*5</f>
        <v>#VALUE!</v>
      </c>
      <c r="BI189" s="16" t="e">
        <f aca="false">MatchData[rough terrain scored crossings]*5</f>
        <v>#VALUE!</v>
      </c>
      <c r="BJ189" s="16" t="e">
        <f aca="false">MatchData[low bar scored crossings]*5</f>
        <v>#VALUE!</v>
      </c>
      <c r="BK189" s="16" t="e">
        <f aca="false">SUM(MatchData[[#this row],[low bar teleop crossings]:[rough terrain scored crossings]])</f>
        <v>#VALUE!</v>
      </c>
      <c r="BL189" s="16" t="e">
        <f aca="false">IFERROR(IF(OR(MatchData[[#this row],[challenge flag]],MatchData[[#this row],[climb flag]]),1,0),0)</f>
        <v>#VALUE!</v>
      </c>
      <c r="BM189" s="16" t="e">
        <f aca="false">MatchData[auto high goals]*10+MatchData[teleop high goals]*5</f>
        <v>#VALUE!</v>
      </c>
      <c r="BN189" s="16" t="e">
        <f aca="false">MatchData[auto low goals]*5+MatchData[teleop low goals]*2</f>
        <v>#VALUE!</v>
      </c>
      <c r="BO189" s="16" t="e">
        <f aca="false">MatchData[high goal score]+MatchData[low goal score]</f>
        <v>#VALUE!</v>
      </c>
      <c r="BP189" s="16" t="e">
        <f aca="false">MatchData[teleop high goals]+MatchData[teleop low goals]</f>
        <v>#VALUE!</v>
      </c>
      <c r="BQ189" s="16" t="e">
        <f aca="false">MatchData[[#this row],[auto reach flag]]*2+SUM(MatchData[[#this row],[portcullis auto crossings]:[low bar auto crossings]])*10+MatchData[[#this row],[auto low goals]]*5+MatchData[auto high goals]*10</f>
        <v>#VALUE!</v>
      </c>
      <c r="BR189" s="16" t="e">
        <f aca="false">SUM(MatchData[[#this row],[cheval teleop crossing score]:[low bar teleop crossing score]])</f>
        <v>#VALUE!</v>
      </c>
      <c r="BS189" s="16" t="e">
        <f aca="false">SUMIF(MatchData[team],MatchData[[#this row],[team]],MatchData[total auto score])/MatchData[match count]</f>
        <v>#VALUE!</v>
      </c>
      <c r="BT189" s="16" t="e">
        <f aca="false">MatchData[challenge flag]*5</f>
        <v>#VALUE!</v>
      </c>
      <c r="BU189" s="16" t="e">
        <f aca="false">MatchData[climb flag]*15</f>
        <v>#VALUE!</v>
      </c>
      <c r="BV189" s="16" t="e">
        <f aca="false">SUM(MatchData[[#this row],[total goal score]],MatchData[[#this row],[crossing score]],MatchData[[#this row],[challenge score]],MatchData[[#this row],[climb score]],MatchData[[#this row],[total auto score]])</f>
        <v>#VALUE!</v>
      </c>
      <c r="BW189" s="16" t="e">
        <f aca="false">ROUND(SUMIF(MatchData[team],MatchData[[#this row],[team]],MatchData[teleop low goals])/COUNTIF(MatchData[team],MatchData[[#this row],[team]]),2)</f>
        <v>#VALUE!</v>
      </c>
      <c r="BX189" s="16" t="e">
        <f aca="false">ROUND(SUMIF(MatchData[team],MatchData[[#this row],[team]],MatchData[teleop high goals])/COUNTIF(MatchData[team],MatchData[[#this row],[team]]),2)</f>
        <v>#VALUE!</v>
      </c>
      <c r="BY189" s="16" t="e">
        <f aca="false">COUNTIF(MatchData[team],MatchData[[#this row],[team]])</f>
        <v>#VALUE!</v>
      </c>
      <c r="BZ189" s="16" t="e">
        <f aca="false">SUMIF(MatchData[team],MatchData[[#this row],[team]],MatchData[portcullis available])</f>
        <v>#VALUE!</v>
      </c>
      <c r="CA189" s="16" t="e">
        <f aca="false">SUMIF(MatchData[team],MatchData[[#this row],[team]],MatchData[cheval available])</f>
        <v>#VALUE!</v>
      </c>
      <c r="CB189" s="16" t="e">
        <f aca="false">SUMIF(MatchData[team],MatchData[[#this row],[team]],MatchData[moat available])</f>
        <v>#VALUE!</v>
      </c>
      <c r="CC189" s="16" t="e">
        <f aca="false">SUMIF(MatchData[team],MatchData[[#this row],[team]],MatchData[ramparts available])</f>
        <v>#VALUE!</v>
      </c>
      <c r="CD189" s="16" t="e">
        <f aca="false">SUMIF(MatchData[team],MatchData[[#this row],[team]],MatchData[drawbridge available])</f>
        <v>#VALUE!</v>
      </c>
      <c r="CE189" s="16" t="e">
        <f aca="false">SUMIF(MatchData[team],MatchData[[#this row],[team]],MatchData[sally port available])</f>
        <v>#VALUE!</v>
      </c>
      <c r="CF189" s="16" t="e">
        <f aca="false">SUMIF(MatchData[team],MatchData[[#this row],[team]],MatchData[rock wall available])</f>
        <v>#VALUE!</v>
      </c>
      <c r="CG189" s="16" t="e">
        <f aca="false">SUMIF(MatchData[team],MatchData[[#this row],[team]],MatchData[rough terrain available])</f>
        <v>#VALUE!</v>
      </c>
      <c r="CH189" s="16" t="e">
        <f aca="false">SUMIF(MatchData[team],MatchData[[#this row],[team]],MatchData[low bar available])</f>
        <v>#VALUE!</v>
      </c>
      <c r="CI189" s="16" t="e">
        <f aca="false">SUMIF(MatchData[team],MatchData[[#this row],[team]],MatchData[portcullis teleop crossings]:MatchData[portcullis scored crossings])</f>
        <v>#VALUE!</v>
      </c>
      <c r="CJ189" s="16" t="e">
        <f aca="false">SUMIF(MatchData[team],MatchData[[#this row],[team]],MatchData[cheval teleop crossings])+SUMIF(MatchData[team],MatchData[[#this row],[team]],MatchData[cheval scored crossings])</f>
        <v>#VALUE!</v>
      </c>
      <c r="CK189" s="16" t="e">
        <f aca="false">SUMIF(MatchData[team],MatchData[[#this row],[team]],MatchData[moat teleop crossings])+SUMIF(MatchData[team],MatchData[[#this row],[team]],MatchData[moat scored crosings])</f>
        <v>#VALUE!</v>
      </c>
      <c r="CL189" s="16" t="e">
        <f aca="false">SUMIF(MatchData[team],MatchData[[#this row],[team]],MatchData[ramparts teleop crossings])+SUMIF(MatchData[team],MatchData[[#this row],[team]],MatchData[ramparts scored crossings])</f>
        <v>#VALUE!</v>
      </c>
      <c r="CM189" s="16" t="e">
        <f aca="false">SUMIF(MatchData[team],MatchData[[#this row],[team]],MatchData[drawbridge teleop crossings])+SUMIF(MatchData[team],MatchData[[#this row],[team]],MatchData[drawbridge scored crossings])</f>
        <v>#VALUE!</v>
      </c>
      <c r="CN189" s="16" t="e">
        <f aca="false">SUMIF(MatchData[team],MatchData[[#this row],[team]],MatchData[sally port teleop crossings])+SUMIF(MatchData[team],MatchData[[#this row],[team]],MatchData[sally port scored crossings])</f>
        <v>#VALUE!</v>
      </c>
      <c r="CO189" s="16" t="e">
        <f aca="false">SUMIF(MatchData[team],MatchData[[#this row],[team]],MatchData[rock wall teleop crossings])+SUMIF(MatchData[team],MatchData[[#this row],[team]],MatchData[rock wall scored crossings])</f>
        <v>#VALUE!</v>
      </c>
      <c r="CP189" s="16" t="e">
        <f aca="false">SUMIF(MatchData[team],MatchData[[#this row],[team]],MatchData[rough terrain teleop crossings])+SUMIF(MatchData[team],MatchData[[#this row],[team]],MatchData[rough terrain scored crossings])</f>
        <v>#VALUE!</v>
      </c>
      <c r="CQ189" s="16" t="e">
        <f aca="false">SUMIF(MatchData[team],MatchData[[#this row],[team]],MatchData[low bar teleop crossings])+SUMIF(MatchData[team],MatchData[[#this row],[team]],MatchData[low bar scored crossings])</f>
        <v>#VALUE!</v>
      </c>
      <c r="CR189" s="16" t="e">
        <f aca="false">IFERROR(ROUND(MatchData[[#this row],[portcullis sum]]/MatchData[[#this row],[portcullis avail count]],2),0)</f>
        <v>#VALUE!</v>
      </c>
      <c r="CS189" s="16" t="e">
        <f aca="false">IFERROR(ROUND(MatchData[[#this row],[cheval sum]]/MatchData[[#this row],[cheval avail count]],2),0)</f>
        <v>#VALUE!</v>
      </c>
      <c r="CT189" s="16" t="e">
        <f aca="false">IFERROR(ROUND(MatchData[[#this row],[moat sum]]/MatchData[[#this row],[moat avail count]],2),0)</f>
        <v>#VALUE!</v>
      </c>
      <c r="CU189" s="16" t="e">
        <f aca="false">IFERROR(ROUND(MatchData[[#this row],[ramparts sum]]/MatchData[[#this row],[ramparts avail count]],2),0)</f>
        <v>#VALUE!</v>
      </c>
      <c r="CV189" s="16" t="e">
        <f aca="false">IFERROR(ROUND(MatchData[[#this row],[drawbridge sum]]/MatchData[[#this row],[drawbridge avail countigh6]],2),0)</f>
        <v>#VALUE!</v>
      </c>
      <c r="CW189" s="16" t="e">
        <f aca="false">IFERROR(ROUND(MatchData[[#this row],[sally port sum]]/MatchData[[#this row],[sally port avail count]],2),0)</f>
        <v>#VALUE!</v>
      </c>
      <c r="CX189" s="5" t="e">
        <f aca="false">IFERROR(ROUND(MatchData[[#this row],[rock wall sum]]/MatchData[[#this row],[rock wall avail count]],2),0)</f>
        <v>#VALUE!</v>
      </c>
      <c r="CY189" s="5" t="e">
        <f aca="false">IFERROR(ROUND(MatchData[[#this row],[rough terrain sum]]/MatchData[[#this row],[rough terrain avail count]],2),0)</f>
        <v>#VALUE!</v>
      </c>
      <c r="CZ189" s="5" t="e">
        <f aca="false">IFERROR(ROUND(MatchData[[#this row],[low bar sum]]/MatchData[[#this row],[low bar avail count]],2),0)</f>
        <v>#VALUE!</v>
      </c>
      <c r="DA189" s="16" t="e">
        <f aca="false">SUM(MatchData[[#this row],[cheval sum]:[low bar sum]])/MatchData[match count]</f>
        <v>#VALUE!</v>
      </c>
      <c r="DB189" s="16" t="n">
        <f aca="false">MAX(IF(C$2:C$74=C189,BP$2:BP$74))</f>
        <v>-1.79769313486232E+308</v>
      </c>
      <c r="DC189" s="16" t="e">
        <f aca="false">AVERAGEIF(MatchData[team],MatchData[[#this row],[team]],MatchData[total score])</f>
        <v>#VALUE!</v>
      </c>
      <c r="DD189" s="16" t="e">
        <f aca="false">ROUND(AVERAGEIF(MatchData[team],MatchData[team],MatchData[climb or challenge flag]),2)</f>
        <v>#VALUE!</v>
      </c>
    </row>
    <row r="190" customFormat="false" ht="14.5" hidden="false" customHeight="false" outlineLevel="0" collapsed="false">
      <c r="A190" s="20" t="s">
        <v>108</v>
      </c>
      <c r="B190" s="22" t="n">
        <v>32</v>
      </c>
      <c r="C190" s="15" t="n">
        <v>5975</v>
      </c>
      <c r="D190" s="5" t="s">
        <v>109</v>
      </c>
      <c r="E190" s="5" t="s">
        <v>112</v>
      </c>
      <c r="G190" s="16"/>
      <c r="I190" s="16"/>
      <c r="J190" s="5" t="n">
        <v>1</v>
      </c>
      <c r="K190" s="16"/>
      <c r="L190" s="5" t="n">
        <v>1</v>
      </c>
      <c r="M190" s="5" t="n">
        <v>1</v>
      </c>
      <c r="N190" s="0"/>
      <c r="O190" s="0"/>
      <c r="P190" s="5" t="n">
        <v>1</v>
      </c>
      <c r="Q190" s="5" t="n">
        <v>1</v>
      </c>
      <c r="R190" s="0"/>
      <c r="S190" s="16"/>
      <c r="T190" s="0"/>
      <c r="U190" s="16"/>
      <c r="V190" s="16"/>
      <c r="W190" s="0"/>
      <c r="AC190" s="5" t="n">
        <v>1</v>
      </c>
      <c r="AD190" s="16" t="n">
        <v>2</v>
      </c>
      <c r="AE190" s="5"/>
      <c r="AF190" s="16"/>
      <c r="AG190" s="16"/>
      <c r="AH190" s="16"/>
      <c r="AJ190" s="16"/>
      <c r="AL190" s="16"/>
      <c r="AN190" s="16"/>
      <c r="AP190" s="16"/>
      <c r="AR190" s="16"/>
      <c r="AT190" s="16"/>
      <c r="AU190" s="16"/>
      <c r="AV190" s="16"/>
      <c r="AW190" s="16" t="n">
        <v>1</v>
      </c>
      <c r="AX190" s="16"/>
      <c r="AY190" s="16" t="n">
        <v>1</v>
      </c>
      <c r="AZ190" s="16"/>
      <c r="BB190" s="16"/>
      <c r="BC190" s="16" t="e">
        <f aca="false">MatchData[cheval scored crossings]*5</f>
        <v>#VALUE!</v>
      </c>
      <c r="BD190" s="16" t="e">
        <f aca="false">MatchData[moat scored crosings]*5</f>
        <v>#VALUE!</v>
      </c>
      <c r="BE190" s="16" t="e">
        <f aca="false">MatchData[ramparts scored crossings]*5</f>
        <v>#VALUE!</v>
      </c>
      <c r="BF190" s="16" t="e">
        <f aca="false">MatchData[drawbridge scored crossings]*5</f>
        <v>#VALUE!</v>
      </c>
      <c r="BG190" s="16" t="e">
        <f aca="false">MatchData[sally port scored crossings]*5</f>
        <v>#VALUE!</v>
      </c>
      <c r="BH190" s="16" t="e">
        <f aca="false">MatchData[rock wall scored crossings]*5</f>
        <v>#VALUE!</v>
      </c>
      <c r="BI190" s="16" t="e">
        <f aca="false">MatchData[rough terrain scored crossings]*5</f>
        <v>#VALUE!</v>
      </c>
      <c r="BJ190" s="16" t="e">
        <f aca="false">MatchData[low bar scored crossings]*5</f>
        <v>#VALUE!</v>
      </c>
      <c r="BK190" s="16" t="e">
        <f aca="false">SUM(MatchData[[#this row],[low bar teleop crossings]:[rough terrain scored crossings]])</f>
        <v>#VALUE!</v>
      </c>
      <c r="BL190" s="16" t="e">
        <f aca="false">IFERROR(IF(OR(MatchData[[#this row],[challenge flag]],MatchData[[#this row],[climb flag]]),1,0),0)</f>
        <v>#VALUE!</v>
      </c>
      <c r="BM190" s="16" t="e">
        <f aca="false">MatchData[auto high goals]*10+MatchData[teleop high goals]*5</f>
        <v>#VALUE!</v>
      </c>
      <c r="BN190" s="16" t="e">
        <f aca="false">MatchData[auto low goals]*5+MatchData[teleop low goals]*2</f>
        <v>#VALUE!</v>
      </c>
      <c r="BO190" s="16" t="e">
        <f aca="false">MatchData[high goal score]+MatchData[low goal score]</f>
        <v>#VALUE!</v>
      </c>
      <c r="BP190" s="16" t="e">
        <f aca="false">MatchData[teleop high goals]+MatchData[teleop low goals]</f>
        <v>#VALUE!</v>
      </c>
      <c r="BQ190" s="16" t="e">
        <f aca="false">MatchData[[#this row],[auto reach flag]]*2+SUM(MatchData[[#this row],[portcullis auto crossings]:[low bar auto crossings]])*10+MatchData[[#this row],[auto low goals]]*5+MatchData[auto high goals]*10</f>
        <v>#VALUE!</v>
      </c>
      <c r="BR190" s="16" t="e">
        <f aca="false">SUM(MatchData[[#this row],[cheval teleop crossing score]:[low bar teleop crossing score]])</f>
        <v>#VALUE!</v>
      </c>
      <c r="BS190" s="16" t="e">
        <f aca="false">SUMIF(MatchData[team],MatchData[[#this row],[team]],MatchData[total auto score])/MatchData[match count]</f>
        <v>#VALUE!</v>
      </c>
      <c r="BT190" s="16" t="e">
        <f aca="false">MatchData[challenge flag]*5</f>
        <v>#VALUE!</v>
      </c>
      <c r="BU190" s="16" t="e">
        <f aca="false">MatchData[climb flag]*15</f>
        <v>#VALUE!</v>
      </c>
      <c r="BV190" s="16" t="e">
        <f aca="false">SUM(MatchData[[#this row],[total goal score]],MatchData[[#this row],[crossing score]],MatchData[[#this row],[challenge score]],MatchData[[#this row],[climb score]],MatchData[[#this row],[total auto score]])</f>
        <v>#VALUE!</v>
      </c>
      <c r="BW190" s="16" t="e">
        <f aca="false">ROUND(SUMIF(MatchData[team],MatchData[[#this row],[team]],MatchData[teleop low goals])/COUNTIF(MatchData[team],MatchData[[#this row],[team]]),2)</f>
        <v>#VALUE!</v>
      </c>
      <c r="BX190" s="16" t="e">
        <f aca="false">ROUND(SUMIF(MatchData[team],MatchData[[#this row],[team]],MatchData[teleop high goals])/COUNTIF(MatchData[team],MatchData[[#this row],[team]]),2)</f>
        <v>#VALUE!</v>
      </c>
      <c r="BY190" s="16" t="e">
        <f aca="false">COUNTIF(MatchData[team],MatchData[[#this row],[team]])</f>
        <v>#VALUE!</v>
      </c>
      <c r="BZ190" s="16" t="e">
        <f aca="false">SUMIF(MatchData[team],MatchData[[#this row],[team]],MatchData[portcullis available])</f>
        <v>#VALUE!</v>
      </c>
      <c r="CA190" s="16" t="e">
        <f aca="false">SUMIF(MatchData[team],MatchData[[#this row],[team]],MatchData[cheval available])</f>
        <v>#VALUE!</v>
      </c>
      <c r="CB190" s="16" t="e">
        <f aca="false">SUMIF(MatchData[team],MatchData[[#this row],[team]],MatchData[moat available])</f>
        <v>#VALUE!</v>
      </c>
      <c r="CC190" s="16" t="e">
        <f aca="false">SUMIF(MatchData[team],MatchData[[#this row],[team]],MatchData[ramparts available])</f>
        <v>#VALUE!</v>
      </c>
      <c r="CD190" s="16" t="e">
        <f aca="false">SUMIF(MatchData[team],MatchData[[#this row],[team]],MatchData[drawbridge available])</f>
        <v>#VALUE!</v>
      </c>
      <c r="CE190" s="16" t="e">
        <f aca="false">SUMIF(MatchData[team],MatchData[[#this row],[team]],MatchData[sally port available])</f>
        <v>#VALUE!</v>
      </c>
      <c r="CF190" s="16" t="e">
        <f aca="false">SUMIF(MatchData[team],MatchData[[#this row],[team]],MatchData[rock wall available])</f>
        <v>#VALUE!</v>
      </c>
      <c r="CG190" s="16" t="e">
        <f aca="false">SUMIF(MatchData[team],MatchData[[#this row],[team]],MatchData[rough terrain available])</f>
        <v>#VALUE!</v>
      </c>
      <c r="CH190" s="16" t="e">
        <f aca="false">SUMIF(MatchData[team],MatchData[[#this row],[team]],MatchData[low bar available])</f>
        <v>#VALUE!</v>
      </c>
      <c r="CI190" s="16" t="e">
        <f aca="false">SUMIF(MatchData[team],MatchData[[#this row],[team]],MatchData[portcullis teleop crossings]:MatchData[portcullis scored crossings])</f>
        <v>#VALUE!</v>
      </c>
      <c r="CJ190" s="16" t="e">
        <f aca="false">SUMIF(MatchData[team],MatchData[[#this row],[team]],MatchData[cheval teleop crossings])+SUMIF(MatchData[team],MatchData[[#this row],[team]],MatchData[cheval scored crossings])</f>
        <v>#VALUE!</v>
      </c>
      <c r="CK190" s="16" t="e">
        <f aca="false">SUMIF(MatchData[team],MatchData[[#this row],[team]],MatchData[moat teleop crossings])+SUMIF(MatchData[team],MatchData[[#this row],[team]],MatchData[moat scored crosings])</f>
        <v>#VALUE!</v>
      </c>
      <c r="CL190" s="16" t="e">
        <f aca="false">SUMIF(MatchData[team],MatchData[[#this row],[team]],MatchData[ramparts teleop crossings])+SUMIF(MatchData[team],MatchData[[#this row],[team]],MatchData[ramparts scored crossings])</f>
        <v>#VALUE!</v>
      </c>
      <c r="CM190" s="16" t="e">
        <f aca="false">SUMIF(MatchData[team],MatchData[[#this row],[team]],MatchData[drawbridge teleop crossings])+SUMIF(MatchData[team],MatchData[[#this row],[team]],MatchData[drawbridge scored crossings])</f>
        <v>#VALUE!</v>
      </c>
      <c r="CN190" s="16" t="e">
        <f aca="false">SUMIF(MatchData[team],MatchData[[#this row],[team]],MatchData[sally port teleop crossings])+SUMIF(MatchData[team],MatchData[[#this row],[team]],MatchData[sally port scored crossings])</f>
        <v>#VALUE!</v>
      </c>
      <c r="CO190" s="16" t="e">
        <f aca="false">SUMIF(MatchData[team],MatchData[[#this row],[team]],MatchData[rock wall teleop crossings])+SUMIF(MatchData[team],MatchData[[#this row],[team]],MatchData[rock wall scored crossings])</f>
        <v>#VALUE!</v>
      </c>
      <c r="CP190" s="16" t="e">
        <f aca="false">SUMIF(MatchData[team],MatchData[[#this row],[team]],MatchData[rough terrain teleop crossings])+SUMIF(MatchData[team],MatchData[[#this row],[team]],MatchData[rough terrain scored crossings])</f>
        <v>#VALUE!</v>
      </c>
      <c r="CQ190" s="16" t="e">
        <f aca="false">SUMIF(MatchData[team],MatchData[[#this row],[team]],MatchData[low bar teleop crossings])+SUMIF(MatchData[team],MatchData[[#this row],[team]],MatchData[low bar scored crossings])</f>
        <v>#VALUE!</v>
      </c>
      <c r="CR190" s="16" t="e">
        <f aca="false">IFERROR(ROUND(MatchData[[#this row],[portcullis sum]]/MatchData[[#this row],[portcullis avail count]],2),0)</f>
        <v>#VALUE!</v>
      </c>
      <c r="CS190" s="16" t="e">
        <f aca="false">IFERROR(ROUND(MatchData[[#this row],[cheval sum]]/MatchData[[#this row],[cheval avail count]],2),0)</f>
        <v>#VALUE!</v>
      </c>
      <c r="CT190" s="16" t="e">
        <f aca="false">IFERROR(ROUND(MatchData[[#this row],[moat sum]]/MatchData[[#this row],[moat avail count]],2),0)</f>
        <v>#VALUE!</v>
      </c>
      <c r="CU190" s="16" t="e">
        <f aca="false">IFERROR(ROUND(MatchData[[#this row],[ramparts sum]]/MatchData[[#this row],[ramparts avail count]],2),0)</f>
        <v>#VALUE!</v>
      </c>
      <c r="CV190" s="16" t="e">
        <f aca="false">IFERROR(ROUND(MatchData[[#this row],[drawbridge sum]]/MatchData[[#this row],[drawbridge avail countigh6]],2),0)</f>
        <v>#VALUE!</v>
      </c>
      <c r="CW190" s="16" t="e">
        <f aca="false">IFERROR(ROUND(MatchData[[#this row],[sally port sum]]/MatchData[[#this row],[sally port avail count]],2),0)</f>
        <v>#VALUE!</v>
      </c>
      <c r="CX190" s="5" t="e">
        <f aca="false">IFERROR(ROUND(MatchData[[#this row],[rock wall sum]]/MatchData[[#this row],[rock wall avail count]],2),0)</f>
        <v>#VALUE!</v>
      </c>
      <c r="CY190" s="5" t="e">
        <f aca="false">IFERROR(ROUND(MatchData[[#this row],[rough terrain sum]]/MatchData[[#this row],[rough terrain avail count]],2),0)</f>
        <v>#VALUE!</v>
      </c>
      <c r="CZ190" s="5" t="e">
        <f aca="false">IFERROR(ROUND(MatchData[[#this row],[low bar sum]]/MatchData[[#this row],[low bar avail count]],2),0)</f>
        <v>#VALUE!</v>
      </c>
      <c r="DA190" s="16" t="e">
        <f aca="false">SUM(MatchData[[#this row],[cheval sum]:[low bar sum]])/MatchData[match count]</f>
        <v>#VALUE!</v>
      </c>
      <c r="DB190" s="16" t="n">
        <f aca="false">MAX(IF(C$2:C$74=C190,BP$2:BP$74))</f>
        <v>-1.79769313486232E+308</v>
      </c>
      <c r="DC190" s="16" t="e">
        <f aca="false">AVERAGEIF(MatchData[team],MatchData[[#this row],[team]],MatchData[total score])</f>
        <v>#VALUE!</v>
      </c>
      <c r="DD190" s="16" t="e">
        <f aca="false">ROUND(AVERAGEIF(MatchData[team],MatchData[team],MatchData[climb or challenge flag]),2)</f>
        <v>#VALUE!</v>
      </c>
    </row>
    <row r="191" customFormat="false" ht="14.5" hidden="false" customHeight="false" outlineLevel="0" collapsed="false">
      <c r="A191" s="20" t="s">
        <v>108</v>
      </c>
      <c r="B191" s="21" t="n">
        <v>32</v>
      </c>
      <c r="C191" s="15" t="n">
        <v>1540</v>
      </c>
      <c r="D191" s="5" t="s">
        <v>113</v>
      </c>
      <c r="E191" s="5" t="s">
        <v>135</v>
      </c>
      <c r="G191" s="16"/>
      <c r="I191" s="16"/>
      <c r="J191" s="5" t="n">
        <v>1</v>
      </c>
      <c r="K191" s="16" t="n">
        <v>1</v>
      </c>
      <c r="M191" s="5" t="n">
        <v>1</v>
      </c>
      <c r="N191" s="0"/>
      <c r="O191" s="5" t="n">
        <v>1</v>
      </c>
      <c r="P191" s="0"/>
      <c r="Q191" s="5" t="n">
        <v>1</v>
      </c>
      <c r="R191" s="0"/>
      <c r="S191" s="16"/>
      <c r="T191" s="0"/>
      <c r="U191" s="16"/>
      <c r="V191" s="16" t="n">
        <v>1</v>
      </c>
      <c r="W191" s="0"/>
      <c r="AD191" s="16"/>
      <c r="AE191" s="5"/>
      <c r="AF191" s="16" t="n">
        <v>2</v>
      </c>
      <c r="AG191" s="16"/>
      <c r="AH191" s="16"/>
      <c r="AJ191" s="16" t="n">
        <v>2</v>
      </c>
      <c r="AL191" s="16"/>
      <c r="AN191" s="16"/>
      <c r="AP191" s="16"/>
      <c r="AR191" s="16" t="n">
        <v>1</v>
      </c>
      <c r="AT191" s="16"/>
      <c r="AU191" s="16"/>
      <c r="AV191" s="16"/>
      <c r="AW191" s="16" t="n">
        <v>1</v>
      </c>
      <c r="AX191" s="16"/>
      <c r="AY191" s="16"/>
      <c r="AZ191" s="16"/>
      <c r="BB191" s="16" t="n">
        <v>1</v>
      </c>
      <c r="BC191" s="16" t="e">
        <f aca="false">MatchData[cheval scored crossings]*5</f>
        <v>#VALUE!</v>
      </c>
      <c r="BD191" s="16" t="e">
        <f aca="false">MatchData[moat scored crosings]*5</f>
        <v>#VALUE!</v>
      </c>
      <c r="BE191" s="16" t="e">
        <f aca="false">MatchData[ramparts scored crossings]*5</f>
        <v>#VALUE!</v>
      </c>
      <c r="BF191" s="16" t="e">
        <f aca="false">MatchData[drawbridge scored crossings]*5</f>
        <v>#VALUE!</v>
      </c>
      <c r="BG191" s="16" t="e">
        <f aca="false">MatchData[sally port scored crossings]*5</f>
        <v>#VALUE!</v>
      </c>
      <c r="BH191" s="16" t="e">
        <f aca="false">MatchData[rock wall scored crossings]*5</f>
        <v>#VALUE!</v>
      </c>
      <c r="BI191" s="16" t="e">
        <f aca="false">MatchData[rough terrain scored crossings]*5</f>
        <v>#VALUE!</v>
      </c>
      <c r="BJ191" s="16" t="e">
        <f aca="false">MatchData[low bar scored crossings]*5</f>
        <v>#VALUE!</v>
      </c>
      <c r="BK191" s="16" t="e">
        <f aca="false">SUM(MatchData[[#this row],[low bar teleop crossings]:[rough terrain scored crossings]])</f>
        <v>#VALUE!</v>
      </c>
      <c r="BL191" s="16" t="e">
        <f aca="false">IFERROR(IF(OR(MatchData[[#this row],[challenge flag]],MatchData[[#this row],[climb flag]]),1,0),0)</f>
        <v>#VALUE!</v>
      </c>
      <c r="BM191" s="16" t="e">
        <f aca="false">MatchData[auto high goals]*10+MatchData[teleop high goals]*5</f>
        <v>#VALUE!</v>
      </c>
      <c r="BN191" s="16" t="e">
        <f aca="false">MatchData[auto low goals]*5+MatchData[teleop low goals]*2</f>
        <v>#VALUE!</v>
      </c>
      <c r="BO191" s="16" t="e">
        <f aca="false">MatchData[high goal score]+MatchData[low goal score]</f>
        <v>#VALUE!</v>
      </c>
      <c r="BP191" s="16" t="e">
        <f aca="false">MatchData[teleop high goals]+MatchData[teleop low goals]</f>
        <v>#VALUE!</v>
      </c>
      <c r="BQ191" s="16" t="e">
        <f aca="false">MatchData[[#this row],[auto reach flag]]*2+SUM(MatchData[[#this row],[portcullis auto crossings]:[low bar auto crossings]])*10+MatchData[[#this row],[auto low goals]]*5+MatchData[auto high goals]*10</f>
        <v>#VALUE!</v>
      </c>
      <c r="BR191" s="16" t="e">
        <f aca="false">SUM(MatchData[[#this row],[cheval teleop crossing score]:[low bar teleop crossing score]])</f>
        <v>#VALUE!</v>
      </c>
      <c r="BS191" s="16" t="e">
        <f aca="false">SUMIF(MatchData[team],MatchData[[#this row],[team]],MatchData[total auto score])/MatchData[match count]</f>
        <v>#VALUE!</v>
      </c>
      <c r="BT191" s="16" t="e">
        <f aca="false">MatchData[challenge flag]*5</f>
        <v>#VALUE!</v>
      </c>
      <c r="BU191" s="16" t="e">
        <f aca="false">MatchData[climb flag]*15</f>
        <v>#VALUE!</v>
      </c>
      <c r="BV191" s="16" t="e">
        <f aca="false">SUM(MatchData[[#this row],[total goal score]],MatchData[[#this row],[crossing score]],MatchData[[#this row],[challenge score]],MatchData[[#this row],[climb score]],MatchData[[#this row],[total auto score]])</f>
        <v>#VALUE!</v>
      </c>
      <c r="BW191" s="16" t="e">
        <f aca="false">ROUND(SUMIF(MatchData[team],MatchData[[#this row],[team]],MatchData[teleop low goals])/COUNTIF(MatchData[team],MatchData[[#this row],[team]]),2)</f>
        <v>#VALUE!</v>
      </c>
      <c r="BX191" s="16" t="e">
        <f aca="false">ROUND(SUMIF(MatchData[team],MatchData[[#this row],[team]],MatchData[teleop high goals])/COUNTIF(MatchData[team],MatchData[[#this row],[team]]),2)</f>
        <v>#VALUE!</v>
      </c>
      <c r="BY191" s="16" t="e">
        <f aca="false">COUNTIF(MatchData[team],MatchData[[#this row],[team]])</f>
        <v>#VALUE!</v>
      </c>
      <c r="BZ191" s="16" t="e">
        <f aca="false">SUMIF(MatchData[team],MatchData[[#this row],[team]],MatchData[portcullis available])</f>
        <v>#VALUE!</v>
      </c>
      <c r="CA191" s="16" t="e">
        <f aca="false">SUMIF(MatchData[team],MatchData[[#this row],[team]],MatchData[cheval available])</f>
        <v>#VALUE!</v>
      </c>
      <c r="CB191" s="16" t="e">
        <f aca="false">SUMIF(MatchData[team],MatchData[[#this row],[team]],MatchData[moat available])</f>
        <v>#VALUE!</v>
      </c>
      <c r="CC191" s="16" t="e">
        <f aca="false">SUMIF(MatchData[team],MatchData[[#this row],[team]],MatchData[ramparts available])</f>
        <v>#VALUE!</v>
      </c>
      <c r="CD191" s="16" t="e">
        <f aca="false">SUMIF(MatchData[team],MatchData[[#this row],[team]],MatchData[drawbridge available])</f>
        <v>#VALUE!</v>
      </c>
      <c r="CE191" s="16" t="e">
        <f aca="false">SUMIF(MatchData[team],MatchData[[#this row],[team]],MatchData[sally port available])</f>
        <v>#VALUE!</v>
      </c>
      <c r="CF191" s="16" t="e">
        <f aca="false">SUMIF(MatchData[team],MatchData[[#this row],[team]],MatchData[rock wall available])</f>
        <v>#VALUE!</v>
      </c>
      <c r="CG191" s="16" t="e">
        <f aca="false">SUMIF(MatchData[team],MatchData[[#this row],[team]],MatchData[rough terrain available])</f>
        <v>#VALUE!</v>
      </c>
      <c r="CH191" s="16" t="e">
        <f aca="false">SUMIF(MatchData[team],MatchData[[#this row],[team]],MatchData[low bar available])</f>
        <v>#VALUE!</v>
      </c>
      <c r="CI191" s="16" t="e">
        <f aca="false">SUMIF(MatchData[team],MatchData[[#this row],[team]],MatchData[portcullis teleop crossings]:MatchData[portcullis scored crossings])</f>
        <v>#VALUE!</v>
      </c>
      <c r="CJ191" s="16" t="e">
        <f aca="false">SUMIF(MatchData[team],MatchData[[#this row],[team]],MatchData[cheval teleop crossings])+SUMIF(MatchData[team],MatchData[[#this row],[team]],MatchData[cheval scored crossings])</f>
        <v>#VALUE!</v>
      </c>
      <c r="CK191" s="16" t="e">
        <f aca="false">SUMIF(MatchData[team],MatchData[[#this row],[team]],MatchData[moat teleop crossings])+SUMIF(MatchData[team],MatchData[[#this row],[team]],MatchData[moat scored crosings])</f>
        <v>#VALUE!</v>
      </c>
      <c r="CL191" s="16" t="e">
        <f aca="false">SUMIF(MatchData[team],MatchData[[#this row],[team]],MatchData[ramparts teleop crossings])+SUMIF(MatchData[team],MatchData[[#this row],[team]],MatchData[ramparts scored crossings])</f>
        <v>#VALUE!</v>
      </c>
      <c r="CM191" s="16" t="e">
        <f aca="false">SUMIF(MatchData[team],MatchData[[#this row],[team]],MatchData[drawbridge teleop crossings])+SUMIF(MatchData[team],MatchData[[#this row],[team]],MatchData[drawbridge scored crossings])</f>
        <v>#VALUE!</v>
      </c>
      <c r="CN191" s="16" t="e">
        <f aca="false">SUMIF(MatchData[team],MatchData[[#this row],[team]],MatchData[sally port teleop crossings])+SUMIF(MatchData[team],MatchData[[#this row],[team]],MatchData[sally port scored crossings])</f>
        <v>#VALUE!</v>
      </c>
      <c r="CO191" s="16" t="e">
        <f aca="false">SUMIF(MatchData[team],MatchData[[#this row],[team]],MatchData[rock wall teleop crossings])+SUMIF(MatchData[team],MatchData[[#this row],[team]],MatchData[rock wall scored crossings])</f>
        <v>#VALUE!</v>
      </c>
      <c r="CP191" s="16" t="e">
        <f aca="false">SUMIF(MatchData[team],MatchData[[#this row],[team]],MatchData[rough terrain teleop crossings])+SUMIF(MatchData[team],MatchData[[#this row],[team]],MatchData[rough terrain scored crossings])</f>
        <v>#VALUE!</v>
      </c>
      <c r="CQ191" s="16" t="e">
        <f aca="false">SUMIF(MatchData[team],MatchData[[#this row],[team]],MatchData[low bar teleop crossings])+SUMIF(MatchData[team],MatchData[[#this row],[team]],MatchData[low bar scored crossings])</f>
        <v>#VALUE!</v>
      </c>
      <c r="CR191" s="16" t="e">
        <f aca="false">IFERROR(ROUND(MatchData[[#this row],[portcullis sum]]/MatchData[[#this row],[portcullis avail count]],2),0)</f>
        <v>#VALUE!</v>
      </c>
      <c r="CS191" s="16" t="e">
        <f aca="false">IFERROR(ROUND(MatchData[[#this row],[cheval sum]]/MatchData[[#this row],[cheval avail count]],2),0)</f>
        <v>#VALUE!</v>
      </c>
      <c r="CT191" s="16" t="e">
        <f aca="false">IFERROR(ROUND(MatchData[[#this row],[moat sum]]/MatchData[[#this row],[moat avail count]],2),0)</f>
        <v>#VALUE!</v>
      </c>
      <c r="CU191" s="16" t="e">
        <f aca="false">IFERROR(ROUND(MatchData[[#this row],[ramparts sum]]/MatchData[[#this row],[ramparts avail count]],2),0)</f>
        <v>#VALUE!</v>
      </c>
      <c r="CV191" s="16" t="e">
        <f aca="false">IFERROR(ROUND(MatchData[[#this row],[drawbridge sum]]/MatchData[[#this row],[drawbridge avail countigh6]],2),0)</f>
        <v>#VALUE!</v>
      </c>
      <c r="CW191" s="16" t="e">
        <f aca="false">IFERROR(ROUND(MatchData[[#this row],[sally port sum]]/MatchData[[#this row],[sally port avail count]],2),0)</f>
        <v>#VALUE!</v>
      </c>
      <c r="CX191" s="5" t="e">
        <f aca="false">IFERROR(ROUND(MatchData[[#this row],[rock wall sum]]/MatchData[[#this row],[rock wall avail count]],2),0)</f>
        <v>#VALUE!</v>
      </c>
      <c r="CY191" s="5" t="e">
        <f aca="false">IFERROR(ROUND(MatchData[[#this row],[rough terrain sum]]/MatchData[[#this row],[rough terrain avail count]],2),0)</f>
        <v>#VALUE!</v>
      </c>
      <c r="CZ191" s="5" t="e">
        <f aca="false">IFERROR(ROUND(MatchData[[#this row],[low bar sum]]/MatchData[[#this row],[low bar avail count]],2),0)</f>
        <v>#VALUE!</v>
      </c>
      <c r="DA191" s="16" t="e">
        <f aca="false">SUM(MatchData[[#this row],[cheval sum]:[low bar sum]])/MatchData[match count]</f>
        <v>#VALUE!</v>
      </c>
      <c r="DB191" s="16" t="n">
        <f aca="false">MAX(IF(C$2:C$74=C191,BP$2:BP$74))</f>
        <v>-1.79769313486232E+308</v>
      </c>
      <c r="DC191" s="16" t="e">
        <f aca="false">AVERAGEIF(MatchData[team],MatchData[[#this row],[team]],MatchData[total score])</f>
        <v>#VALUE!</v>
      </c>
      <c r="DD191" s="16" t="e">
        <f aca="false">ROUND(AVERAGEIF(MatchData[team],MatchData[team],MatchData[climb or challenge flag]),2)</f>
        <v>#VALUE!</v>
      </c>
    </row>
    <row r="192" customFormat="false" ht="14.5" hidden="false" customHeight="false" outlineLevel="0" collapsed="false">
      <c r="A192" s="20" t="s">
        <v>108</v>
      </c>
      <c r="B192" s="21" t="n">
        <v>32</v>
      </c>
      <c r="C192" s="15" t="n">
        <v>2811</v>
      </c>
      <c r="D192" s="5" t="s">
        <v>113</v>
      </c>
      <c r="E192" s="5" t="s">
        <v>153</v>
      </c>
      <c r="G192" s="16"/>
      <c r="I192" s="16"/>
      <c r="J192" s="5" t="n">
        <v>1</v>
      </c>
      <c r="K192" s="16" t="n">
        <v>1</v>
      </c>
      <c r="M192" s="5" t="n">
        <v>1</v>
      </c>
      <c r="N192" s="0"/>
      <c r="O192" s="5" t="n">
        <v>1</v>
      </c>
      <c r="P192" s="0"/>
      <c r="Q192" s="5" t="n">
        <v>1</v>
      </c>
      <c r="R192" s="0"/>
      <c r="S192" s="16"/>
      <c r="T192" s="0"/>
      <c r="U192" s="16"/>
      <c r="V192" s="16"/>
      <c r="W192" s="0"/>
      <c r="AB192" s="5" t="n">
        <v>1</v>
      </c>
      <c r="AD192" s="16" t="n">
        <v>2</v>
      </c>
      <c r="AE192" s="5"/>
      <c r="AF192" s="16"/>
      <c r="AG192" s="16"/>
      <c r="AH192" s="16"/>
      <c r="AJ192" s="16" t="n">
        <v>1</v>
      </c>
      <c r="AL192" s="16"/>
      <c r="AN192" s="16"/>
      <c r="AP192" s="16"/>
      <c r="AR192" s="16"/>
      <c r="AT192" s="16"/>
      <c r="AU192" s="16"/>
      <c r="AV192" s="16"/>
      <c r="AW192" s="16" t="n">
        <v>1</v>
      </c>
      <c r="AX192" s="16"/>
      <c r="AY192" s="16"/>
      <c r="AZ192" s="16"/>
      <c r="BB192" s="16" t="n">
        <v>1</v>
      </c>
      <c r="BC192" s="16" t="e">
        <f aca="false">MatchData[cheval scored crossings]*5</f>
        <v>#VALUE!</v>
      </c>
      <c r="BD192" s="16" t="e">
        <f aca="false">MatchData[moat scored crosings]*5</f>
        <v>#VALUE!</v>
      </c>
      <c r="BE192" s="16" t="e">
        <f aca="false">MatchData[ramparts scored crossings]*5</f>
        <v>#VALUE!</v>
      </c>
      <c r="BF192" s="16" t="e">
        <f aca="false">MatchData[drawbridge scored crossings]*5</f>
        <v>#VALUE!</v>
      </c>
      <c r="BG192" s="16" t="e">
        <f aca="false">MatchData[sally port scored crossings]*5</f>
        <v>#VALUE!</v>
      </c>
      <c r="BH192" s="16" t="e">
        <f aca="false">MatchData[rock wall scored crossings]*5</f>
        <v>#VALUE!</v>
      </c>
      <c r="BI192" s="16" t="e">
        <f aca="false">MatchData[rough terrain scored crossings]*5</f>
        <v>#VALUE!</v>
      </c>
      <c r="BJ192" s="16" t="e">
        <f aca="false">MatchData[low bar scored crossings]*5</f>
        <v>#VALUE!</v>
      </c>
      <c r="BK192" s="16" t="e">
        <f aca="false">SUM(MatchData[[#this row],[low bar teleop crossings]:[rough terrain scored crossings]])</f>
        <v>#VALUE!</v>
      </c>
      <c r="BL192" s="16" t="e">
        <f aca="false">IFERROR(IF(OR(MatchData[[#this row],[challenge flag]],MatchData[[#this row],[climb flag]]),1,0),0)</f>
        <v>#VALUE!</v>
      </c>
      <c r="BM192" s="16" t="e">
        <f aca="false">MatchData[auto high goals]*10+MatchData[teleop high goals]*5</f>
        <v>#VALUE!</v>
      </c>
      <c r="BN192" s="16" t="e">
        <f aca="false">MatchData[auto low goals]*5+MatchData[teleop low goals]*2</f>
        <v>#VALUE!</v>
      </c>
      <c r="BO192" s="16" t="e">
        <f aca="false">MatchData[high goal score]+MatchData[low goal score]</f>
        <v>#VALUE!</v>
      </c>
      <c r="BP192" s="16" t="e">
        <f aca="false">MatchData[teleop high goals]+MatchData[teleop low goals]</f>
        <v>#VALUE!</v>
      </c>
      <c r="BQ192" s="16" t="e">
        <f aca="false">MatchData[[#this row],[auto reach flag]]*2+SUM(MatchData[[#this row],[portcullis auto crossings]:[low bar auto crossings]])*10+MatchData[[#this row],[auto low goals]]*5+MatchData[auto high goals]*10</f>
        <v>#VALUE!</v>
      </c>
      <c r="BR192" s="16" t="e">
        <f aca="false">SUM(MatchData[[#this row],[cheval teleop crossing score]:[low bar teleop crossing score]])</f>
        <v>#VALUE!</v>
      </c>
      <c r="BS192" s="16" t="e">
        <f aca="false">SUMIF(MatchData[team],MatchData[[#this row],[team]],MatchData[total auto score])/MatchData[match count]</f>
        <v>#VALUE!</v>
      </c>
      <c r="BT192" s="16" t="e">
        <f aca="false">MatchData[challenge flag]*5</f>
        <v>#VALUE!</v>
      </c>
      <c r="BU192" s="16" t="e">
        <f aca="false">MatchData[climb flag]*15</f>
        <v>#VALUE!</v>
      </c>
      <c r="BV192" s="16" t="e">
        <f aca="false">SUM(MatchData[[#this row],[total goal score]],MatchData[[#this row],[crossing score]],MatchData[[#this row],[challenge score]],MatchData[[#this row],[climb score]],MatchData[[#this row],[total auto score]])</f>
        <v>#VALUE!</v>
      </c>
      <c r="BW192" s="16" t="e">
        <f aca="false">ROUND(SUMIF(MatchData[team],MatchData[[#this row],[team]],MatchData[teleop low goals])/COUNTIF(MatchData[team],MatchData[[#this row],[team]]),2)</f>
        <v>#VALUE!</v>
      </c>
      <c r="BX192" s="16" t="e">
        <f aca="false">ROUND(SUMIF(MatchData[team],MatchData[[#this row],[team]],MatchData[teleop high goals])/COUNTIF(MatchData[team],MatchData[[#this row],[team]]),2)</f>
        <v>#VALUE!</v>
      </c>
      <c r="BY192" s="16" t="e">
        <f aca="false">COUNTIF(MatchData[team],MatchData[[#this row],[team]])</f>
        <v>#VALUE!</v>
      </c>
      <c r="BZ192" s="16" t="e">
        <f aca="false">SUMIF(MatchData[team],MatchData[[#this row],[team]],MatchData[portcullis available])</f>
        <v>#VALUE!</v>
      </c>
      <c r="CA192" s="16" t="e">
        <f aca="false">SUMIF(MatchData[team],MatchData[[#this row],[team]],MatchData[cheval available])</f>
        <v>#VALUE!</v>
      </c>
      <c r="CB192" s="16" t="e">
        <f aca="false">SUMIF(MatchData[team],MatchData[[#this row],[team]],MatchData[moat available])</f>
        <v>#VALUE!</v>
      </c>
      <c r="CC192" s="16" t="e">
        <f aca="false">SUMIF(MatchData[team],MatchData[[#this row],[team]],MatchData[ramparts available])</f>
        <v>#VALUE!</v>
      </c>
      <c r="CD192" s="16" t="e">
        <f aca="false">SUMIF(MatchData[team],MatchData[[#this row],[team]],MatchData[drawbridge available])</f>
        <v>#VALUE!</v>
      </c>
      <c r="CE192" s="16" t="e">
        <f aca="false">SUMIF(MatchData[team],MatchData[[#this row],[team]],MatchData[sally port available])</f>
        <v>#VALUE!</v>
      </c>
      <c r="CF192" s="16" t="e">
        <f aca="false">SUMIF(MatchData[team],MatchData[[#this row],[team]],MatchData[rock wall available])</f>
        <v>#VALUE!</v>
      </c>
      <c r="CG192" s="16" t="e">
        <f aca="false">SUMIF(MatchData[team],MatchData[[#this row],[team]],MatchData[rough terrain available])</f>
        <v>#VALUE!</v>
      </c>
      <c r="CH192" s="16" t="e">
        <f aca="false">SUMIF(MatchData[team],MatchData[[#this row],[team]],MatchData[low bar available])</f>
        <v>#VALUE!</v>
      </c>
      <c r="CI192" s="16" t="e">
        <f aca="false">SUMIF(MatchData[team],MatchData[[#this row],[team]],MatchData[portcullis teleop crossings]:MatchData[portcullis scored crossings])</f>
        <v>#VALUE!</v>
      </c>
      <c r="CJ192" s="16" t="e">
        <f aca="false">SUMIF(MatchData[team],MatchData[[#this row],[team]],MatchData[cheval teleop crossings])+SUMIF(MatchData[team],MatchData[[#this row],[team]],MatchData[cheval scored crossings])</f>
        <v>#VALUE!</v>
      </c>
      <c r="CK192" s="16" t="e">
        <f aca="false">SUMIF(MatchData[team],MatchData[[#this row],[team]],MatchData[moat teleop crossings])+SUMIF(MatchData[team],MatchData[[#this row],[team]],MatchData[moat scored crosings])</f>
        <v>#VALUE!</v>
      </c>
      <c r="CL192" s="16" t="e">
        <f aca="false">SUMIF(MatchData[team],MatchData[[#this row],[team]],MatchData[ramparts teleop crossings])+SUMIF(MatchData[team],MatchData[[#this row],[team]],MatchData[ramparts scored crossings])</f>
        <v>#VALUE!</v>
      </c>
      <c r="CM192" s="16" t="e">
        <f aca="false">SUMIF(MatchData[team],MatchData[[#this row],[team]],MatchData[drawbridge teleop crossings])+SUMIF(MatchData[team],MatchData[[#this row],[team]],MatchData[drawbridge scored crossings])</f>
        <v>#VALUE!</v>
      </c>
      <c r="CN192" s="16" t="e">
        <f aca="false">SUMIF(MatchData[team],MatchData[[#this row],[team]],MatchData[sally port teleop crossings])+SUMIF(MatchData[team],MatchData[[#this row],[team]],MatchData[sally port scored crossings])</f>
        <v>#VALUE!</v>
      </c>
      <c r="CO192" s="16" t="e">
        <f aca="false">SUMIF(MatchData[team],MatchData[[#this row],[team]],MatchData[rock wall teleop crossings])+SUMIF(MatchData[team],MatchData[[#this row],[team]],MatchData[rock wall scored crossings])</f>
        <v>#VALUE!</v>
      </c>
      <c r="CP192" s="16" t="e">
        <f aca="false">SUMIF(MatchData[team],MatchData[[#this row],[team]],MatchData[rough terrain teleop crossings])+SUMIF(MatchData[team],MatchData[[#this row],[team]],MatchData[rough terrain scored crossings])</f>
        <v>#VALUE!</v>
      </c>
      <c r="CQ192" s="16" t="e">
        <f aca="false">SUMIF(MatchData[team],MatchData[[#this row],[team]],MatchData[low bar teleop crossings])+SUMIF(MatchData[team],MatchData[[#this row],[team]],MatchData[low bar scored crossings])</f>
        <v>#VALUE!</v>
      </c>
      <c r="CR192" s="16" t="e">
        <f aca="false">IFERROR(ROUND(MatchData[[#this row],[portcullis sum]]/MatchData[[#this row],[portcullis avail count]],2),0)</f>
        <v>#VALUE!</v>
      </c>
      <c r="CS192" s="16" t="e">
        <f aca="false">IFERROR(ROUND(MatchData[[#this row],[cheval sum]]/MatchData[[#this row],[cheval avail count]],2),0)</f>
        <v>#VALUE!</v>
      </c>
      <c r="CT192" s="16" t="e">
        <f aca="false">IFERROR(ROUND(MatchData[[#this row],[moat sum]]/MatchData[[#this row],[moat avail count]],2),0)</f>
        <v>#VALUE!</v>
      </c>
      <c r="CU192" s="16" t="e">
        <f aca="false">IFERROR(ROUND(MatchData[[#this row],[ramparts sum]]/MatchData[[#this row],[ramparts avail count]],2),0)</f>
        <v>#VALUE!</v>
      </c>
      <c r="CV192" s="16" t="e">
        <f aca="false">IFERROR(ROUND(MatchData[[#this row],[drawbridge sum]]/MatchData[[#this row],[drawbridge avail countigh6]],2),0)</f>
        <v>#VALUE!</v>
      </c>
      <c r="CW192" s="16" t="e">
        <f aca="false">IFERROR(ROUND(MatchData[[#this row],[sally port sum]]/MatchData[[#this row],[sally port avail count]],2),0)</f>
        <v>#VALUE!</v>
      </c>
      <c r="CX192" s="5" t="e">
        <f aca="false">IFERROR(ROUND(MatchData[[#this row],[rock wall sum]]/MatchData[[#this row],[rock wall avail count]],2),0)</f>
        <v>#VALUE!</v>
      </c>
      <c r="CY192" s="5" t="e">
        <f aca="false">IFERROR(ROUND(MatchData[[#this row],[rough terrain sum]]/MatchData[[#this row],[rough terrain avail count]],2),0)</f>
        <v>#VALUE!</v>
      </c>
      <c r="CZ192" s="5" t="e">
        <f aca="false">IFERROR(ROUND(MatchData[[#this row],[low bar sum]]/MatchData[[#this row],[low bar avail count]],2),0)</f>
        <v>#VALUE!</v>
      </c>
      <c r="DA192" s="16" t="e">
        <f aca="false">SUM(MatchData[[#this row],[cheval sum]:[low bar sum]])/MatchData[match count]</f>
        <v>#VALUE!</v>
      </c>
      <c r="DB192" s="16" t="n">
        <f aca="false">MAX(IF(C$2:C$74=C192,BP$2:BP$74))</f>
        <v>-1.79769313486232E+308</v>
      </c>
      <c r="DC192" s="16" t="e">
        <f aca="false">AVERAGEIF(MatchData[team],MatchData[[#this row],[team]],MatchData[total score])</f>
        <v>#VALUE!</v>
      </c>
      <c r="DD192" s="16" t="e">
        <f aca="false">ROUND(AVERAGEIF(MatchData[team],MatchData[team],MatchData[climb or challenge flag]),2)</f>
        <v>#VALUE!</v>
      </c>
    </row>
    <row r="193" customFormat="false" ht="14.5" hidden="false" customHeight="false" outlineLevel="0" collapsed="false">
      <c r="A193" s="20" t="s">
        <v>108</v>
      </c>
      <c r="B193" s="22" t="n">
        <v>32</v>
      </c>
      <c r="C193" s="15" t="n">
        <v>2915</v>
      </c>
      <c r="D193" s="5" t="s">
        <v>113</v>
      </c>
      <c r="E193" s="5" t="s">
        <v>111</v>
      </c>
      <c r="G193" s="16"/>
      <c r="I193" s="16"/>
      <c r="J193" s="5" t="n">
        <v>1</v>
      </c>
      <c r="K193" s="16" t="n">
        <v>1</v>
      </c>
      <c r="M193" s="5" t="n">
        <v>1</v>
      </c>
      <c r="N193" s="0"/>
      <c r="O193" s="5" t="n">
        <v>1</v>
      </c>
      <c r="P193" s="0"/>
      <c r="Q193" s="5" t="n">
        <v>1</v>
      </c>
      <c r="R193" s="0"/>
      <c r="S193" s="16" t="n">
        <v>1</v>
      </c>
      <c r="T193" s="0"/>
      <c r="U193" s="16"/>
      <c r="V193" s="16"/>
      <c r="W193" s="0"/>
      <c r="AD193" s="16"/>
      <c r="AE193" s="5"/>
      <c r="AF193" s="16"/>
      <c r="AG193" s="16"/>
      <c r="AH193" s="16"/>
      <c r="AJ193" s="16"/>
      <c r="AL193" s="16"/>
      <c r="AN193" s="16"/>
      <c r="AP193" s="16"/>
      <c r="AR193" s="16"/>
      <c r="AT193" s="16"/>
      <c r="AU193" s="16"/>
      <c r="AV193" s="16"/>
      <c r="AW193" s="16"/>
      <c r="AX193" s="16"/>
      <c r="AY193" s="16"/>
      <c r="AZ193" s="16" t="n">
        <v>1</v>
      </c>
      <c r="BB193" s="16" t="n">
        <v>1</v>
      </c>
      <c r="BC193" s="16" t="e">
        <f aca="false">MatchData[cheval scored crossings]*5</f>
        <v>#VALUE!</v>
      </c>
      <c r="BD193" s="16" t="e">
        <f aca="false">MatchData[moat scored crosings]*5</f>
        <v>#VALUE!</v>
      </c>
      <c r="BE193" s="16" t="e">
        <f aca="false">MatchData[ramparts scored crossings]*5</f>
        <v>#VALUE!</v>
      </c>
      <c r="BF193" s="16" t="e">
        <f aca="false">MatchData[drawbridge scored crossings]*5</f>
        <v>#VALUE!</v>
      </c>
      <c r="BG193" s="16" t="e">
        <f aca="false">MatchData[sally port scored crossings]*5</f>
        <v>#VALUE!</v>
      </c>
      <c r="BH193" s="16" t="e">
        <f aca="false">MatchData[rock wall scored crossings]*5</f>
        <v>#VALUE!</v>
      </c>
      <c r="BI193" s="16" t="e">
        <f aca="false">MatchData[rough terrain scored crossings]*5</f>
        <v>#VALUE!</v>
      </c>
      <c r="BJ193" s="16" t="e">
        <f aca="false">MatchData[low bar scored crossings]*5</f>
        <v>#VALUE!</v>
      </c>
      <c r="BK193" s="16" t="e">
        <f aca="false">SUM(MatchData[[#this row],[low bar teleop crossings]:[rough terrain scored crossings]])</f>
        <v>#VALUE!</v>
      </c>
      <c r="BL193" s="16" t="e">
        <f aca="false">IFERROR(IF(OR(MatchData[[#this row],[challenge flag]],MatchData[[#this row],[climb flag]]),1,0),0)</f>
        <v>#VALUE!</v>
      </c>
      <c r="BM193" s="16" t="e">
        <f aca="false">MatchData[auto high goals]*10+MatchData[teleop high goals]*5</f>
        <v>#VALUE!</v>
      </c>
      <c r="BN193" s="16" t="e">
        <f aca="false">MatchData[auto low goals]*5+MatchData[teleop low goals]*2</f>
        <v>#VALUE!</v>
      </c>
      <c r="BO193" s="16" t="e">
        <f aca="false">MatchData[high goal score]+MatchData[low goal score]</f>
        <v>#VALUE!</v>
      </c>
      <c r="BP193" s="16" t="e">
        <f aca="false">MatchData[teleop high goals]+MatchData[teleop low goals]</f>
        <v>#VALUE!</v>
      </c>
      <c r="BQ193" s="16" t="e">
        <f aca="false">MatchData[[#this row],[auto reach flag]]*2+SUM(MatchData[[#this row],[portcullis auto crossings]:[low bar auto crossings]])*10+MatchData[[#this row],[auto low goals]]*5+MatchData[auto high goals]*10</f>
        <v>#VALUE!</v>
      </c>
      <c r="BR193" s="16" t="e">
        <f aca="false">SUM(MatchData[[#this row],[cheval teleop crossing score]:[low bar teleop crossing score]])</f>
        <v>#VALUE!</v>
      </c>
      <c r="BS193" s="16" t="e">
        <f aca="false">SUMIF(MatchData[team],MatchData[[#this row],[team]],MatchData[total auto score])/MatchData[match count]</f>
        <v>#VALUE!</v>
      </c>
      <c r="BT193" s="16" t="e">
        <f aca="false">MatchData[challenge flag]*5</f>
        <v>#VALUE!</v>
      </c>
      <c r="BU193" s="16" t="e">
        <f aca="false">MatchData[climb flag]*15</f>
        <v>#VALUE!</v>
      </c>
      <c r="BV193" s="16" t="e">
        <f aca="false">SUM(MatchData[[#this row],[total goal score]],MatchData[[#this row],[crossing score]],MatchData[[#this row],[challenge score]],MatchData[[#this row],[climb score]],MatchData[[#this row],[total auto score]])</f>
        <v>#VALUE!</v>
      </c>
      <c r="BW193" s="16" t="e">
        <f aca="false">ROUND(SUMIF(MatchData[team],MatchData[[#this row],[team]],MatchData[teleop low goals])/COUNTIF(MatchData[team],MatchData[[#this row],[team]]),2)</f>
        <v>#VALUE!</v>
      </c>
      <c r="BX193" s="16" t="e">
        <f aca="false">ROUND(SUMIF(MatchData[team],MatchData[[#this row],[team]],MatchData[teleop high goals])/COUNTIF(MatchData[team],MatchData[[#this row],[team]]),2)</f>
        <v>#VALUE!</v>
      </c>
      <c r="BY193" s="16" t="e">
        <f aca="false">COUNTIF(MatchData[team],MatchData[[#this row],[team]])</f>
        <v>#VALUE!</v>
      </c>
      <c r="BZ193" s="16" t="e">
        <f aca="false">SUMIF(MatchData[team],MatchData[[#this row],[team]],MatchData[portcullis available])</f>
        <v>#VALUE!</v>
      </c>
      <c r="CA193" s="16" t="e">
        <f aca="false">SUMIF(MatchData[team],MatchData[[#this row],[team]],MatchData[cheval available])</f>
        <v>#VALUE!</v>
      </c>
      <c r="CB193" s="16" t="e">
        <f aca="false">SUMIF(MatchData[team],MatchData[[#this row],[team]],MatchData[moat available])</f>
        <v>#VALUE!</v>
      </c>
      <c r="CC193" s="16" t="e">
        <f aca="false">SUMIF(MatchData[team],MatchData[[#this row],[team]],MatchData[ramparts available])</f>
        <v>#VALUE!</v>
      </c>
      <c r="CD193" s="16" t="e">
        <f aca="false">SUMIF(MatchData[team],MatchData[[#this row],[team]],MatchData[drawbridge available])</f>
        <v>#VALUE!</v>
      </c>
      <c r="CE193" s="16" t="e">
        <f aca="false">SUMIF(MatchData[team],MatchData[[#this row],[team]],MatchData[sally port available])</f>
        <v>#VALUE!</v>
      </c>
      <c r="CF193" s="16" t="e">
        <f aca="false">SUMIF(MatchData[team],MatchData[[#this row],[team]],MatchData[rock wall available])</f>
        <v>#VALUE!</v>
      </c>
      <c r="CG193" s="16" t="e">
        <f aca="false">SUMIF(MatchData[team],MatchData[[#this row],[team]],MatchData[rough terrain available])</f>
        <v>#VALUE!</v>
      </c>
      <c r="CH193" s="16" t="e">
        <f aca="false">SUMIF(MatchData[team],MatchData[[#this row],[team]],MatchData[low bar available])</f>
        <v>#VALUE!</v>
      </c>
      <c r="CI193" s="16" t="e">
        <f aca="false">SUMIF(MatchData[team],MatchData[[#this row],[team]],MatchData[portcullis teleop crossings]:MatchData[portcullis scored crossings])</f>
        <v>#VALUE!</v>
      </c>
      <c r="CJ193" s="16" t="e">
        <f aca="false">SUMIF(MatchData[team],MatchData[[#this row],[team]],MatchData[cheval teleop crossings])+SUMIF(MatchData[team],MatchData[[#this row],[team]],MatchData[cheval scored crossings])</f>
        <v>#VALUE!</v>
      </c>
      <c r="CK193" s="16" t="e">
        <f aca="false">SUMIF(MatchData[team],MatchData[[#this row],[team]],MatchData[moat teleop crossings])+SUMIF(MatchData[team],MatchData[[#this row],[team]],MatchData[moat scored crosings])</f>
        <v>#VALUE!</v>
      </c>
      <c r="CL193" s="16" t="e">
        <f aca="false">SUMIF(MatchData[team],MatchData[[#this row],[team]],MatchData[ramparts teleop crossings])+SUMIF(MatchData[team],MatchData[[#this row],[team]],MatchData[ramparts scored crossings])</f>
        <v>#VALUE!</v>
      </c>
      <c r="CM193" s="16" t="e">
        <f aca="false">SUMIF(MatchData[team],MatchData[[#this row],[team]],MatchData[drawbridge teleop crossings])+SUMIF(MatchData[team],MatchData[[#this row],[team]],MatchData[drawbridge scored crossings])</f>
        <v>#VALUE!</v>
      </c>
      <c r="CN193" s="16" t="e">
        <f aca="false">SUMIF(MatchData[team],MatchData[[#this row],[team]],MatchData[sally port teleop crossings])+SUMIF(MatchData[team],MatchData[[#this row],[team]],MatchData[sally port scored crossings])</f>
        <v>#VALUE!</v>
      </c>
      <c r="CO193" s="16" t="e">
        <f aca="false">SUMIF(MatchData[team],MatchData[[#this row],[team]],MatchData[rock wall teleop crossings])+SUMIF(MatchData[team],MatchData[[#this row],[team]],MatchData[rock wall scored crossings])</f>
        <v>#VALUE!</v>
      </c>
      <c r="CP193" s="16" t="e">
        <f aca="false">SUMIF(MatchData[team],MatchData[[#this row],[team]],MatchData[rough terrain teleop crossings])+SUMIF(MatchData[team],MatchData[[#this row],[team]],MatchData[rough terrain scored crossings])</f>
        <v>#VALUE!</v>
      </c>
      <c r="CQ193" s="16" t="e">
        <f aca="false">SUMIF(MatchData[team],MatchData[[#this row],[team]],MatchData[low bar teleop crossings])+SUMIF(MatchData[team],MatchData[[#this row],[team]],MatchData[low bar scored crossings])</f>
        <v>#VALUE!</v>
      </c>
      <c r="CR193" s="16" t="e">
        <f aca="false">IFERROR(ROUND(MatchData[[#this row],[portcullis sum]]/MatchData[[#this row],[portcullis avail count]],2),0)</f>
        <v>#VALUE!</v>
      </c>
      <c r="CS193" s="16" t="e">
        <f aca="false">IFERROR(ROUND(MatchData[[#this row],[cheval sum]]/MatchData[[#this row],[cheval avail count]],2),0)</f>
        <v>#VALUE!</v>
      </c>
      <c r="CT193" s="16" t="e">
        <f aca="false">IFERROR(ROUND(MatchData[[#this row],[moat sum]]/MatchData[[#this row],[moat avail count]],2),0)</f>
        <v>#VALUE!</v>
      </c>
      <c r="CU193" s="16" t="e">
        <f aca="false">IFERROR(ROUND(MatchData[[#this row],[ramparts sum]]/MatchData[[#this row],[ramparts avail count]],2),0)</f>
        <v>#VALUE!</v>
      </c>
      <c r="CV193" s="16" t="e">
        <f aca="false">IFERROR(ROUND(MatchData[[#this row],[drawbridge sum]]/MatchData[[#this row],[drawbridge avail countigh6]],2),0)</f>
        <v>#VALUE!</v>
      </c>
      <c r="CW193" s="16" t="e">
        <f aca="false">IFERROR(ROUND(MatchData[[#this row],[sally port sum]]/MatchData[[#this row],[sally port avail count]],2),0)</f>
        <v>#VALUE!</v>
      </c>
      <c r="CX193" s="5" t="e">
        <f aca="false">IFERROR(ROUND(MatchData[[#this row],[rock wall sum]]/MatchData[[#this row],[rock wall avail count]],2),0)</f>
        <v>#VALUE!</v>
      </c>
      <c r="CY193" s="5" t="e">
        <f aca="false">IFERROR(ROUND(MatchData[[#this row],[rough terrain sum]]/MatchData[[#this row],[rough terrain avail count]],2),0)</f>
        <v>#VALUE!</v>
      </c>
      <c r="CZ193" s="5" t="e">
        <f aca="false">IFERROR(ROUND(MatchData[[#this row],[low bar sum]]/MatchData[[#this row],[low bar avail count]],2),0)</f>
        <v>#VALUE!</v>
      </c>
      <c r="DA193" s="16" t="e">
        <f aca="false">SUM(MatchData[[#this row],[cheval sum]:[low bar sum]])/MatchData[match count]</f>
        <v>#VALUE!</v>
      </c>
      <c r="DB193" s="16" t="n">
        <f aca="false">MAX(IF(C$2:C$74=C193,BP$2:BP$74))</f>
        <v>-1.79769313486232E+308</v>
      </c>
      <c r="DC193" s="16" t="e">
        <f aca="false">AVERAGEIF(MatchData[team],MatchData[[#this row],[team]],MatchData[total score])</f>
        <v>#VALUE!</v>
      </c>
      <c r="DD193" s="16" t="e">
        <f aca="false">ROUND(AVERAGEIF(MatchData[team],MatchData[team],MatchData[climb or challenge flag]),2)</f>
        <v>#VALUE!</v>
      </c>
    </row>
    <row r="194" customFormat="false" ht="14.5" hidden="false" customHeight="false" outlineLevel="0" collapsed="false">
      <c r="A194" s="20" t="s">
        <v>108</v>
      </c>
      <c r="B194" s="21" t="n">
        <v>33</v>
      </c>
      <c r="C194" s="15" t="n">
        <v>997</v>
      </c>
      <c r="D194" s="5" t="s">
        <v>109</v>
      </c>
      <c r="E194" s="5" t="s">
        <v>138</v>
      </c>
      <c r="G194" s="16"/>
      <c r="I194" s="16" t="n">
        <v>1</v>
      </c>
      <c r="J194" s="5" t="n">
        <v>1</v>
      </c>
      <c r="K194" s="16"/>
      <c r="N194" s="0"/>
      <c r="O194" s="0"/>
      <c r="P194" s="0"/>
      <c r="Q194" s="0"/>
      <c r="R194" s="0"/>
      <c r="S194" s="16"/>
      <c r="T194" s="0"/>
      <c r="U194" s="16"/>
      <c r="V194" s="16"/>
      <c r="W194" s="0"/>
      <c r="AD194" s="16"/>
      <c r="AE194" s="5"/>
      <c r="AF194" s="16"/>
      <c r="AG194" s="16"/>
      <c r="AH194" s="16"/>
      <c r="AJ194" s="16"/>
      <c r="AL194" s="16"/>
      <c r="AN194" s="16"/>
      <c r="AP194" s="16"/>
      <c r="AR194" s="16"/>
      <c r="AT194" s="16"/>
      <c r="AU194" s="16"/>
      <c r="AV194" s="16"/>
      <c r="AW194" s="16"/>
      <c r="AX194" s="16"/>
      <c r="AY194" s="16"/>
      <c r="AZ194" s="16"/>
      <c r="BB194" s="16"/>
      <c r="BC194" s="16" t="e">
        <f aca="false">MatchData[cheval scored crossings]*5</f>
        <v>#VALUE!</v>
      </c>
      <c r="BD194" s="16" t="e">
        <f aca="false">MatchData[moat scored crosings]*5</f>
        <v>#VALUE!</v>
      </c>
      <c r="BE194" s="16" t="e">
        <f aca="false">MatchData[ramparts scored crossings]*5</f>
        <v>#VALUE!</v>
      </c>
      <c r="BF194" s="16" t="e">
        <f aca="false">MatchData[drawbridge scored crossings]*5</f>
        <v>#VALUE!</v>
      </c>
      <c r="BG194" s="16" t="e">
        <f aca="false">MatchData[sally port scored crossings]*5</f>
        <v>#VALUE!</v>
      </c>
      <c r="BH194" s="16" t="e">
        <f aca="false">MatchData[rock wall scored crossings]*5</f>
        <v>#VALUE!</v>
      </c>
      <c r="BI194" s="16" t="e">
        <f aca="false">MatchData[rough terrain scored crossings]*5</f>
        <v>#VALUE!</v>
      </c>
      <c r="BJ194" s="16" t="e">
        <f aca="false">MatchData[low bar scored crossings]*5</f>
        <v>#VALUE!</v>
      </c>
      <c r="BK194" s="16" t="e">
        <f aca="false">SUM(MatchData[[#this row],[low bar teleop crossings]:[rough terrain scored crossings]])</f>
        <v>#VALUE!</v>
      </c>
      <c r="BL194" s="16" t="e">
        <f aca="false">IFERROR(IF(OR(MatchData[[#this row],[challenge flag]],MatchData[[#this row],[climb flag]]),1,0),0)</f>
        <v>#VALUE!</v>
      </c>
      <c r="BM194" s="16" t="e">
        <f aca="false">MatchData[auto high goals]*10+MatchData[teleop high goals]*5</f>
        <v>#VALUE!</v>
      </c>
      <c r="BN194" s="16" t="e">
        <f aca="false">MatchData[auto low goals]*5+MatchData[teleop low goals]*2</f>
        <v>#VALUE!</v>
      </c>
      <c r="BO194" s="16" t="e">
        <f aca="false">MatchData[high goal score]+MatchData[low goal score]</f>
        <v>#VALUE!</v>
      </c>
      <c r="BP194" s="16" t="e">
        <f aca="false">MatchData[teleop high goals]+MatchData[teleop low goals]</f>
        <v>#VALUE!</v>
      </c>
      <c r="BQ194" s="16" t="e">
        <f aca="false">MatchData[[#this row],[auto reach flag]]*2+SUM(MatchData[[#this row],[portcullis auto crossings]:[low bar auto crossings]])*10+MatchData[[#this row],[auto low goals]]*5+MatchData[auto high goals]*10</f>
        <v>#VALUE!</v>
      </c>
      <c r="BR194" s="16" t="e">
        <f aca="false">SUM(MatchData[[#this row],[cheval teleop crossing score]:[low bar teleop crossing score]])</f>
        <v>#VALUE!</v>
      </c>
      <c r="BS194" s="16" t="e">
        <f aca="false">SUMIF(MatchData[team],MatchData[[#this row],[team]],MatchData[total auto score])/MatchData[match count]</f>
        <v>#VALUE!</v>
      </c>
      <c r="BT194" s="16" t="e">
        <f aca="false">MatchData[challenge flag]*5</f>
        <v>#VALUE!</v>
      </c>
      <c r="BU194" s="16" t="e">
        <f aca="false">MatchData[climb flag]*15</f>
        <v>#VALUE!</v>
      </c>
      <c r="BV194" s="16" t="e">
        <f aca="false">SUM(MatchData[[#this row],[total goal score]],MatchData[[#this row],[crossing score]],MatchData[[#this row],[challenge score]],MatchData[[#this row],[climb score]],MatchData[[#this row],[total auto score]])</f>
        <v>#VALUE!</v>
      </c>
      <c r="BW194" s="16" t="e">
        <f aca="false">ROUND(SUMIF(MatchData[team],MatchData[[#this row],[team]],MatchData[teleop low goals])/COUNTIF(MatchData[team],MatchData[[#this row],[team]]),2)</f>
        <v>#VALUE!</v>
      </c>
      <c r="BX194" s="16" t="e">
        <f aca="false">ROUND(SUMIF(MatchData[team],MatchData[[#this row],[team]],MatchData[teleop high goals])/COUNTIF(MatchData[team],MatchData[[#this row],[team]]),2)</f>
        <v>#VALUE!</v>
      </c>
      <c r="BY194" s="16" t="e">
        <f aca="false">COUNTIF(MatchData[team],MatchData[[#this row],[team]])</f>
        <v>#VALUE!</v>
      </c>
      <c r="BZ194" s="16" t="e">
        <f aca="false">SUMIF(MatchData[team],MatchData[[#this row],[team]],MatchData[portcullis available])</f>
        <v>#VALUE!</v>
      </c>
      <c r="CA194" s="16" t="e">
        <f aca="false">SUMIF(MatchData[team],MatchData[[#this row],[team]],MatchData[cheval available])</f>
        <v>#VALUE!</v>
      </c>
      <c r="CB194" s="16" t="e">
        <f aca="false">SUMIF(MatchData[team],MatchData[[#this row],[team]],MatchData[moat available])</f>
        <v>#VALUE!</v>
      </c>
      <c r="CC194" s="16" t="e">
        <f aca="false">SUMIF(MatchData[team],MatchData[[#this row],[team]],MatchData[ramparts available])</f>
        <v>#VALUE!</v>
      </c>
      <c r="CD194" s="16" t="e">
        <f aca="false">SUMIF(MatchData[team],MatchData[[#this row],[team]],MatchData[drawbridge available])</f>
        <v>#VALUE!</v>
      </c>
      <c r="CE194" s="16" t="e">
        <f aca="false">SUMIF(MatchData[team],MatchData[[#this row],[team]],MatchData[sally port available])</f>
        <v>#VALUE!</v>
      </c>
      <c r="CF194" s="16" t="e">
        <f aca="false">SUMIF(MatchData[team],MatchData[[#this row],[team]],MatchData[rock wall available])</f>
        <v>#VALUE!</v>
      </c>
      <c r="CG194" s="16" t="e">
        <f aca="false">SUMIF(MatchData[team],MatchData[[#this row],[team]],MatchData[rough terrain available])</f>
        <v>#VALUE!</v>
      </c>
      <c r="CH194" s="16" t="e">
        <f aca="false">SUMIF(MatchData[team],MatchData[[#this row],[team]],MatchData[low bar available])</f>
        <v>#VALUE!</v>
      </c>
      <c r="CI194" s="16" t="e">
        <f aca="false">SUMIF(MatchData[team],MatchData[[#this row],[team]],MatchData[portcullis teleop crossings]:MatchData[portcullis scored crossings])</f>
        <v>#VALUE!</v>
      </c>
      <c r="CJ194" s="16" t="e">
        <f aca="false">SUMIF(MatchData[team],MatchData[[#this row],[team]],MatchData[cheval teleop crossings])+SUMIF(MatchData[team],MatchData[[#this row],[team]],MatchData[cheval scored crossings])</f>
        <v>#VALUE!</v>
      </c>
      <c r="CK194" s="16" t="e">
        <f aca="false">SUMIF(MatchData[team],MatchData[[#this row],[team]],MatchData[moat teleop crossings])+SUMIF(MatchData[team],MatchData[[#this row],[team]],MatchData[moat scored crosings])</f>
        <v>#VALUE!</v>
      </c>
      <c r="CL194" s="16" t="e">
        <f aca="false">SUMIF(MatchData[team],MatchData[[#this row],[team]],MatchData[ramparts teleop crossings])+SUMIF(MatchData[team],MatchData[[#this row],[team]],MatchData[ramparts scored crossings])</f>
        <v>#VALUE!</v>
      </c>
      <c r="CM194" s="16" t="e">
        <f aca="false">SUMIF(MatchData[team],MatchData[[#this row],[team]],MatchData[drawbridge teleop crossings])+SUMIF(MatchData[team],MatchData[[#this row],[team]],MatchData[drawbridge scored crossings])</f>
        <v>#VALUE!</v>
      </c>
      <c r="CN194" s="16" t="e">
        <f aca="false">SUMIF(MatchData[team],MatchData[[#this row],[team]],MatchData[sally port teleop crossings])+SUMIF(MatchData[team],MatchData[[#this row],[team]],MatchData[sally port scored crossings])</f>
        <v>#VALUE!</v>
      </c>
      <c r="CO194" s="16" t="e">
        <f aca="false">SUMIF(MatchData[team],MatchData[[#this row],[team]],MatchData[rock wall teleop crossings])+SUMIF(MatchData[team],MatchData[[#this row],[team]],MatchData[rock wall scored crossings])</f>
        <v>#VALUE!</v>
      </c>
      <c r="CP194" s="16" t="e">
        <f aca="false">SUMIF(MatchData[team],MatchData[[#this row],[team]],MatchData[rough terrain teleop crossings])+SUMIF(MatchData[team],MatchData[[#this row],[team]],MatchData[rough terrain scored crossings])</f>
        <v>#VALUE!</v>
      </c>
      <c r="CQ194" s="16" t="e">
        <f aca="false">SUMIF(MatchData[team],MatchData[[#this row],[team]],MatchData[low bar teleop crossings])+SUMIF(MatchData[team],MatchData[[#this row],[team]],MatchData[low bar scored crossings])</f>
        <v>#VALUE!</v>
      </c>
      <c r="CR194" s="16" t="e">
        <f aca="false">IFERROR(ROUND(MatchData[[#this row],[portcullis sum]]/MatchData[[#this row],[portcullis avail count]],2),0)</f>
        <v>#VALUE!</v>
      </c>
      <c r="CS194" s="16" t="e">
        <f aca="false">IFERROR(ROUND(MatchData[[#this row],[cheval sum]]/MatchData[[#this row],[cheval avail count]],2),0)</f>
        <v>#VALUE!</v>
      </c>
      <c r="CT194" s="16" t="e">
        <f aca="false">IFERROR(ROUND(MatchData[[#this row],[moat sum]]/MatchData[[#this row],[moat avail count]],2),0)</f>
        <v>#VALUE!</v>
      </c>
      <c r="CU194" s="16" t="e">
        <f aca="false">IFERROR(ROUND(MatchData[[#this row],[ramparts sum]]/MatchData[[#this row],[ramparts avail count]],2),0)</f>
        <v>#VALUE!</v>
      </c>
      <c r="CV194" s="16" t="e">
        <f aca="false">IFERROR(ROUND(MatchData[[#this row],[drawbridge sum]]/MatchData[[#this row],[drawbridge avail countigh6]],2),0)</f>
        <v>#VALUE!</v>
      </c>
      <c r="CW194" s="16" t="e">
        <f aca="false">IFERROR(ROUND(MatchData[[#this row],[sally port sum]]/MatchData[[#this row],[sally port avail count]],2),0)</f>
        <v>#VALUE!</v>
      </c>
      <c r="CX194" s="5" t="e">
        <f aca="false">IFERROR(ROUND(MatchData[[#this row],[rock wall sum]]/MatchData[[#this row],[rock wall avail count]],2),0)</f>
        <v>#VALUE!</v>
      </c>
      <c r="CY194" s="5" t="e">
        <f aca="false">IFERROR(ROUND(MatchData[[#this row],[rough terrain sum]]/MatchData[[#this row],[rough terrain avail count]],2),0)</f>
        <v>#VALUE!</v>
      </c>
      <c r="CZ194" s="5" t="e">
        <f aca="false">IFERROR(ROUND(MatchData[[#this row],[low bar sum]]/MatchData[[#this row],[low bar avail count]],2),0)</f>
        <v>#VALUE!</v>
      </c>
      <c r="DA194" s="16" t="e">
        <f aca="false">SUM(MatchData[[#this row],[cheval sum]:[low bar sum]])/MatchData[match count]</f>
        <v>#VALUE!</v>
      </c>
      <c r="DB194" s="16" t="n">
        <f aca="false">MAX(IF(C$2:C$74=C194,BP$2:BP$74))</f>
        <v>-1.79769313486232E+308</v>
      </c>
      <c r="DC194" s="16" t="e">
        <f aca="false">AVERAGEIF(MatchData[team],MatchData[[#this row],[team]],MatchData[total score])</f>
        <v>#VALUE!</v>
      </c>
      <c r="DD194" s="16" t="e">
        <f aca="false">ROUND(AVERAGEIF(MatchData[team],MatchData[team],MatchData[climb or challenge flag]),2)</f>
        <v>#VALUE!</v>
      </c>
    </row>
    <row r="195" customFormat="false" ht="14.5" hidden="false" customHeight="false" outlineLevel="0" collapsed="false">
      <c r="A195" s="20" t="s">
        <v>108</v>
      </c>
      <c r="B195" s="22" t="n">
        <v>33</v>
      </c>
      <c r="C195" s="15" t="n">
        <v>2635</v>
      </c>
      <c r="D195" s="5" t="s">
        <v>109</v>
      </c>
      <c r="E195" s="5" t="s">
        <v>151</v>
      </c>
      <c r="G195" s="16"/>
      <c r="I195" s="16"/>
      <c r="J195" s="5" t="n">
        <v>1</v>
      </c>
      <c r="K195" s="16"/>
      <c r="L195" s="5" t="n">
        <v>1</v>
      </c>
      <c r="M195" s="5" t="n">
        <v>1</v>
      </c>
      <c r="N195" s="0"/>
      <c r="O195" s="5" t="n">
        <v>1</v>
      </c>
      <c r="P195" s="0"/>
      <c r="Q195" s="5" t="n">
        <v>1</v>
      </c>
      <c r="R195" s="0"/>
      <c r="S195" s="16"/>
      <c r="T195" s="0"/>
      <c r="U195" s="16"/>
      <c r="V195" s="16"/>
      <c r="W195" s="0"/>
      <c r="AC195" s="5" t="n">
        <v>1</v>
      </c>
      <c r="AD195" s="16"/>
      <c r="AE195" s="5"/>
      <c r="AF195" s="16"/>
      <c r="AG195" s="16"/>
      <c r="AH195" s="16"/>
      <c r="AJ195" s="16" t="n">
        <v>1</v>
      </c>
      <c r="AL195" s="16"/>
      <c r="AN195" s="16" t="n">
        <v>1</v>
      </c>
      <c r="AP195" s="16"/>
      <c r="AR195" s="16" t="n">
        <v>1</v>
      </c>
      <c r="AT195" s="16"/>
      <c r="AU195" s="16"/>
      <c r="AV195" s="16"/>
      <c r="AW195" s="16" t="n">
        <v>1</v>
      </c>
      <c r="AX195" s="16"/>
      <c r="AY195" s="16"/>
      <c r="AZ195" s="16"/>
      <c r="BB195" s="16"/>
      <c r="BC195" s="16" t="e">
        <f aca="false">MatchData[cheval scored crossings]*5</f>
        <v>#VALUE!</v>
      </c>
      <c r="BD195" s="16" t="e">
        <f aca="false">MatchData[moat scored crosings]*5</f>
        <v>#VALUE!</v>
      </c>
      <c r="BE195" s="16" t="e">
        <f aca="false">MatchData[ramparts scored crossings]*5</f>
        <v>#VALUE!</v>
      </c>
      <c r="BF195" s="16" t="e">
        <f aca="false">MatchData[drawbridge scored crossings]*5</f>
        <v>#VALUE!</v>
      </c>
      <c r="BG195" s="16" t="e">
        <f aca="false">MatchData[sally port scored crossings]*5</f>
        <v>#VALUE!</v>
      </c>
      <c r="BH195" s="16" t="e">
        <f aca="false">MatchData[rock wall scored crossings]*5</f>
        <v>#VALUE!</v>
      </c>
      <c r="BI195" s="16" t="e">
        <f aca="false">MatchData[rough terrain scored crossings]*5</f>
        <v>#VALUE!</v>
      </c>
      <c r="BJ195" s="16" t="e">
        <f aca="false">MatchData[low bar scored crossings]*5</f>
        <v>#VALUE!</v>
      </c>
      <c r="BK195" s="16" t="e">
        <f aca="false">SUM(MatchData[[#this row],[low bar teleop crossings]:[rough terrain scored crossings]])</f>
        <v>#VALUE!</v>
      </c>
      <c r="BL195" s="16" t="e">
        <f aca="false">IFERROR(IF(OR(MatchData[[#this row],[challenge flag]],MatchData[[#this row],[climb flag]]),1,0),0)</f>
        <v>#VALUE!</v>
      </c>
      <c r="BM195" s="16" t="e">
        <f aca="false">MatchData[auto high goals]*10+MatchData[teleop high goals]*5</f>
        <v>#VALUE!</v>
      </c>
      <c r="BN195" s="16" t="e">
        <f aca="false">MatchData[auto low goals]*5+MatchData[teleop low goals]*2</f>
        <v>#VALUE!</v>
      </c>
      <c r="BO195" s="16" t="e">
        <f aca="false">MatchData[high goal score]+MatchData[low goal score]</f>
        <v>#VALUE!</v>
      </c>
      <c r="BP195" s="16" t="e">
        <f aca="false">MatchData[teleop high goals]+MatchData[teleop low goals]</f>
        <v>#VALUE!</v>
      </c>
      <c r="BQ195" s="16" t="e">
        <f aca="false">MatchData[[#this row],[auto reach flag]]*2+SUM(MatchData[[#this row],[portcullis auto crossings]:[low bar auto crossings]])*10+MatchData[[#this row],[auto low goals]]*5+MatchData[auto high goals]*10</f>
        <v>#VALUE!</v>
      </c>
      <c r="BR195" s="16" t="e">
        <f aca="false">SUM(MatchData[[#this row],[cheval teleop crossing score]:[low bar teleop crossing score]])</f>
        <v>#VALUE!</v>
      </c>
      <c r="BS195" s="16" t="e">
        <f aca="false">SUMIF(MatchData[team],MatchData[[#this row],[team]],MatchData[total auto score])/MatchData[match count]</f>
        <v>#VALUE!</v>
      </c>
      <c r="BT195" s="16" t="e">
        <f aca="false">MatchData[challenge flag]*5</f>
        <v>#VALUE!</v>
      </c>
      <c r="BU195" s="16" t="e">
        <f aca="false">MatchData[climb flag]*15</f>
        <v>#VALUE!</v>
      </c>
      <c r="BV195" s="16" t="e">
        <f aca="false">SUM(MatchData[[#this row],[total goal score]],MatchData[[#this row],[crossing score]],MatchData[[#this row],[challenge score]],MatchData[[#this row],[climb score]],MatchData[[#this row],[total auto score]])</f>
        <v>#VALUE!</v>
      </c>
      <c r="BW195" s="16" t="e">
        <f aca="false">ROUND(SUMIF(MatchData[team],MatchData[[#this row],[team]],MatchData[teleop low goals])/COUNTIF(MatchData[team],MatchData[[#this row],[team]]),2)</f>
        <v>#VALUE!</v>
      </c>
      <c r="BX195" s="16" t="e">
        <f aca="false">ROUND(SUMIF(MatchData[team],MatchData[[#this row],[team]],MatchData[teleop high goals])/COUNTIF(MatchData[team],MatchData[[#this row],[team]]),2)</f>
        <v>#VALUE!</v>
      </c>
      <c r="BY195" s="16" t="e">
        <f aca="false">COUNTIF(MatchData[team],MatchData[[#this row],[team]])</f>
        <v>#VALUE!</v>
      </c>
      <c r="BZ195" s="16" t="e">
        <f aca="false">SUMIF(MatchData[team],MatchData[[#this row],[team]],MatchData[portcullis available])</f>
        <v>#VALUE!</v>
      </c>
      <c r="CA195" s="16" t="e">
        <f aca="false">SUMIF(MatchData[team],MatchData[[#this row],[team]],MatchData[cheval available])</f>
        <v>#VALUE!</v>
      </c>
      <c r="CB195" s="16" t="e">
        <f aca="false">SUMIF(MatchData[team],MatchData[[#this row],[team]],MatchData[moat available])</f>
        <v>#VALUE!</v>
      </c>
      <c r="CC195" s="16" t="e">
        <f aca="false">SUMIF(MatchData[team],MatchData[[#this row],[team]],MatchData[ramparts available])</f>
        <v>#VALUE!</v>
      </c>
      <c r="CD195" s="16" t="e">
        <f aca="false">SUMIF(MatchData[team],MatchData[[#this row],[team]],MatchData[drawbridge available])</f>
        <v>#VALUE!</v>
      </c>
      <c r="CE195" s="16" t="e">
        <f aca="false">SUMIF(MatchData[team],MatchData[[#this row],[team]],MatchData[sally port available])</f>
        <v>#VALUE!</v>
      </c>
      <c r="CF195" s="16" t="e">
        <f aca="false">SUMIF(MatchData[team],MatchData[[#this row],[team]],MatchData[rock wall available])</f>
        <v>#VALUE!</v>
      </c>
      <c r="CG195" s="16" t="e">
        <f aca="false">SUMIF(MatchData[team],MatchData[[#this row],[team]],MatchData[rough terrain available])</f>
        <v>#VALUE!</v>
      </c>
      <c r="CH195" s="16" t="e">
        <f aca="false">SUMIF(MatchData[team],MatchData[[#this row],[team]],MatchData[low bar available])</f>
        <v>#VALUE!</v>
      </c>
      <c r="CI195" s="16" t="e">
        <f aca="false">SUMIF(MatchData[team],MatchData[[#this row],[team]],MatchData[portcullis teleop crossings]:MatchData[portcullis scored crossings])</f>
        <v>#VALUE!</v>
      </c>
      <c r="CJ195" s="16" t="e">
        <f aca="false">SUMIF(MatchData[team],MatchData[[#this row],[team]],MatchData[cheval teleop crossings])+SUMIF(MatchData[team],MatchData[[#this row],[team]],MatchData[cheval scored crossings])</f>
        <v>#VALUE!</v>
      </c>
      <c r="CK195" s="16" t="e">
        <f aca="false">SUMIF(MatchData[team],MatchData[[#this row],[team]],MatchData[moat teleop crossings])+SUMIF(MatchData[team],MatchData[[#this row],[team]],MatchData[moat scored crosings])</f>
        <v>#VALUE!</v>
      </c>
      <c r="CL195" s="16" t="e">
        <f aca="false">SUMIF(MatchData[team],MatchData[[#this row],[team]],MatchData[ramparts teleop crossings])+SUMIF(MatchData[team],MatchData[[#this row],[team]],MatchData[ramparts scored crossings])</f>
        <v>#VALUE!</v>
      </c>
      <c r="CM195" s="16" t="e">
        <f aca="false">SUMIF(MatchData[team],MatchData[[#this row],[team]],MatchData[drawbridge teleop crossings])+SUMIF(MatchData[team],MatchData[[#this row],[team]],MatchData[drawbridge scored crossings])</f>
        <v>#VALUE!</v>
      </c>
      <c r="CN195" s="16" t="e">
        <f aca="false">SUMIF(MatchData[team],MatchData[[#this row],[team]],MatchData[sally port teleop crossings])+SUMIF(MatchData[team],MatchData[[#this row],[team]],MatchData[sally port scored crossings])</f>
        <v>#VALUE!</v>
      </c>
      <c r="CO195" s="16" t="e">
        <f aca="false">SUMIF(MatchData[team],MatchData[[#this row],[team]],MatchData[rock wall teleop crossings])+SUMIF(MatchData[team],MatchData[[#this row],[team]],MatchData[rock wall scored crossings])</f>
        <v>#VALUE!</v>
      </c>
      <c r="CP195" s="16" t="e">
        <f aca="false">SUMIF(MatchData[team],MatchData[[#this row],[team]],MatchData[rough terrain teleop crossings])+SUMIF(MatchData[team],MatchData[[#this row],[team]],MatchData[rough terrain scored crossings])</f>
        <v>#VALUE!</v>
      </c>
      <c r="CQ195" s="16" t="e">
        <f aca="false">SUMIF(MatchData[team],MatchData[[#this row],[team]],MatchData[low bar teleop crossings])+SUMIF(MatchData[team],MatchData[[#this row],[team]],MatchData[low bar scored crossings])</f>
        <v>#VALUE!</v>
      </c>
      <c r="CR195" s="16" t="e">
        <f aca="false">IFERROR(ROUND(MatchData[[#this row],[portcullis sum]]/MatchData[[#this row],[portcullis avail count]],2),0)</f>
        <v>#VALUE!</v>
      </c>
      <c r="CS195" s="16" t="e">
        <f aca="false">IFERROR(ROUND(MatchData[[#this row],[cheval sum]]/MatchData[[#this row],[cheval avail count]],2),0)</f>
        <v>#VALUE!</v>
      </c>
      <c r="CT195" s="16" t="e">
        <f aca="false">IFERROR(ROUND(MatchData[[#this row],[moat sum]]/MatchData[[#this row],[moat avail count]],2),0)</f>
        <v>#VALUE!</v>
      </c>
      <c r="CU195" s="16" t="e">
        <f aca="false">IFERROR(ROUND(MatchData[[#this row],[ramparts sum]]/MatchData[[#this row],[ramparts avail count]],2),0)</f>
        <v>#VALUE!</v>
      </c>
      <c r="CV195" s="16" t="e">
        <f aca="false">IFERROR(ROUND(MatchData[[#this row],[drawbridge sum]]/MatchData[[#this row],[drawbridge avail countigh6]],2),0)</f>
        <v>#VALUE!</v>
      </c>
      <c r="CW195" s="16" t="e">
        <f aca="false">IFERROR(ROUND(MatchData[[#this row],[sally port sum]]/MatchData[[#this row],[sally port avail count]],2),0)</f>
        <v>#VALUE!</v>
      </c>
      <c r="CX195" s="5" t="e">
        <f aca="false">IFERROR(ROUND(MatchData[[#this row],[rock wall sum]]/MatchData[[#this row],[rock wall avail count]],2),0)</f>
        <v>#VALUE!</v>
      </c>
      <c r="CY195" s="5" t="e">
        <f aca="false">IFERROR(ROUND(MatchData[[#this row],[rough terrain sum]]/MatchData[[#this row],[rough terrain avail count]],2),0)</f>
        <v>#VALUE!</v>
      </c>
      <c r="CZ195" s="5" t="e">
        <f aca="false">IFERROR(ROUND(MatchData[[#this row],[low bar sum]]/MatchData[[#this row],[low bar avail count]],2),0)</f>
        <v>#VALUE!</v>
      </c>
      <c r="DA195" s="16" t="e">
        <f aca="false">SUM(MatchData[[#this row],[cheval sum]:[low bar sum]])/MatchData[match count]</f>
        <v>#VALUE!</v>
      </c>
      <c r="DB195" s="16" t="n">
        <f aca="false">MAX(IF(C$2:C$74=C195,BP$2:BP$74))</f>
        <v>-1.79769313486232E+308</v>
      </c>
      <c r="DC195" s="16" t="e">
        <f aca="false">AVERAGEIF(MatchData[team],MatchData[[#this row],[team]],MatchData[total score])</f>
        <v>#VALUE!</v>
      </c>
      <c r="DD195" s="16" t="e">
        <f aca="false">ROUND(AVERAGEIF(MatchData[team],MatchData[team],MatchData[climb or challenge flag]),2)</f>
        <v>#VALUE!</v>
      </c>
    </row>
    <row r="196" customFormat="false" ht="14.5" hidden="false" customHeight="false" outlineLevel="0" collapsed="false">
      <c r="A196" s="20" t="s">
        <v>108</v>
      </c>
      <c r="B196" s="22" t="n">
        <v>33</v>
      </c>
      <c r="C196" s="15" t="n">
        <v>3674</v>
      </c>
      <c r="D196" s="5" t="s">
        <v>109</v>
      </c>
      <c r="G196" s="16" t="n">
        <v>1</v>
      </c>
      <c r="I196" s="16"/>
      <c r="J196" s="5" t="n">
        <v>1</v>
      </c>
      <c r="K196" s="16"/>
      <c r="L196" s="5" t="n">
        <v>1</v>
      </c>
      <c r="M196" s="5" t="n">
        <v>1</v>
      </c>
      <c r="N196" s="0"/>
      <c r="O196" s="5" t="n">
        <v>1</v>
      </c>
      <c r="P196" s="0"/>
      <c r="Q196" s="5" t="n">
        <v>1</v>
      </c>
      <c r="R196" s="0"/>
      <c r="S196" s="16"/>
      <c r="T196" s="0"/>
      <c r="U196" s="16" t="n">
        <v>1</v>
      </c>
      <c r="V196" s="16"/>
      <c r="W196" s="0"/>
      <c r="AD196" s="16"/>
      <c r="AE196" s="5"/>
      <c r="AF196" s="16"/>
      <c r="AG196" s="16"/>
      <c r="AH196" s="16" t="n">
        <v>1</v>
      </c>
      <c r="AJ196" s="16"/>
      <c r="AL196" s="16"/>
      <c r="AN196" s="16" t="n">
        <v>1</v>
      </c>
      <c r="AP196" s="16"/>
      <c r="AR196" s="16"/>
      <c r="AT196" s="16"/>
      <c r="AU196" s="16"/>
      <c r="AV196" s="16"/>
      <c r="AW196" s="16" t="n">
        <v>1</v>
      </c>
      <c r="AX196" s="16"/>
      <c r="AY196" s="16"/>
      <c r="AZ196" s="16"/>
      <c r="BB196" s="16"/>
      <c r="BC196" s="16" t="e">
        <f aca="false">MatchData[cheval scored crossings]*5</f>
        <v>#VALUE!</v>
      </c>
      <c r="BD196" s="16" t="e">
        <f aca="false">MatchData[moat scored crosings]*5</f>
        <v>#VALUE!</v>
      </c>
      <c r="BE196" s="16" t="e">
        <f aca="false">MatchData[ramparts scored crossings]*5</f>
        <v>#VALUE!</v>
      </c>
      <c r="BF196" s="16" t="e">
        <f aca="false">MatchData[drawbridge scored crossings]*5</f>
        <v>#VALUE!</v>
      </c>
      <c r="BG196" s="16" t="e">
        <f aca="false">MatchData[sally port scored crossings]*5</f>
        <v>#VALUE!</v>
      </c>
      <c r="BH196" s="16" t="e">
        <f aca="false">MatchData[rock wall scored crossings]*5</f>
        <v>#VALUE!</v>
      </c>
      <c r="BI196" s="16" t="e">
        <f aca="false">MatchData[rough terrain scored crossings]*5</f>
        <v>#VALUE!</v>
      </c>
      <c r="BJ196" s="16" t="e">
        <f aca="false">MatchData[low bar scored crossings]*5</f>
        <v>#VALUE!</v>
      </c>
      <c r="BK196" s="16" t="e">
        <f aca="false">SUM(MatchData[[#this row],[low bar teleop crossings]:[rough terrain scored crossings]])</f>
        <v>#VALUE!</v>
      </c>
      <c r="BL196" s="16" t="e">
        <f aca="false">IFERROR(IF(OR(MatchData[[#this row],[challenge flag]],MatchData[[#this row],[climb flag]]),1,0),0)</f>
        <v>#VALUE!</v>
      </c>
      <c r="BM196" s="16" t="e">
        <f aca="false">MatchData[auto high goals]*10+MatchData[teleop high goals]*5</f>
        <v>#VALUE!</v>
      </c>
      <c r="BN196" s="16" t="e">
        <f aca="false">MatchData[auto low goals]*5+MatchData[teleop low goals]*2</f>
        <v>#VALUE!</v>
      </c>
      <c r="BO196" s="16" t="e">
        <f aca="false">MatchData[high goal score]+MatchData[low goal score]</f>
        <v>#VALUE!</v>
      </c>
      <c r="BP196" s="16" t="e">
        <f aca="false">MatchData[teleop high goals]+MatchData[teleop low goals]</f>
        <v>#VALUE!</v>
      </c>
      <c r="BQ196" s="16" t="e">
        <f aca="false">MatchData[[#this row],[auto reach flag]]*2+SUM(MatchData[[#this row],[portcullis auto crossings]:[low bar auto crossings]])*10+MatchData[[#this row],[auto low goals]]*5+MatchData[auto high goals]*10</f>
        <v>#VALUE!</v>
      </c>
      <c r="BR196" s="16" t="e">
        <f aca="false">SUM(MatchData[[#this row],[cheval teleop crossing score]:[low bar teleop crossing score]])</f>
        <v>#VALUE!</v>
      </c>
      <c r="BS196" s="16" t="e">
        <f aca="false">SUMIF(MatchData[team],MatchData[[#this row],[team]],MatchData[total auto score])/MatchData[match count]</f>
        <v>#VALUE!</v>
      </c>
      <c r="BT196" s="16" t="e">
        <f aca="false">MatchData[challenge flag]*5</f>
        <v>#VALUE!</v>
      </c>
      <c r="BU196" s="16" t="e">
        <f aca="false">MatchData[climb flag]*15</f>
        <v>#VALUE!</v>
      </c>
      <c r="BV196" s="16" t="e">
        <f aca="false">SUM(MatchData[[#this row],[total goal score]],MatchData[[#this row],[crossing score]],MatchData[[#this row],[challenge score]],MatchData[[#this row],[climb score]],MatchData[[#this row],[total auto score]])</f>
        <v>#VALUE!</v>
      </c>
      <c r="BW196" s="16" t="e">
        <f aca="false">ROUND(SUMIF(MatchData[team],MatchData[[#this row],[team]],MatchData[teleop low goals])/COUNTIF(MatchData[team],MatchData[[#this row],[team]]),2)</f>
        <v>#VALUE!</v>
      </c>
      <c r="BX196" s="16" t="e">
        <f aca="false">ROUND(SUMIF(MatchData[team],MatchData[[#this row],[team]],MatchData[teleop high goals])/COUNTIF(MatchData[team],MatchData[[#this row],[team]]),2)</f>
        <v>#VALUE!</v>
      </c>
      <c r="BY196" s="16" t="e">
        <f aca="false">COUNTIF(MatchData[team],MatchData[[#this row],[team]])</f>
        <v>#VALUE!</v>
      </c>
      <c r="BZ196" s="16" t="e">
        <f aca="false">SUMIF(MatchData[team],MatchData[[#this row],[team]],MatchData[portcullis available])</f>
        <v>#VALUE!</v>
      </c>
      <c r="CA196" s="16" t="e">
        <f aca="false">SUMIF(MatchData[team],MatchData[[#this row],[team]],MatchData[cheval available])</f>
        <v>#VALUE!</v>
      </c>
      <c r="CB196" s="16" t="e">
        <f aca="false">SUMIF(MatchData[team],MatchData[[#this row],[team]],MatchData[moat available])</f>
        <v>#VALUE!</v>
      </c>
      <c r="CC196" s="16" t="e">
        <f aca="false">SUMIF(MatchData[team],MatchData[[#this row],[team]],MatchData[ramparts available])</f>
        <v>#VALUE!</v>
      </c>
      <c r="CD196" s="16" t="e">
        <f aca="false">SUMIF(MatchData[team],MatchData[[#this row],[team]],MatchData[drawbridge available])</f>
        <v>#VALUE!</v>
      </c>
      <c r="CE196" s="16" t="e">
        <f aca="false">SUMIF(MatchData[team],MatchData[[#this row],[team]],MatchData[sally port available])</f>
        <v>#VALUE!</v>
      </c>
      <c r="CF196" s="16" t="e">
        <f aca="false">SUMIF(MatchData[team],MatchData[[#this row],[team]],MatchData[rock wall available])</f>
        <v>#VALUE!</v>
      </c>
      <c r="CG196" s="16" t="e">
        <f aca="false">SUMIF(MatchData[team],MatchData[[#this row],[team]],MatchData[rough terrain available])</f>
        <v>#VALUE!</v>
      </c>
      <c r="CH196" s="16" t="e">
        <f aca="false">SUMIF(MatchData[team],MatchData[[#this row],[team]],MatchData[low bar available])</f>
        <v>#VALUE!</v>
      </c>
      <c r="CI196" s="16" t="e">
        <f aca="false">SUMIF(MatchData[team],MatchData[[#this row],[team]],MatchData[portcullis teleop crossings]:MatchData[portcullis scored crossings])</f>
        <v>#VALUE!</v>
      </c>
      <c r="CJ196" s="16" t="e">
        <f aca="false">SUMIF(MatchData[team],MatchData[[#this row],[team]],MatchData[cheval teleop crossings])+SUMIF(MatchData[team],MatchData[[#this row],[team]],MatchData[cheval scored crossings])</f>
        <v>#VALUE!</v>
      </c>
      <c r="CK196" s="16" t="e">
        <f aca="false">SUMIF(MatchData[team],MatchData[[#this row],[team]],MatchData[moat teleop crossings])+SUMIF(MatchData[team],MatchData[[#this row],[team]],MatchData[moat scored crosings])</f>
        <v>#VALUE!</v>
      </c>
      <c r="CL196" s="16" t="e">
        <f aca="false">SUMIF(MatchData[team],MatchData[[#this row],[team]],MatchData[ramparts teleop crossings])+SUMIF(MatchData[team],MatchData[[#this row],[team]],MatchData[ramparts scored crossings])</f>
        <v>#VALUE!</v>
      </c>
      <c r="CM196" s="16" t="e">
        <f aca="false">SUMIF(MatchData[team],MatchData[[#this row],[team]],MatchData[drawbridge teleop crossings])+SUMIF(MatchData[team],MatchData[[#this row],[team]],MatchData[drawbridge scored crossings])</f>
        <v>#VALUE!</v>
      </c>
      <c r="CN196" s="16" t="e">
        <f aca="false">SUMIF(MatchData[team],MatchData[[#this row],[team]],MatchData[sally port teleop crossings])+SUMIF(MatchData[team],MatchData[[#this row],[team]],MatchData[sally port scored crossings])</f>
        <v>#VALUE!</v>
      </c>
      <c r="CO196" s="16" t="e">
        <f aca="false">SUMIF(MatchData[team],MatchData[[#this row],[team]],MatchData[rock wall teleop crossings])+SUMIF(MatchData[team],MatchData[[#this row],[team]],MatchData[rock wall scored crossings])</f>
        <v>#VALUE!</v>
      </c>
      <c r="CP196" s="16" t="e">
        <f aca="false">SUMIF(MatchData[team],MatchData[[#this row],[team]],MatchData[rough terrain teleop crossings])+SUMIF(MatchData[team],MatchData[[#this row],[team]],MatchData[rough terrain scored crossings])</f>
        <v>#VALUE!</v>
      </c>
      <c r="CQ196" s="16" t="e">
        <f aca="false">SUMIF(MatchData[team],MatchData[[#this row],[team]],MatchData[low bar teleop crossings])+SUMIF(MatchData[team],MatchData[[#this row],[team]],MatchData[low bar scored crossings])</f>
        <v>#VALUE!</v>
      </c>
      <c r="CR196" s="16" t="e">
        <f aca="false">IFERROR(ROUND(MatchData[[#this row],[portcullis sum]]/MatchData[[#this row],[portcullis avail count]],2),0)</f>
        <v>#VALUE!</v>
      </c>
      <c r="CS196" s="16" t="e">
        <f aca="false">IFERROR(ROUND(MatchData[[#this row],[cheval sum]]/MatchData[[#this row],[cheval avail count]],2),0)</f>
        <v>#VALUE!</v>
      </c>
      <c r="CT196" s="16" t="e">
        <f aca="false">IFERROR(ROUND(MatchData[[#this row],[moat sum]]/MatchData[[#this row],[moat avail count]],2),0)</f>
        <v>#VALUE!</v>
      </c>
      <c r="CU196" s="16" t="e">
        <f aca="false">IFERROR(ROUND(MatchData[[#this row],[ramparts sum]]/MatchData[[#this row],[ramparts avail count]],2),0)</f>
        <v>#VALUE!</v>
      </c>
      <c r="CV196" s="16" t="e">
        <f aca="false">IFERROR(ROUND(MatchData[[#this row],[drawbridge sum]]/MatchData[[#this row],[drawbridge avail countigh6]],2),0)</f>
        <v>#VALUE!</v>
      </c>
      <c r="CW196" s="16" t="e">
        <f aca="false">IFERROR(ROUND(MatchData[[#this row],[sally port sum]]/MatchData[[#this row],[sally port avail count]],2),0)</f>
        <v>#VALUE!</v>
      </c>
      <c r="CX196" s="5" t="e">
        <f aca="false">IFERROR(ROUND(MatchData[[#this row],[rock wall sum]]/MatchData[[#this row],[rock wall avail count]],2),0)</f>
        <v>#VALUE!</v>
      </c>
      <c r="CY196" s="5" t="e">
        <f aca="false">IFERROR(ROUND(MatchData[[#this row],[rough terrain sum]]/MatchData[[#this row],[rough terrain avail count]],2),0)</f>
        <v>#VALUE!</v>
      </c>
      <c r="CZ196" s="5" t="e">
        <f aca="false">IFERROR(ROUND(MatchData[[#this row],[low bar sum]]/MatchData[[#this row],[low bar avail count]],2),0)</f>
        <v>#VALUE!</v>
      </c>
      <c r="DA196" s="16" t="e">
        <f aca="false">SUM(MatchData[[#this row],[cheval sum]:[low bar sum]])/MatchData[match count]</f>
        <v>#VALUE!</v>
      </c>
      <c r="DB196" s="16" t="n">
        <f aca="false">MAX(IF(C$2:C$74=C196,BP$2:BP$74))</f>
        <v>-1.79769313486232E+308</v>
      </c>
      <c r="DC196" s="16" t="e">
        <f aca="false">AVERAGEIF(MatchData[team],MatchData[[#this row],[team]],MatchData[total score])</f>
        <v>#VALUE!</v>
      </c>
      <c r="DD196" s="16" t="e">
        <f aca="false">ROUND(AVERAGEIF(MatchData[team],MatchData[team],MatchData[climb or challenge flag]),2)</f>
        <v>#VALUE!</v>
      </c>
    </row>
    <row r="197" customFormat="false" ht="14.5" hidden="false" customHeight="false" outlineLevel="0" collapsed="false">
      <c r="A197" s="20" t="s">
        <v>108</v>
      </c>
      <c r="B197" s="21" t="n">
        <v>33</v>
      </c>
      <c r="C197" s="15" t="n">
        <v>753</v>
      </c>
      <c r="D197" s="5" t="s">
        <v>113</v>
      </c>
      <c r="E197" s="5" t="s">
        <v>139</v>
      </c>
      <c r="G197" s="16"/>
      <c r="I197" s="16"/>
      <c r="J197" s="5" t="n">
        <v>1</v>
      </c>
      <c r="K197" s="16" t="n">
        <v>1</v>
      </c>
      <c r="L197" s="5" t="n">
        <v>1</v>
      </c>
      <c r="M197" s="5" t="n">
        <v>1</v>
      </c>
      <c r="N197" s="0"/>
      <c r="O197" s="5" t="n">
        <v>1</v>
      </c>
      <c r="P197" s="0"/>
      <c r="Q197" s="5" t="n">
        <v>1</v>
      </c>
      <c r="R197" s="0"/>
      <c r="S197" s="16"/>
      <c r="T197" s="0"/>
      <c r="U197" s="16"/>
      <c r="V197" s="16"/>
      <c r="W197" s="0"/>
      <c r="AD197" s="16"/>
      <c r="AE197" s="5"/>
      <c r="AF197" s="16"/>
      <c r="AG197" s="16"/>
      <c r="AH197" s="16"/>
      <c r="AJ197" s="16"/>
      <c r="AL197" s="16"/>
      <c r="AN197" s="16"/>
      <c r="AP197" s="16"/>
      <c r="AR197" s="16"/>
      <c r="AT197" s="16"/>
      <c r="AU197" s="16" t="n">
        <v>1</v>
      </c>
      <c r="AV197" s="16"/>
      <c r="AW197" s="16"/>
      <c r="AX197" s="16"/>
      <c r="AY197" s="16"/>
      <c r="AZ197" s="16"/>
      <c r="BB197" s="16"/>
      <c r="BC197" s="16" t="e">
        <f aca="false">MatchData[cheval scored crossings]*5</f>
        <v>#VALUE!</v>
      </c>
      <c r="BD197" s="16" t="e">
        <f aca="false">MatchData[moat scored crosings]*5</f>
        <v>#VALUE!</v>
      </c>
      <c r="BE197" s="16" t="e">
        <f aca="false">MatchData[ramparts scored crossings]*5</f>
        <v>#VALUE!</v>
      </c>
      <c r="BF197" s="16" t="e">
        <f aca="false">MatchData[drawbridge scored crossings]*5</f>
        <v>#VALUE!</v>
      </c>
      <c r="BG197" s="16" t="e">
        <f aca="false">MatchData[sally port scored crossings]*5</f>
        <v>#VALUE!</v>
      </c>
      <c r="BH197" s="16" t="e">
        <f aca="false">MatchData[rock wall scored crossings]*5</f>
        <v>#VALUE!</v>
      </c>
      <c r="BI197" s="16" t="e">
        <f aca="false">MatchData[rough terrain scored crossings]*5</f>
        <v>#VALUE!</v>
      </c>
      <c r="BJ197" s="16" t="e">
        <f aca="false">MatchData[low bar scored crossings]*5</f>
        <v>#VALUE!</v>
      </c>
      <c r="BK197" s="16" t="e">
        <f aca="false">SUM(MatchData[[#this row],[low bar teleop crossings]:[rough terrain scored crossings]])</f>
        <v>#VALUE!</v>
      </c>
      <c r="BL197" s="16" t="e">
        <f aca="false">IFERROR(IF(OR(MatchData[[#this row],[challenge flag]],MatchData[[#this row],[climb flag]]),1,0),0)</f>
        <v>#VALUE!</v>
      </c>
      <c r="BM197" s="16" t="e">
        <f aca="false">MatchData[auto high goals]*10+MatchData[teleop high goals]*5</f>
        <v>#VALUE!</v>
      </c>
      <c r="BN197" s="16" t="e">
        <f aca="false">MatchData[auto low goals]*5+MatchData[teleop low goals]*2</f>
        <v>#VALUE!</v>
      </c>
      <c r="BO197" s="16" t="e">
        <f aca="false">MatchData[high goal score]+MatchData[low goal score]</f>
        <v>#VALUE!</v>
      </c>
      <c r="BP197" s="16" t="e">
        <f aca="false">MatchData[teleop high goals]+MatchData[teleop low goals]</f>
        <v>#VALUE!</v>
      </c>
      <c r="BQ197" s="16" t="e">
        <f aca="false">MatchData[[#this row],[auto reach flag]]*2+SUM(MatchData[[#this row],[portcullis auto crossings]:[low bar auto crossings]])*10+MatchData[[#this row],[auto low goals]]*5+MatchData[auto high goals]*10</f>
        <v>#VALUE!</v>
      </c>
      <c r="BR197" s="16" t="e">
        <f aca="false">SUM(MatchData[[#this row],[cheval teleop crossing score]:[low bar teleop crossing score]])</f>
        <v>#VALUE!</v>
      </c>
      <c r="BS197" s="16" t="e">
        <f aca="false">SUMIF(MatchData[team],MatchData[[#this row],[team]],MatchData[total auto score])/MatchData[match count]</f>
        <v>#VALUE!</v>
      </c>
      <c r="BT197" s="16" t="e">
        <f aca="false">MatchData[challenge flag]*5</f>
        <v>#VALUE!</v>
      </c>
      <c r="BU197" s="16" t="e">
        <f aca="false">MatchData[climb flag]*15</f>
        <v>#VALUE!</v>
      </c>
      <c r="BV197" s="16" t="e">
        <f aca="false">SUM(MatchData[[#this row],[total goal score]],MatchData[[#this row],[crossing score]],MatchData[[#this row],[challenge score]],MatchData[[#this row],[climb score]],MatchData[[#this row],[total auto score]])</f>
        <v>#VALUE!</v>
      </c>
      <c r="BW197" s="16" t="e">
        <f aca="false">ROUND(SUMIF(MatchData[team],MatchData[[#this row],[team]],MatchData[teleop low goals])/COUNTIF(MatchData[team],MatchData[[#this row],[team]]),2)</f>
        <v>#VALUE!</v>
      </c>
      <c r="BX197" s="16" t="e">
        <f aca="false">ROUND(SUMIF(MatchData[team],MatchData[[#this row],[team]],MatchData[teleop high goals])/COUNTIF(MatchData[team],MatchData[[#this row],[team]]),2)</f>
        <v>#VALUE!</v>
      </c>
      <c r="BY197" s="16" t="e">
        <f aca="false">COUNTIF(MatchData[team],MatchData[[#this row],[team]])</f>
        <v>#VALUE!</v>
      </c>
      <c r="BZ197" s="16" t="e">
        <f aca="false">SUMIF(MatchData[team],MatchData[[#this row],[team]],MatchData[portcullis available])</f>
        <v>#VALUE!</v>
      </c>
      <c r="CA197" s="16" t="e">
        <f aca="false">SUMIF(MatchData[team],MatchData[[#this row],[team]],MatchData[cheval available])</f>
        <v>#VALUE!</v>
      </c>
      <c r="CB197" s="16" t="e">
        <f aca="false">SUMIF(MatchData[team],MatchData[[#this row],[team]],MatchData[moat available])</f>
        <v>#VALUE!</v>
      </c>
      <c r="CC197" s="16" t="e">
        <f aca="false">SUMIF(MatchData[team],MatchData[[#this row],[team]],MatchData[ramparts available])</f>
        <v>#VALUE!</v>
      </c>
      <c r="CD197" s="16" t="e">
        <f aca="false">SUMIF(MatchData[team],MatchData[[#this row],[team]],MatchData[drawbridge available])</f>
        <v>#VALUE!</v>
      </c>
      <c r="CE197" s="16" t="e">
        <f aca="false">SUMIF(MatchData[team],MatchData[[#this row],[team]],MatchData[sally port available])</f>
        <v>#VALUE!</v>
      </c>
      <c r="CF197" s="16" t="e">
        <f aca="false">SUMIF(MatchData[team],MatchData[[#this row],[team]],MatchData[rock wall available])</f>
        <v>#VALUE!</v>
      </c>
      <c r="CG197" s="16" t="e">
        <f aca="false">SUMIF(MatchData[team],MatchData[[#this row],[team]],MatchData[rough terrain available])</f>
        <v>#VALUE!</v>
      </c>
      <c r="CH197" s="16" t="e">
        <f aca="false">SUMIF(MatchData[team],MatchData[[#this row],[team]],MatchData[low bar available])</f>
        <v>#VALUE!</v>
      </c>
      <c r="CI197" s="16" t="e">
        <f aca="false">SUMIF(MatchData[team],MatchData[[#this row],[team]],MatchData[portcullis teleop crossings]:MatchData[portcullis scored crossings])</f>
        <v>#VALUE!</v>
      </c>
      <c r="CJ197" s="16" t="e">
        <f aca="false">SUMIF(MatchData[team],MatchData[[#this row],[team]],MatchData[cheval teleop crossings])+SUMIF(MatchData[team],MatchData[[#this row],[team]],MatchData[cheval scored crossings])</f>
        <v>#VALUE!</v>
      </c>
      <c r="CK197" s="16" t="e">
        <f aca="false">SUMIF(MatchData[team],MatchData[[#this row],[team]],MatchData[moat teleop crossings])+SUMIF(MatchData[team],MatchData[[#this row],[team]],MatchData[moat scored crosings])</f>
        <v>#VALUE!</v>
      </c>
      <c r="CL197" s="16" t="e">
        <f aca="false">SUMIF(MatchData[team],MatchData[[#this row],[team]],MatchData[ramparts teleop crossings])+SUMIF(MatchData[team],MatchData[[#this row],[team]],MatchData[ramparts scored crossings])</f>
        <v>#VALUE!</v>
      </c>
      <c r="CM197" s="16" t="e">
        <f aca="false">SUMIF(MatchData[team],MatchData[[#this row],[team]],MatchData[drawbridge teleop crossings])+SUMIF(MatchData[team],MatchData[[#this row],[team]],MatchData[drawbridge scored crossings])</f>
        <v>#VALUE!</v>
      </c>
      <c r="CN197" s="16" t="e">
        <f aca="false">SUMIF(MatchData[team],MatchData[[#this row],[team]],MatchData[sally port teleop crossings])+SUMIF(MatchData[team],MatchData[[#this row],[team]],MatchData[sally port scored crossings])</f>
        <v>#VALUE!</v>
      </c>
      <c r="CO197" s="16" t="e">
        <f aca="false">SUMIF(MatchData[team],MatchData[[#this row],[team]],MatchData[rock wall teleop crossings])+SUMIF(MatchData[team],MatchData[[#this row],[team]],MatchData[rock wall scored crossings])</f>
        <v>#VALUE!</v>
      </c>
      <c r="CP197" s="16" t="e">
        <f aca="false">SUMIF(MatchData[team],MatchData[[#this row],[team]],MatchData[rough terrain teleop crossings])+SUMIF(MatchData[team],MatchData[[#this row],[team]],MatchData[rough terrain scored crossings])</f>
        <v>#VALUE!</v>
      </c>
      <c r="CQ197" s="16" t="e">
        <f aca="false">SUMIF(MatchData[team],MatchData[[#this row],[team]],MatchData[low bar teleop crossings])+SUMIF(MatchData[team],MatchData[[#this row],[team]],MatchData[low bar scored crossings])</f>
        <v>#VALUE!</v>
      </c>
      <c r="CR197" s="16" t="e">
        <f aca="false">IFERROR(ROUND(MatchData[[#this row],[portcullis sum]]/MatchData[[#this row],[portcullis avail count]],2),0)</f>
        <v>#VALUE!</v>
      </c>
      <c r="CS197" s="16" t="e">
        <f aca="false">IFERROR(ROUND(MatchData[[#this row],[cheval sum]]/MatchData[[#this row],[cheval avail count]],2),0)</f>
        <v>#VALUE!</v>
      </c>
      <c r="CT197" s="16" t="e">
        <f aca="false">IFERROR(ROUND(MatchData[[#this row],[moat sum]]/MatchData[[#this row],[moat avail count]],2),0)</f>
        <v>#VALUE!</v>
      </c>
      <c r="CU197" s="16" t="e">
        <f aca="false">IFERROR(ROUND(MatchData[[#this row],[ramparts sum]]/MatchData[[#this row],[ramparts avail count]],2),0)</f>
        <v>#VALUE!</v>
      </c>
      <c r="CV197" s="16" t="e">
        <f aca="false">IFERROR(ROUND(MatchData[[#this row],[drawbridge sum]]/MatchData[[#this row],[drawbridge avail countigh6]],2),0)</f>
        <v>#VALUE!</v>
      </c>
      <c r="CW197" s="16" t="e">
        <f aca="false">IFERROR(ROUND(MatchData[[#this row],[sally port sum]]/MatchData[[#this row],[sally port avail count]],2),0)</f>
        <v>#VALUE!</v>
      </c>
      <c r="CX197" s="5" t="e">
        <f aca="false">IFERROR(ROUND(MatchData[[#this row],[rock wall sum]]/MatchData[[#this row],[rock wall avail count]],2),0)</f>
        <v>#VALUE!</v>
      </c>
      <c r="CY197" s="5" t="e">
        <f aca="false">IFERROR(ROUND(MatchData[[#this row],[rough terrain sum]]/MatchData[[#this row],[rough terrain avail count]],2),0)</f>
        <v>#VALUE!</v>
      </c>
      <c r="CZ197" s="5" t="e">
        <f aca="false">IFERROR(ROUND(MatchData[[#this row],[low bar sum]]/MatchData[[#this row],[low bar avail count]],2),0)</f>
        <v>#VALUE!</v>
      </c>
      <c r="DA197" s="16" t="e">
        <f aca="false">SUM(MatchData[[#this row],[cheval sum]:[low bar sum]])/MatchData[match count]</f>
        <v>#VALUE!</v>
      </c>
      <c r="DB197" s="16" t="n">
        <f aca="false">MAX(IF(C$2:C$74=C197,BP$2:BP$74))</f>
        <v>-1.79769313486232E+308</v>
      </c>
      <c r="DC197" s="16" t="e">
        <f aca="false">AVERAGEIF(MatchData[team],MatchData[[#this row],[team]],MatchData[total score])</f>
        <v>#VALUE!</v>
      </c>
      <c r="DD197" s="16" t="e">
        <f aca="false">ROUND(AVERAGEIF(MatchData[team],MatchData[team],MatchData[climb or challenge flag]),2)</f>
        <v>#VALUE!</v>
      </c>
    </row>
    <row r="198" customFormat="false" ht="14.5" hidden="false" customHeight="false" outlineLevel="0" collapsed="false">
      <c r="A198" s="20" t="s">
        <v>108</v>
      </c>
      <c r="B198" s="21" t="n">
        <v>33</v>
      </c>
      <c r="C198" s="15" t="n">
        <v>847</v>
      </c>
      <c r="D198" s="5" t="s">
        <v>113</v>
      </c>
      <c r="E198" s="5" t="s">
        <v>123</v>
      </c>
      <c r="G198" s="16"/>
      <c r="I198" s="16"/>
      <c r="J198" s="5" t="n">
        <v>1</v>
      </c>
      <c r="K198" s="16"/>
      <c r="L198" s="5" t="n">
        <v>1</v>
      </c>
      <c r="M198" s="5" t="n">
        <v>1</v>
      </c>
      <c r="N198" s="0"/>
      <c r="O198" s="5" t="n">
        <v>1</v>
      </c>
      <c r="P198" s="0"/>
      <c r="Q198" s="5" t="n">
        <v>1</v>
      </c>
      <c r="R198" s="0"/>
      <c r="S198" s="16" t="n">
        <v>1</v>
      </c>
      <c r="T198" s="0"/>
      <c r="U198" s="16"/>
      <c r="V198" s="16"/>
      <c r="W198" s="0"/>
      <c r="AD198" s="16"/>
      <c r="AE198" s="5"/>
      <c r="AF198" s="16"/>
      <c r="AG198" s="16"/>
      <c r="AH198" s="16"/>
      <c r="AJ198" s="16" t="n">
        <v>2</v>
      </c>
      <c r="AL198" s="16"/>
      <c r="AN198" s="16"/>
      <c r="AP198" s="16"/>
      <c r="AR198" s="16"/>
      <c r="AT198" s="16"/>
      <c r="AU198" s="16"/>
      <c r="AV198" s="16"/>
      <c r="AW198" s="16"/>
      <c r="AX198" s="16"/>
      <c r="AY198" s="16"/>
      <c r="AZ198" s="16"/>
      <c r="BB198" s="16"/>
      <c r="BC198" s="16" t="e">
        <f aca="false">MatchData[cheval scored crossings]*5</f>
        <v>#VALUE!</v>
      </c>
      <c r="BD198" s="16" t="e">
        <f aca="false">MatchData[moat scored crosings]*5</f>
        <v>#VALUE!</v>
      </c>
      <c r="BE198" s="16" t="e">
        <f aca="false">MatchData[ramparts scored crossings]*5</f>
        <v>#VALUE!</v>
      </c>
      <c r="BF198" s="16" t="e">
        <f aca="false">MatchData[drawbridge scored crossings]*5</f>
        <v>#VALUE!</v>
      </c>
      <c r="BG198" s="16" t="e">
        <f aca="false">MatchData[sally port scored crossings]*5</f>
        <v>#VALUE!</v>
      </c>
      <c r="BH198" s="16" t="e">
        <f aca="false">MatchData[rock wall scored crossings]*5</f>
        <v>#VALUE!</v>
      </c>
      <c r="BI198" s="16" t="e">
        <f aca="false">MatchData[rough terrain scored crossings]*5</f>
        <v>#VALUE!</v>
      </c>
      <c r="BJ198" s="16" t="e">
        <f aca="false">MatchData[low bar scored crossings]*5</f>
        <v>#VALUE!</v>
      </c>
      <c r="BK198" s="16" t="e">
        <f aca="false">SUM(MatchData[[#this row],[low bar teleop crossings]:[rough terrain scored crossings]])</f>
        <v>#VALUE!</v>
      </c>
      <c r="BL198" s="16" t="e">
        <f aca="false">IFERROR(IF(OR(MatchData[[#this row],[challenge flag]],MatchData[[#this row],[climb flag]]),1,0),0)</f>
        <v>#VALUE!</v>
      </c>
      <c r="BM198" s="16" t="e">
        <f aca="false">MatchData[auto high goals]*10+MatchData[teleop high goals]*5</f>
        <v>#VALUE!</v>
      </c>
      <c r="BN198" s="16" t="e">
        <f aca="false">MatchData[auto low goals]*5+MatchData[teleop low goals]*2</f>
        <v>#VALUE!</v>
      </c>
      <c r="BO198" s="16" t="e">
        <f aca="false">MatchData[high goal score]+MatchData[low goal score]</f>
        <v>#VALUE!</v>
      </c>
      <c r="BP198" s="16" t="e">
        <f aca="false">MatchData[teleop high goals]+MatchData[teleop low goals]</f>
        <v>#VALUE!</v>
      </c>
      <c r="BQ198" s="16" t="e">
        <f aca="false">MatchData[[#this row],[auto reach flag]]*2+SUM(MatchData[[#this row],[portcullis auto crossings]:[low bar auto crossings]])*10+MatchData[[#this row],[auto low goals]]*5+MatchData[auto high goals]*10</f>
        <v>#VALUE!</v>
      </c>
      <c r="BR198" s="16" t="e">
        <f aca="false">SUM(MatchData[[#this row],[cheval teleop crossing score]:[low bar teleop crossing score]])</f>
        <v>#VALUE!</v>
      </c>
      <c r="BS198" s="16" t="e">
        <f aca="false">SUMIF(MatchData[team],MatchData[[#this row],[team]],MatchData[total auto score])/MatchData[match count]</f>
        <v>#VALUE!</v>
      </c>
      <c r="BT198" s="16" t="e">
        <f aca="false">MatchData[challenge flag]*5</f>
        <v>#VALUE!</v>
      </c>
      <c r="BU198" s="16" t="e">
        <f aca="false">MatchData[climb flag]*15</f>
        <v>#VALUE!</v>
      </c>
      <c r="BV198" s="16" t="e">
        <f aca="false">SUM(MatchData[[#this row],[total goal score]],MatchData[[#this row],[crossing score]],MatchData[[#this row],[challenge score]],MatchData[[#this row],[climb score]],MatchData[[#this row],[total auto score]])</f>
        <v>#VALUE!</v>
      </c>
      <c r="BW198" s="16" t="e">
        <f aca="false">ROUND(SUMIF(MatchData[team],MatchData[[#this row],[team]],MatchData[teleop low goals])/COUNTIF(MatchData[team],MatchData[[#this row],[team]]),2)</f>
        <v>#VALUE!</v>
      </c>
      <c r="BX198" s="16" t="e">
        <f aca="false">ROUND(SUMIF(MatchData[team],MatchData[[#this row],[team]],MatchData[teleop high goals])/COUNTIF(MatchData[team],MatchData[[#this row],[team]]),2)</f>
        <v>#VALUE!</v>
      </c>
      <c r="BY198" s="16" t="e">
        <f aca="false">COUNTIF(MatchData[team],MatchData[[#this row],[team]])</f>
        <v>#VALUE!</v>
      </c>
      <c r="BZ198" s="16" t="e">
        <f aca="false">SUMIF(MatchData[team],MatchData[[#this row],[team]],MatchData[portcullis available])</f>
        <v>#VALUE!</v>
      </c>
      <c r="CA198" s="16" t="e">
        <f aca="false">SUMIF(MatchData[team],MatchData[[#this row],[team]],MatchData[cheval available])</f>
        <v>#VALUE!</v>
      </c>
      <c r="CB198" s="16" t="e">
        <f aca="false">SUMIF(MatchData[team],MatchData[[#this row],[team]],MatchData[moat available])</f>
        <v>#VALUE!</v>
      </c>
      <c r="CC198" s="16" t="e">
        <f aca="false">SUMIF(MatchData[team],MatchData[[#this row],[team]],MatchData[ramparts available])</f>
        <v>#VALUE!</v>
      </c>
      <c r="CD198" s="16" t="e">
        <f aca="false">SUMIF(MatchData[team],MatchData[[#this row],[team]],MatchData[drawbridge available])</f>
        <v>#VALUE!</v>
      </c>
      <c r="CE198" s="16" t="e">
        <f aca="false">SUMIF(MatchData[team],MatchData[[#this row],[team]],MatchData[sally port available])</f>
        <v>#VALUE!</v>
      </c>
      <c r="CF198" s="16" t="e">
        <f aca="false">SUMIF(MatchData[team],MatchData[[#this row],[team]],MatchData[rock wall available])</f>
        <v>#VALUE!</v>
      </c>
      <c r="CG198" s="16" t="e">
        <f aca="false">SUMIF(MatchData[team],MatchData[[#this row],[team]],MatchData[rough terrain available])</f>
        <v>#VALUE!</v>
      </c>
      <c r="CH198" s="16" t="e">
        <f aca="false">SUMIF(MatchData[team],MatchData[[#this row],[team]],MatchData[low bar available])</f>
        <v>#VALUE!</v>
      </c>
      <c r="CI198" s="16" t="e">
        <f aca="false">SUMIF(MatchData[team],MatchData[[#this row],[team]],MatchData[portcullis teleop crossings]:MatchData[portcullis scored crossings])</f>
        <v>#VALUE!</v>
      </c>
      <c r="CJ198" s="16" t="e">
        <f aca="false">SUMIF(MatchData[team],MatchData[[#this row],[team]],MatchData[cheval teleop crossings])+SUMIF(MatchData[team],MatchData[[#this row],[team]],MatchData[cheval scored crossings])</f>
        <v>#VALUE!</v>
      </c>
      <c r="CK198" s="16" t="e">
        <f aca="false">SUMIF(MatchData[team],MatchData[[#this row],[team]],MatchData[moat teleop crossings])+SUMIF(MatchData[team],MatchData[[#this row],[team]],MatchData[moat scored crosings])</f>
        <v>#VALUE!</v>
      </c>
      <c r="CL198" s="16" t="e">
        <f aca="false">SUMIF(MatchData[team],MatchData[[#this row],[team]],MatchData[ramparts teleop crossings])+SUMIF(MatchData[team],MatchData[[#this row],[team]],MatchData[ramparts scored crossings])</f>
        <v>#VALUE!</v>
      </c>
      <c r="CM198" s="16" t="e">
        <f aca="false">SUMIF(MatchData[team],MatchData[[#this row],[team]],MatchData[drawbridge teleop crossings])+SUMIF(MatchData[team],MatchData[[#this row],[team]],MatchData[drawbridge scored crossings])</f>
        <v>#VALUE!</v>
      </c>
      <c r="CN198" s="16" t="e">
        <f aca="false">SUMIF(MatchData[team],MatchData[[#this row],[team]],MatchData[sally port teleop crossings])+SUMIF(MatchData[team],MatchData[[#this row],[team]],MatchData[sally port scored crossings])</f>
        <v>#VALUE!</v>
      </c>
      <c r="CO198" s="16" t="e">
        <f aca="false">SUMIF(MatchData[team],MatchData[[#this row],[team]],MatchData[rock wall teleop crossings])+SUMIF(MatchData[team],MatchData[[#this row],[team]],MatchData[rock wall scored crossings])</f>
        <v>#VALUE!</v>
      </c>
      <c r="CP198" s="16" t="e">
        <f aca="false">SUMIF(MatchData[team],MatchData[[#this row],[team]],MatchData[rough terrain teleop crossings])+SUMIF(MatchData[team],MatchData[[#this row],[team]],MatchData[rough terrain scored crossings])</f>
        <v>#VALUE!</v>
      </c>
      <c r="CQ198" s="16" t="e">
        <f aca="false">SUMIF(MatchData[team],MatchData[[#this row],[team]],MatchData[low bar teleop crossings])+SUMIF(MatchData[team],MatchData[[#this row],[team]],MatchData[low bar scored crossings])</f>
        <v>#VALUE!</v>
      </c>
      <c r="CR198" s="16" t="e">
        <f aca="false">IFERROR(ROUND(MatchData[[#this row],[portcullis sum]]/MatchData[[#this row],[portcullis avail count]],2),0)</f>
        <v>#VALUE!</v>
      </c>
      <c r="CS198" s="16" t="e">
        <f aca="false">IFERROR(ROUND(MatchData[[#this row],[cheval sum]]/MatchData[[#this row],[cheval avail count]],2),0)</f>
        <v>#VALUE!</v>
      </c>
      <c r="CT198" s="16" t="e">
        <f aca="false">IFERROR(ROUND(MatchData[[#this row],[moat sum]]/MatchData[[#this row],[moat avail count]],2),0)</f>
        <v>#VALUE!</v>
      </c>
      <c r="CU198" s="16" t="e">
        <f aca="false">IFERROR(ROUND(MatchData[[#this row],[ramparts sum]]/MatchData[[#this row],[ramparts avail count]],2),0)</f>
        <v>#VALUE!</v>
      </c>
      <c r="CV198" s="16" t="e">
        <f aca="false">IFERROR(ROUND(MatchData[[#this row],[drawbridge sum]]/MatchData[[#this row],[drawbridge avail countigh6]],2),0)</f>
        <v>#VALUE!</v>
      </c>
      <c r="CW198" s="16" t="e">
        <f aca="false">IFERROR(ROUND(MatchData[[#this row],[sally port sum]]/MatchData[[#this row],[sally port avail count]],2),0)</f>
        <v>#VALUE!</v>
      </c>
      <c r="CX198" s="5" t="e">
        <f aca="false">IFERROR(ROUND(MatchData[[#this row],[rock wall sum]]/MatchData[[#this row],[rock wall avail count]],2),0)</f>
        <v>#VALUE!</v>
      </c>
      <c r="CY198" s="5" t="e">
        <f aca="false">IFERROR(ROUND(MatchData[[#this row],[rough terrain sum]]/MatchData[[#this row],[rough terrain avail count]],2),0)</f>
        <v>#VALUE!</v>
      </c>
      <c r="CZ198" s="5" t="e">
        <f aca="false">IFERROR(ROUND(MatchData[[#this row],[low bar sum]]/MatchData[[#this row],[low bar avail count]],2),0)</f>
        <v>#VALUE!</v>
      </c>
      <c r="DA198" s="16" t="e">
        <f aca="false">SUM(MatchData[[#this row],[cheval sum]:[low bar sum]])/MatchData[match count]</f>
        <v>#VALUE!</v>
      </c>
      <c r="DB198" s="16" t="n">
        <f aca="false">MAX(IF(C$2:C$74=C198,BP$2:BP$74))</f>
        <v>-1.79769313486232E+308</v>
      </c>
      <c r="DC198" s="16" t="e">
        <f aca="false">AVERAGEIF(MatchData[team],MatchData[[#this row],[team]],MatchData[total score])</f>
        <v>#VALUE!</v>
      </c>
      <c r="DD198" s="16" t="e">
        <f aca="false">ROUND(AVERAGEIF(MatchData[team],MatchData[team],MatchData[climb or challenge flag]),2)</f>
        <v>#VALUE!</v>
      </c>
    </row>
    <row r="199" customFormat="false" ht="14.5" hidden="false" customHeight="false" outlineLevel="0" collapsed="false">
      <c r="A199" s="20" t="s">
        <v>108</v>
      </c>
      <c r="B199" s="22" t="n">
        <v>33</v>
      </c>
      <c r="C199" s="15" t="n">
        <v>5970</v>
      </c>
      <c r="D199" s="5" t="s">
        <v>113</v>
      </c>
      <c r="E199" s="5" t="s">
        <v>135</v>
      </c>
      <c r="G199" s="16"/>
      <c r="I199" s="16"/>
      <c r="J199" s="5" t="n">
        <v>1</v>
      </c>
      <c r="K199" s="16"/>
      <c r="L199" s="5" t="n">
        <v>1</v>
      </c>
      <c r="M199" s="5" t="n">
        <v>1</v>
      </c>
      <c r="N199" s="0"/>
      <c r="O199" s="5" t="n">
        <v>1</v>
      </c>
      <c r="P199" s="0"/>
      <c r="Q199" s="5" t="n">
        <v>1</v>
      </c>
      <c r="R199" s="0"/>
      <c r="S199" s="16"/>
      <c r="T199" s="0"/>
      <c r="U199" s="16"/>
      <c r="V199" s="16"/>
      <c r="W199" s="0"/>
      <c r="AB199" s="5" t="n">
        <v>1</v>
      </c>
      <c r="AD199" s="16" t="n">
        <v>2</v>
      </c>
      <c r="AE199" s="5"/>
      <c r="AF199" s="16"/>
      <c r="AG199" s="16"/>
      <c r="AH199" s="16" t="n">
        <v>1</v>
      </c>
      <c r="AJ199" s="16"/>
      <c r="AL199" s="16"/>
      <c r="AN199" s="16"/>
      <c r="AP199" s="16"/>
      <c r="AR199" s="16" t="n">
        <v>1</v>
      </c>
      <c r="AT199" s="16"/>
      <c r="AU199" s="16"/>
      <c r="AV199" s="16"/>
      <c r="AW199" s="16" t="n">
        <v>1</v>
      </c>
      <c r="AX199" s="16"/>
      <c r="AY199" s="16"/>
      <c r="AZ199" s="16"/>
      <c r="BB199" s="16"/>
      <c r="BC199" s="16" t="e">
        <f aca="false">MatchData[cheval scored crossings]*5</f>
        <v>#VALUE!</v>
      </c>
      <c r="BD199" s="16" t="e">
        <f aca="false">MatchData[moat scored crosings]*5</f>
        <v>#VALUE!</v>
      </c>
      <c r="BE199" s="16" t="e">
        <f aca="false">MatchData[ramparts scored crossings]*5</f>
        <v>#VALUE!</v>
      </c>
      <c r="BF199" s="16" t="e">
        <f aca="false">MatchData[drawbridge scored crossings]*5</f>
        <v>#VALUE!</v>
      </c>
      <c r="BG199" s="16" t="e">
        <f aca="false">MatchData[sally port scored crossings]*5</f>
        <v>#VALUE!</v>
      </c>
      <c r="BH199" s="16" t="e">
        <f aca="false">MatchData[rock wall scored crossings]*5</f>
        <v>#VALUE!</v>
      </c>
      <c r="BI199" s="16" t="e">
        <f aca="false">MatchData[rough terrain scored crossings]*5</f>
        <v>#VALUE!</v>
      </c>
      <c r="BJ199" s="16" t="e">
        <f aca="false">MatchData[low bar scored crossings]*5</f>
        <v>#VALUE!</v>
      </c>
      <c r="BK199" s="16" t="e">
        <f aca="false">SUM(MatchData[[#this row],[low bar teleop crossings]:[rough terrain scored crossings]])</f>
        <v>#VALUE!</v>
      </c>
      <c r="BL199" s="16" t="e">
        <f aca="false">IFERROR(IF(OR(MatchData[[#this row],[challenge flag]],MatchData[[#this row],[climb flag]]),1,0),0)</f>
        <v>#VALUE!</v>
      </c>
      <c r="BM199" s="16" t="e">
        <f aca="false">MatchData[auto high goals]*10+MatchData[teleop high goals]*5</f>
        <v>#VALUE!</v>
      </c>
      <c r="BN199" s="16" t="e">
        <f aca="false">MatchData[auto low goals]*5+MatchData[teleop low goals]*2</f>
        <v>#VALUE!</v>
      </c>
      <c r="BO199" s="16" t="e">
        <f aca="false">MatchData[high goal score]+MatchData[low goal score]</f>
        <v>#VALUE!</v>
      </c>
      <c r="BP199" s="16" t="e">
        <f aca="false">MatchData[teleop high goals]+MatchData[teleop low goals]</f>
        <v>#VALUE!</v>
      </c>
      <c r="BQ199" s="16" t="e">
        <f aca="false">MatchData[[#this row],[auto reach flag]]*2+SUM(MatchData[[#this row],[portcullis auto crossings]:[low bar auto crossings]])*10+MatchData[[#this row],[auto low goals]]*5+MatchData[auto high goals]*10</f>
        <v>#VALUE!</v>
      </c>
      <c r="BR199" s="16" t="e">
        <f aca="false">SUM(MatchData[[#this row],[cheval teleop crossing score]:[low bar teleop crossing score]])</f>
        <v>#VALUE!</v>
      </c>
      <c r="BS199" s="16" t="e">
        <f aca="false">SUMIF(MatchData[team],MatchData[[#this row],[team]],MatchData[total auto score])/MatchData[match count]</f>
        <v>#VALUE!</v>
      </c>
      <c r="BT199" s="16" t="e">
        <f aca="false">MatchData[challenge flag]*5</f>
        <v>#VALUE!</v>
      </c>
      <c r="BU199" s="16" t="e">
        <f aca="false">MatchData[climb flag]*15</f>
        <v>#VALUE!</v>
      </c>
      <c r="BV199" s="16" t="e">
        <f aca="false">SUM(MatchData[[#this row],[total goal score]],MatchData[[#this row],[crossing score]],MatchData[[#this row],[challenge score]],MatchData[[#this row],[climb score]],MatchData[[#this row],[total auto score]])</f>
        <v>#VALUE!</v>
      </c>
      <c r="BW199" s="16" t="e">
        <f aca="false">ROUND(SUMIF(MatchData[team],MatchData[[#this row],[team]],MatchData[teleop low goals])/COUNTIF(MatchData[team],MatchData[[#this row],[team]]),2)</f>
        <v>#VALUE!</v>
      </c>
      <c r="BX199" s="16" t="e">
        <f aca="false">ROUND(SUMIF(MatchData[team],MatchData[[#this row],[team]],MatchData[teleop high goals])/COUNTIF(MatchData[team],MatchData[[#this row],[team]]),2)</f>
        <v>#VALUE!</v>
      </c>
      <c r="BY199" s="16" t="e">
        <f aca="false">COUNTIF(MatchData[team],MatchData[[#this row],[team]])</f>
        <v>#VALUE!</v>
      </c>
      <c r="BZ199" s="16" t="e">
        <f aca="false">SUMIF(MatchData[team],MatchData[[#this row],[team]],MatchData[portcullis available])</f>
        <v>#VALUE!</v>
      </c>
      <c r="CA199" s="16" t="e">
        <f aca="false">SUMIF(MatchData[team],MatchData[[#this row],[team]],MatchData[cheval available])</f>
        <v>#VALUE!</v>
      </c>
      <c r="CB199" s="16" t="e">
        <f aca="false">SUMIF(MatchData[team],MatchData[[#this row],[team]],MatchData[moat available])</f>
        <v>#VALUE!</v>
      </c>
      <c r="CC199" s="16" t="e">
        <f aca="false">SUMIF(MatchData[team],MatchData[[#this row],[team]],MatchData[ramparts available])</f>
        <v>#VALUE!</v>
      </c>
      <c r="CD199" s="16" t="e">
        <f aca="false">SUMIF(MatchData[team],MatchData[[#this row],[team]],MatchData[drawbridge available])</f>
        <v>#VALUE!</v>
      </c>
      <c r="CE199" s="16" t="e">
        <f aca="false">SUMIF(MatchData[team],MatchData[[#this row],[team]],MatchData[sally port available])</f>
        <v>#VALUE!</v>
      </c>
      <c r="CF199" s="16" t="e">
        <f aca="false">SUMIF(MatchData[team],MatchData[[#this row],[team]],MatchData[rock wall available])</f>
        <v>#VALUE!</v>
      </c>
      <c r="CG199" s="16" t="e">
        <f aca="false">SUMIF(MatchData[team],MatchData[[#this row],[team]],MatchData[rough terrain available])</f>
        <v>#VALUE!</v>
      </c>
      <c r="CH199" s="16" t="e">
        <f aca="false">SUMIF(MatchData[team],MatchData[[#this row],[team]],MatchData[low bar available])</f>
        <v>#VALUE!</v>
      </c>
      <c r="CI199" s="16" t="e">
        <f aca="false">SUMIF(MatchData[team],MatchData[[#this row],[team]],MatchData[portcullis teleop crossings]:MatchData[portcullis scored crossings])</f>
        <v>#VALUE!</v>
      </c>
      <c r="CJ199" s="16" t="e">
        <f aca="false">SUMIF(MatchData[team],MatchData[[#this row],[team]],MatchData[cheval teleop crossings])+SUMIF(MatchData[team],MatchData[[#this row],[team]],MatchData[cheval scored crossings])</f>
        <v>#VALUE!</v>
      </c>
      <c r="CK199" s="16" t="e">
        <f aca="false">SUMIF(MatchData[team],MatchData[[#this row],[team]],MatchData[moat teleop crossings])+SUMIF(MatchData[team],MatchData[[#this row],[team]],MatchData[moat scored crosings])</f>
        <v>#VALUE!</v>
      </c>
      <c r="CL199" s="16" t="e">
        <f aca="false">SUMIF(MatchData[team],MatchData[[#this row],[team]],MatchData[ramparts teleop crossings])+SUMIF(MatchData[team],MatchData[[#this row],[team]],MatchData[ramparts scored crossings])</f>
        <v>#VALUE!</v>
      </c>
      <c r="CM199" s="16" t="e">
        <f aca="false">SUMIF(MatchData[team],MatchData[[#this row],[team]],MatchData[drawbridge teleop crossings])+SUMIF(MatchData[team],MatchData[[#this row],[team]],MatchData[drawbridge scored crossings])</f>
        <v>#VALUE!</v>
      </c>
      <c r="CN199" s="16" t="e">
        <f aca="false">SUMIF(MatchData[team],MatchData[[#this row],[team]],MatchData[sally port teleop crossings])+SUMIF(MatchData[team],MatchData[[#this row],[team]],MatchData[sally port scored crossings])</f>
        <v>#VALUE!</v>
      </c>
      <c r="CO199" s="16" t="e">
        <f aca="false">SUMIF(MatchData[team],MatchData[[#this row],[team]],MatchData[rock wall teleop crossings])+SUMIF(MatchData[team],MatchData[[#this row],[team]],MatchData[rock wall scored crossings])</f>
        <v>#VALUE!</v>
      </c>
      <c r="CP199" s="16" t="e">
        <f aca="false">SUMIF(MatchData[team],MatchData[[#this row],[team]],MatchData[rough terrain teleop crossings])+SUMIF(MatchData[team],MatchData[[#this row],[team]],MatchData[rough terrain scored crossings])</f>
        <v>#VALUE!</v>
      </c>
      <c r="CQ199" s="16" t="e">
        <f aca="false">SUMIF(MatchData[team],MatchData[[#this row],[team]],MatchData[low bar teleop crossings])+SUMIF(MatchData[team],MatchData[[#this row],[team]],MatchData[low bar scored crossings])</f>
        <v>#VALUE!</v>
      </c>
      <c r="CR199" s="16" t="e">
        <f aca="false">IFERROR(ROUND(MatchData[[#this row],[portcullis sum]]/MatchData[[#this row],[portcullis avail count]],2),0)</f>
        <v>#VALUE!</v>
      </c>
      <c r="CS199" s="16" t="e">
        <f aca="false">IFERROR(ROUND(MatchData[[#this row],[cheval sum]]/MatchData[[#this row],[cheval avail count]],2),0)</f>
        <v>#VALUE!</v>
      </c>
      <c r="CT199" s="16" t="e">
        <f aca="false">IFERROR(ROUND(MatchData[[#this row],[moat sum]]/MatchData[[#this row],[moat avail count]],2),0)</f>
        <v>#VALUE!</v>
      </c>
      <c r="CU199" s="16" t="e">
        <f aca="false">IFERROR(ROUND(MatchData[[#this row],[ramparts sum]]/MatchData[[#this row],[ramparts avail count]],2),0)</f>
        <v>#VALUE!</v>
      </c>
      <c r="CV199" s="16" t="e">
        <f aca="false">IFERROR(ROUND(MatchData[[#this row],[drawbridge sum]]/MatchData[[#this row],[drawbridge avail countigh6]],2),0)</f>
        <v>#VALUE!</v>
      </c>
      <c r="CW199" s="16" t="e">
        <f aca="false">IFERROR(ROUND(MatchData[[#this row],[sally port sum]]/MatchData[[#this row],[sally port avail count]],2),0)</f>
        <v>#VALUE!</v>
      </c>
      <c r="CX199" s="5" t="e">
        <f aca="false">IFERROR(ROUND(MatchData[[#this row],[rock wall sum]]/MatchData[[#this row],[rock wall avail count]],2),0)</f>
        <v>#VALUE!</v>
      </c>
      <c r="CY199" s="5" t="e">
        <f aca="false">IFERROR(ROUND(MatchData[[#this row],[rough terrain sum]]/MatchData[[#this row],[rough terrain avail count]],2),0)</f>
        <v>#VALUE!</v>
      </c>
      <c r="CZ199" s="5" t="e">
        <f aca="false">IFERROR(ROUND(MatchData[[#this row],[low bar sum]]/MatchData[[#this row],[low bar avail count]],2),0)</f>
        <v>#VALUE!</v>
      </c>
      <c r="DA199" s="16" t="e">
        <f aca="false">SUM(MatchData[[#this row],[cheval sum]:[low bar sum]])/MatchData[match count]</f>
        <v>#VALUE!</v>
      </c>
      <c r="DB199" s="16" t="n">
        <f aca="false">MAX(IF(C$2:C$74=C199,BP$2:BP$74))</f>
        <v>-1.79769313486232E+308</v>
      </c>
      <c r="DC199" s="16" t="e">
        <f aca="false">AVERAGEIF(MatchData[team],MatchData[[#this row],[team]],MatchData[total score])</f>
        <v>#VALUE!</v>
      </c>
      <c r="DD199" s="16" t="e">
        <f aca="false">ROUND(AVERAGEIF(MatchData[team],MatchData[team],MatchData[climb or challenge flag]),2)</f>
        <v>#VALUE!</v>
      </c>
    </row>
    <row r="200" customFormat="false" ht="14.5" hidden="false" customHeight="false" outlineLevel="0" collapsed="false">
      <c r="A200" s="20" t="s">
        <v>108</v>
      </c>
      <c r="B200" s="21" t="n">
        <v>34</v>
      </c>
      <c r="C200" s="15" t="n">
        <v>1425</v>
      </c>
      <c r="D200" s="5" t="s">
        <v>109</v>
      </c>
      <c r="E200" s="5" t="s">
        <v>156</v>
      </c>
      <c r="G200" s="16"/>
      <c r="I200" s="16" t="n">
        <v>4</v>
      </c>
      <c r="J200" s="5" t="n">
        <v>1</v>
      </c>
      <c r="K200" s="16" t="n">
        <v>1</v>
      </c>
      <c r="M200" s="5" t="n">
        <v>1</v>
      </c>
      <c r="N200" s="0"/>
      <c r="O200" s="0"/>
      <c r="P200" s="5" t="n">
        <v>1</v>
      </c>
      <c r="Q200" s="5" t="n">
        <v>1</v>
      </c>
      <c r="R200" s="0"/>
      <c r="S200" s="16"/>
      <c r="T200" s="0"/>
      <c r="U200" s="16"/>
      <c r="V200" s="16" t="n">
        <v>1</v>
      </c>
      <c r="W200" s="0"/>
      <c r="AD200" s="16"/>
      <c r="AE200" s="5" t="n">
        <v>1</v>
      </c>
      <c r="AF200" s="16" t="n">
        <v>2</v>
      </c>
      <c r="AG200" s="16"/>
      <c r="AH200" s="16"/>
      <c r="AJ200" s="16"/>
      <c r="AL200" s="16"/>
      <c r="AN200" s="16"/>
      <c r="AP200" s="16"/>
      <c r="AR200" s="16" t="n">
        <v>1</v>
      </c>
      <c r="AT200" s="16"/>
      <c r="AU200" s="16"/>
      <c r="AV200" s="16"/>
      <c r="AW200" s="16" t="n">
        <v>1</v>
      </c>
      <c r="AX200" s="16" t="n">
        <v>1</v>
      </c>
      <c r="AY200" s="16"/>
      <c r="AZ200" s="16"/>
      <c r="BA200" s="5" t="n">
        <v>1</v>
      </c>
      <c r="BB200" s="16" t="n">
        <v>1</v>
      </c>
      <c r="BC200" s="16" t="e">
        <f aca="false">MatchData[cheval scored crossings]*5</f>
        <v>#VALUE!</v>
      </c>
      <c r="BD200" s="16" t="e">
        <f aca="false">MatchData[moat scored crosings]*5</f>
        <v>#VALUE!</v>
      </c>
      <c r="BE200" s="16" t="e">
        <f aca="false">MatchData[ramparts scored crossings]*5</f>
        <v>#VALUE!</v>
      </c>
      <c r="BF200" s="16" t="e">
        <f aca="false">MatchData[drawbridge scored crossings]*5</f>
        <v>#VALUE!</v>
      </c>
      <c r="BG200" s="16" t="e">
        <f aca="false">MatchData[sally port scored crossings]*5</f>
        <v>#VALUE!</v>
      </c>
      <c r="BH200" s="16" t="e">
        <f aca="false">MatchData[rock wall scored crossings]*5</f>
        <v>#VALUE!</v>
      </c>
      <c r="BI200" s="16" t="e">
        <f aca="false">MatchData[rough terrain scored crossings]*5</f>
        <v>#VALUE!</v>
      </c>
      <c r="BJ200" s="16" t="e">
        <f aca="false">MatchData[low bar scored crossings]*5</f>
        <v>#VALUE!</v>
      </c>
      <c r="BK200" s="16" t="e">
        <f aca="false">SUM(MatchData[[#this row],[low bar teleop crossings]:[rough terrain scored crossings]])</f>
        <v>#VALUE!</v>
      </c>
      <c r="BL200" s="16" t="e">
        <f aca="false">IFERROR(IF(OR(MatchData[[#this row],[challenge flag]],MatchData[[#this row],[climb flag]]),1,0),0)</f>
        <v>#VALUE!</v>
      </c>
      <c r="BM200" s="16" t="e">
        <f aca="false">MatchData[auto high goals]*10+MatchData[teleop high goals]*5</f>
        <v>#VALUE!</v>
      </c>
      <c r="BN200" s="16" t="e">
        <f aca="false">MatchData[auto low goals]*5+MatchData[teleop low goals]*2</f>
        <v>#VALUE!</v>
      </c>
      <c r="BO200" s="16" t="e">
        <f aca="false">MatchData[high goal score]+MatchData[low goal score]</f>
        <v>#VALUE!</v>
      </c>
      <c r="BP200" s="16" t="e">
        <f aca="false">MatchData[teleop high goals]+MatchData[teleop low goals]</f>
        <v>#VALUE!</v>
      </c>
      <c r="BQ200" s="16" t="e">
        <f aca="false">MatchData[[#this row],[auto reach flag]]*2+SUM(MatchData[[#this row],[portcullis auto crossings]:[low bar auto crossings]])*10+MatchData[[#this row],[auto low goals]]*5+MatchData[auto high goals]*10</f>
        <v>#VALUE!</v>
      </c>
      <c r="BR200" s="16" t="e">
        <f aca="false">SUM(MatchData[[#this row],[cheval teleop crossing score]:[low bar teleop crossing score]])</f>
        <v>#VALUE!</v>
      </c>
      <c r="BS200" s="16" t="e">
        <f aca="false">SUMIF(MatchData[team],MatchData[[#this row],[team]],MatchData[total auto score])/MatchData[match count]</f>
        <v>#VALUE!</v>
      </c>
      <c r="BT200" s="16" t="e">
        <f aca="false">MatchData[challenge flag]*5</f>
        <v>#VALUE!</v>
      </c>
      <c r="BU200" s="16" t="e">
        <f aca="false">MatchData[climb flag]*15</f>
        <v>#VALUE!</v>
      </c>
      <c r="BV200" s="16" t="e">
        <f aca="false">SUM(MatchData[[#this row],[total goal score]],MatchData[[#this row],[crossing score]],MatchData[[#this row],[challenge score]],MatchData[[#this row],[climb score]],MatchData[[#this row],[total auto score]])</f>
        <v>#VALUE!</v>
      </c>
      <c r="BW200" s="16" t="e">
        <f aca="false">ROUND(SUMIF(MatchData[team],MatchData[[#this row],[team]],MatchData[teleop low goals])/COUNTIF(MatchData[team],MatchData[[#this row],[team]]),2)</f>
        <v>#VALUE!</v>
      </c>
      <c r="BX200" s="16" t="e">
        <f aca="false">ROUND(SUMIF(MatchData[team],MatchData[[#this row],[team]],MatchData[teleop high goals])/COUNTIF(MatchData[team],MatchData[[#this row],[team]]),2)</f>
        <v>#VALUE!</v>
      </c>
      <c r="BY200" s="16" t="e">
        <f aca="false">COUNTIF(MatchData[team],MatchData[[#this row],[team]])</f>
        <v>#VALUE!</v>
      </c>
      <c r="BZ200" s="16" t="e">
        <f aca="false">SUMIF(MatchData[team],MatchData[[#this row],[team]],MatchData[portcullis available])</f>
        <v>#VALUE!</v>
      </c>
      <c r="CA200" s="16" t="e">
        <f aca="false">SUMIF(MatchData[team],MatchData[[#this row],[team]],MatchData[cheval available])</f>
        <v>#VALUE!</v>
      </c>
      <c r="CB200" s="16" t="e">
        <f aca="false">SUMIF(MatchData[team],MatchData[[#this row],[team]],MatchData[moat available])</f>
        <v>#VALUE!</v>
      </c>
      <c r="CC200" s="16" t="e">
        <f aca="false">SUMIF(MatchData[team],MatchData[[#this row],[team]],MatchData[ramparts available])</f>
        <v>#VALUE!</v>
      </c>
      <c r="CD200" s="16" t="e">
        <f aca="false">SUMIF(MatchData[team],MatchData[[#this row],[team]],MatchData[drawbridge available])</f>
        <v>#VALUE!</v>
      </c>
      <c r="CE200" s="16" t="e">
        <f aca="false">SUMIF(MatchData[team],MatchData[[#this row],[team]],MatchData[sally port available])</f>
        <v>#VALUE!</v>
      </c>
      <c r="CF200" s="16" t="e">
        <f aca="false">SUMIF(MatchData[team],MatchData[[#this row],[team]],MatchData[rock wall available])</f>
        <v>#VALUE!</v>
      </c>
      <c r="CG200" s="16" t="e">
        <f aca="false">SUMIF(MatchData[team],MatchData[[#this row],[team]],MatchData[rough terrain available])</f>
        <v>#VALUE!</v>
      </c>
      <c r="CH200" s="16" t="e">
        <f aca="false">SUMIF(MatchData[team],MatchData[[#this row],[team]],MatchData[low bar available])</f>
        <v>#VALUE!</v>
      </c>
      <c r="CI200" s="16" t="e">
        <f aca="false">SUMIF(MatchData[team],MatchData[[#this row],[team]],MatchData[portcullis teleop crossings]) + SUMIF(MatchData[team],MatchData[[#this row],[team]],MatchData[portcullis scored crossings])</f>
        <v>#VALUE!</v>
      </c>
      <c r="CJ200" s="16" t="e">
        <f aca="false">SUMIF(MatchData[team],MatchData[[#this row],[team]],MatchData[cheval teleop crossings])+SUMIF(MatchData[team],MatchData[[#this row],[team]],MatchData[cheval scored crossings])</f>
        <v>#VALUE!</v>
      </c>
      <c r="CK200" s="16" t="e">
        <f aca="false">SUMIF(MatchData[team],MatchData[[#this row],[team]],MatchData[moat teleop crossings])+SUMIF(MatchData[team],MatchData[[#this row],[team]],MatchData[moat scored crosings])</f>
        <v>#VALUE!</v>
      </c>
      <c r="CL200" s="16" t="e">
        <f aca="false">SUMIF(MatchData[team],MatchData[[#this row],[team]],MatchData[ramparts teleop crossings])+SUMIF(MatchData[team],MatchData[[#this row],[team]],MatchData[ramparts scored crossings])</f>
        <v>#VALUE!</v>
      </c>
      <c r="CM200" s="16" t="e">
        <f aca="false">SUMIF(MatchData[team],MatchData[[#this row],[team]],MatchData[drawbridge teleop crossings])+SUMIF(MatchData[team],MatchData[[#this row],[team]],MatchData[drawbridge scored crossings])</f>
        <v>#VALUE!</v>
      </c>
      <c r="CN200" s="16" t="e">
        <f aca="false">SUMIF(MatchData[team],MatchData[[#this row],[team]],MatchData[sally port teleop crossings])+SUMIF(MatchData[team],MatchData[[#this row],[team]],MatchData[sally port scored crossings])</f>
        <v>#VALUE!</v>
      </c>
      <c r="CO200" s="16" t="e">
        <f aca="false">SUMIF(MatchData[team],MatchData[[#this row],[team]],MatchData[rock wall teleop crossings])+SUMIF(MatchData[team],MatchData[[#this row],[team]],MatchData[rock wall scored crossings])</f>
        <v>#VALUE!</v>
      </c>
      <c r="CP200" s="16" t="e">
        <f aca="false">SUMIF(MatchData[team],MatchData[[#this row],[team]],MatchData[rough terrain teleop crossings])+SUMIF(MatchData[team],MatchData[[#this row],[team]],MatchData[rough terrain scored crossings])</f>
        <v>#VALUE!</v>
      </c>
      <c r="CQ200" s="16" t="e">
        <f aca="false">SUMIF(MatchData[team],MatchData[[#this row],[team]],MatchData[low bar teleop crossings])+SUMIF(MatchData[team],MatchData[[#this row],[team]],MatchData[low bar scored crossings])</f>
        <v>#VALUE!</v>
      </c>
      <c r="CR200" s="16" t="e">
        <f aca="false">IFERROR(ROUND(MatchData[[#this row],[portcullis sum]]/MatchData[[#this row],[portcullis avail count]],2),0)</f>
        <v>#VALUE!</v>
      </c>
      <c r="CS200" s="16" t="e">
        <f aca="false">IFERROR(ROUND(MatchData[[#this row],[cheval sum]]/MatchData[[#this row],[cheval avail count]],2),0)</f>
        <v>#VALUE!</v>
      </c>
      <c r="CT200" s="16" t="e">
        <f aca="false">IFERROR(ROUND(MatchData[[#this row],[moat sum]]/MatchData[[#this row],[moat avail count]],2),0)</f>
        <v>#VALUE!</v>
      </c>
      <c r="CU200" s="16" t="e">
        <f aca="false">IFERROR(ROUND(MatchData[[#this row],[ramparts sum]]/MatchData[[#this row],[ramparts avail count]],2),0)</f>
        <v>#VALUE!</v>
      </c>
      <c r="CV200" s="16" t="e">
        <f aca="false">IFERROR(ROUND(MatchData[[#this row],[drawbridge sum]]/MatchData[[#this row],[drawbridge avail countigh6]],2),0)</f>
        <v>#VALUE!</v>
      </c>
      <c r="CW200" s="16" t="e">
        <f aca="false">IFERROR(ROUND(MatchData[[#this row],[sally port sum]]/MatchData[[#this row],[sally port avail count]],2),0)</f>
        <v>#VALUE!</v>
      </c>
      <c r="CX200" s="5" t="e">
        <f aca="false">IFERROR(ROUND(MatchData[[#this row],[rock wall sum]]/MatchData[[#this row],[rock wall avail count]],2),0)</f>
        <v>#VALUE!</v>
      </c>
      <c r="CY200" s="5" t="e">
        <f aca="false">IFERROR(ROUND(MatchData[[#this row],[rough terrain sum]]/MatchData[[#this row],[rough terrain avail count]],2),0)</f>
        <v>#VALUE!</v>
      </c>
      <c r="CZ200" s="5" t="e">
        <f aca="false">IFERROR(ROUND(MatchData[[#this row],[low bar sum]]/MatchData[[#this row],[low bar avail count]],2),0)</f>
        <v>#VALUE!</v>
      </c>
      <c r="DA200" s="16" t="e">
        <f aca="false">SUM(MatchData[[#this row],[cheval sum]:[low bar sum]])/MatchData[match count]</f>
        <v>#VALUE!</v>
      </c>
      <c r="DB200" s="16" t="n">
        <f aca="false">MAX(IF(C$2:C$74=C200,BP$2:BP$74))</f>
        <v>-1.79769313486232E+308</v>
      </c>
      <c r="DC200" s="16" t="e">
        <f aca="false">AVERAGEIF(MatchData[team],MatchData[[#this row],[team]],MatchData[total score])</f>
        <v>#VALUE!</v>
      </c>
      <c r="DD200" s="16" t="e">
        <f aca="false">ROUND(AVERAGEIF(MatchData[team],MatchData[team],MatchData[climb or challenge flag]),2)</f>
        <v>#VALUE!</v>
      </c>
    </row>
    <row r="201" customFormat="false" ht="14.5" hidden="false" customHeight="false" outlineLevel="0" collapsed="false">
      <c r="A201" s="20" t="s">
        <v>108</v>
      </c>
      <c r="B201" s="22" t="n">
        <v>34</v>
      </c>
      <c r="C201" s="15" t="n">
        <v>2733</v>
      </c>
      <c r="D201" s="5" t="s">
        <v>109</v>
      </c>
      <c r="E201" s="5" t="s">
        <v>151</v>
      </c>
      <c r="G201" s="16"/>
      <c r="I201" s="16" t="n">
        <v>3</v>
      </c>
      <c r="J201" s="5" t="n">
        <v>1</v>
      </c>
      <c r="K201" s="16" t="n">
        <v>1</v>
      </c>
      <c r="M201" s="5" t="n">
        <v>1</v>
      </c>
      <c r="N201" s="0"/>
      <c r="O201" s="0"/>
      <c r="P201" s="5" t="n">
        <v>1</v>
      </c>
      <c r="Q201" s="5" t="n">
        <v>1</v>
      </c>
      <c r="R201" s="0"/>
      <c r="S201" s="16"/>
      <c r="T201" s="0"/>
      <c r="U201" s="16"/>
      <c r="V201" s="16"/>
      <c r="W201" s="0"/>
      <c r="AD201" s="16"/>
      <c r="AE201" s="5"/>
      <c r="AF201" s="16"/>
      <c r="AG201" s="16"/>
      <c r="AH201" s="16"/>
      <c r="AJ201" s="16"/>
      <c r="AL201" s="16"/>
      <c r="AN201" s="16"/>
      <c r="AP201" s="16"/>
      <c r="AQ201" s="5" t="n">
        <v>2</v>
      </c>
      <c r="AR201" s="16" t="n">
        <v>1</v>
      </c>
      <c r="AT201" s="16"/>
      <c r="AU201" s="16"/>
      <c r="AV201" s="16"/>
      <c r="AW201" s="16" t="n">
        <v>1</v>
      </c>
      <c r="AX201" s="16"/>
      <c r="AY201" s="16"/>
      <c r="AZ201" s="16"/>
      <c r="BA201" s="5" t="n">
        <v>1</v>
      </c>
      <c r="BB201" s="16" t="n">
        <v>1</v>
      </c>
      <c r="BC201" s="16" t="e">
        <f aca="false">MatchData[cheval scored crossings]*5</f>
        <v>#VALUE!</v>
      </c>
      <c r="BD201" s="16" t="e">
        <f aca="false">MatchData[moat scored crosings]*5</f>
        <v>#VALUE!</v>
      </c>
      <c r="BE201" s="16" t="e">
        <f aca="false">MatchData[ramparts scored crossings]*5</f>
        <v>#VALUE!</v>
      </c>
      <c r="BF201" s="16" t="e">
        <f aca="false">MatchData[drawbridge scored crossings]*5</f>
        <v>#VALUE!</v>
      </c>
      <c r="BG201" s="16" t="e">
        <f aca="false">MatchData[sally port scored crossings]*5</f>
        <v>#VALUE!</v>
      </c>
      <c r="BH201" s="16" t="e">
        <f aca="false">MatchData[rock wall scored crossings]*5</f>
        <v>#VALUE!</v>
      </c>
      <c r="BI201" s="16" t="e">
        <f aca="false">MatchData[rough terrain scored crossings]*5</f>
        <v>#VALUE!</v>
      </c>
      <c r="BJ201" s="16" t="e">
        <f aca="false">MatchData[low bar scored crossings]*5</f>
        <v>#VALUE!</v>
      </c>
      <c r="BK201" s="16" t="e">
        <f aca="false">SUM(MatchData[[#this row],[low bar teleop crossings]:[rough terrain scored crossings]])</f>
        <v>#VALUE!</v>
      </c>
      <c r="BL201" s="16" t="e">
        <f aca="false">IFERROR(IF(OR(MatchData[[#this row],[challenge flag]],MatchData[[#this row],[climb flag]]),1,0),0)</f>
        <v>#VALUE!</v>
      </c>
      <c r="BM201" s="16" t="e">
        <f aca="false">MatchData[auto high goals]*10+MatchData[teleop high goals]*5</f>
        <v>#VALUE!</v>
      </c>
      <c r="BN201" s="16" t="e">
        <f aca="false">MatchData[auto low goals]*5+MatchData[teleop low goals]*2</f>
        <v>#VALUE!</v>
      </c>
      <c r="BO201" s="16" t="e">
        <f aca="false">MatchData[high goal score]+MatchData[low goal score]</f>
        <v>#VALUE!</v>
      </c>
      <c r="BP201" s="16" t="e">
        <f aca="false">MatchData[teleop high goals]+MatchData[teleop low goals]</f>
        <v>#VALUE!</v>
      </c>
      <c r="BQ201" s="16" t="e">
        <f aca="false">MatchData[[#this row],[auto reach flag]]*2+SUM(MatchData[[#this row],[portcullis auto crossings]:[low bar auto crossings]])*10+MatchData[[#this row],[auto low goals]]*5+MatchData[auto high goals]*10</f>
        <v>#VALUE!</v>
      </c>
      <c r="BR201" s="16" t="e">
        <f aca="false">SUM(MatchData[[#this row],[cheval teleop crossing score]:[low bar teleop crossing score]])</f>
        <v>#VALUE!</v>
      </c>
      <c r="BS201" s="16" t="e">
        <f aca="false">SUMIF(MatchData[team],MatchData[[#this row],[team]],MatchData[total auto score])/MatchData[match count]</f>
        <v>#VALUE!</v>
      </c>
      <c r="BT201" s="16" t="e">
        <f aca="false">MatchData[challenge flag]*5</f>
        <v>#VALUE!</v>
      </c>
      <c r="BU201" s="16" t="e">
        <f aca="false">MatchData[climb flag]*15</f>
        <v>#VALUE!</v>
      </c>
      <c r="BV201" s="16" t="e">
        <f aca="false">SUM(MatchData[[#this row],[total goal score]],MatchData[[#this row],[crossing score]],MatchData[[#this row],[challenge score]],MatchData[[#this row],[climb score]],MatchData[[#this row],[total auto score]])</f>
        <v>#VALUE!</v>
      </c>
      <c r="BW201" s="16" t="e">
        <f aca="false">ROUND(SUMIF(MatchData[team],MatchData[[#this row],[team]],MatchData[teleop low goals])/COUNTIF(MatchData[team],MatchData[[#this row],[team]]),2)</f>
        <v>#VALUE!</v>
      </c>
      <c r="BX201" s="16" t="e">
        <f aca="false">ROUND(SUMIF(MatchData[team],MatchData[[#this row],[team]],MatchData[teleop high goals])/COUNTIF(MatchData[team],MatchData[[#this row],[team]]),2)</f>
        <v>#VALUE!</v>
      </c>
      <c r="BY201" s="16" t="e">
        <f aca="false">COUNTIF(MatchData[team],MatchData[[#this row],[team]])</f>
        <v>#VALUE!</v>
      </c>
      <c r="BZ201" s="16" t="e">
        <f aca="false">SUMIF(MatchData[team],MatchData[[#this row],[team]],MatchData[portcullis available])</f>
        <v>#VALUE!</v>
      </c>
      <c r="CA201" s="16" t="e">
        <f aca="false">SUMIF(MatchData[team],MatchData[[#this row],[team]],MatchData[cheval available])</f>
        <v>#VALUE!</v>
      </c>
      <c r="CB201" s="16" t="e">
        <f aca="false">SUMIF(MatchData[team],MatchData[[#this row],[team]],MatchData[moat available])</f>
        <v>#VALUE!</v>
      </c>
      <c r="CC201" s="16" t="e">
        <f aca="false">SUMIF(MatchData[team],MatchData[[#this row],[team]],MatchData[ramparts available])</f>
        <v>#VALUE!</v>
      </c>
      <c r="CD201" s="16" t="e">
        <f aca="false">SUMIF(MatchData[team],MatchData[[#this row],[team]],MatchData[drawbridge available])</f>
        <v>#VALUE!</v>
      </c>
      <c r="CE201" s="16" t="e">
        <f aca="false">SUMIF(MatchData[team],MatchData[[#this row],[team]],MatchData[sally port available])</f>
        <v>#VALUE!</v>
      </c>
      <c r="CF201" s="16" t="e">
        <f aca="false">SUMIF(MatchData[team],MatchData[[#this row],[team]],MatchData[rock wall available])</f>
        <v>#VALUE!</v>
      </c>
      <c r="CG201" s="16" t="e">
        <f aca="false">SUMIF(MatchData[team],MatchData[[#this row],[team]],MatchData[rough terrain available])</f>
        <v>#VALUE!</v>
      </c>
      <c r="CH201" s="16" t="e">
        <f aca="false">SUMIF(MatchData[team],MatchData[[#this row],[team]],MatchData[low bar available])</f>
        <v>#VALUE!</v>
      </c>
      <c r="CI201" s="16" t="e">
        <f aca="false">SUMIF(MatchData[team],MatchData[[#this row],[team]],MatchData[portcullis teleop crossings]:MatchData[portcullis scored crossings])</f>
        <v>#VALUE!</v>
      </c>
      <c r="CJ201" s="16" t="e">
        <f aca="false">SUMIF(MatchData[team],MatchData[[#this row],[team]],MatchData[cheval teleop crossings])+SUMIF(MatchData[team],MatchData[[#this row],[team]],MatchData[cheval scored crossings])</f>
        <v>#VALUE!</v>
      </c>
      <c r="CK201" s="16" t="e">
        <f aca="false">SUMIF(MatchData[team],MatchData[[#this row],[team]],MatchData[moat teleop crossings])+SUMIF(MatchData[team],MatchData[[#this row],[team]],MatchData[moat scored crosings])</f>
        <v>#VALUE!</v>
      </c>
      <c r="CL201" s="16" t="e">
        <f aca="false">SUMIF(MatchData[team],MatchData[[#this row],[team]],MatchData[ramparts teleop crossings])+SUMIF(MatchData[team],MatchData[[#this row],[team]],MatchData[ramparts scored crossings])</f>
        <v>#VALUE!</v>
      </c>
      <c r="CM201" s="16" t="e">
        <f aca="false">SUMIF(MatchData[team],MatchData[[#this row],[team]],MatchData[drawbridge teleop crossings])+SUMIF(MatchData[team],MatchData[[#this row],[team]],MatchData[drawbridge scored crossings])</f>
        <v>#VALUE!</v>
      </c>
      <c r="CN201" s="16" t="e">
        <f aca="false">SUMIF(MatchData[team],MatchData[[#this row],[team]],MatchData[sally port teleop crossings])+SUMIF(MatchData[team],MatchData[[#this row],[team]],MatchData[sally port scored crossings])</f>
        <v>#VALUE!</v>
      </c>
      <c r="CO201" s="16" t="e">
        <f aca="false">SUMIF(MatchData[team],MatchData[[#this row],[team]],MatchData[rock wall teleop crossings])+SUMIF(MatchData[team],MatchData[[#this row],[team]],MatchData[rock wall scored crossings])</f>
        <v>#VALUE!</v>
      </c>
      <c r="CP201" s="16" t="e">
        <f aca="false">SUMIF(MatchData[team],MatchData[[#this row],[team]],MatchData[rough terrain teleop crossings])+SUMIF(MatchData[team],MatchData[[#this row],[team]],MatchData[rough terrain scored crossings])</f>
        <v>#VALUE!</v>
      </c>
      <c r="CQ201" s="16" t="e">
        <f aca="false">SUMIF(MatchData[team],MatchData[[#this row],[team]],MatchData[low bar teleop crossings])+SUMIF(MatchData[team],MatchData[[#this row],[team]],MatchData[low bar scored crossings])</f>
        <v>#VALUE!</v>
      </c>
      <c r="CR201" s="16" t="e">
        <f aca="false">IFERROR(ROUND(MatchData[[#this row],[portcullis sum]]/MatchData[[#this row],[portcullis avail count]],2),0)</f>
        <v>#VALUE!</v>
      </c>
      <c r="CS201" s="16" t="e">
        <f aca="false">IFERROR(ROUND(MatchData[[#this row],[cheval sum]]/MatchData[[#this row],[cheval avail count]],2),0)</f>
        <v>#VALUE!</v>
      </c>
      <c r="CT201" s="16" t="e">
        <f aca="false">IFERROR(ROUND(MatchData[[#this row],[moat sum]]/MatchData[[#this row],[moat avail count]],2),0)</f>
        <v>#VALUE!</v>
      </c>
      <c r="CU201" s="16" t="e">
        <f aca="false">IFERROR(ROUND(MatchData[[#this row],[ramparts sum]]/MatchData[[#this row],[ramparts avail count]],2),0)</f>
        <v>#VALUE!</v>
      </c>
      <c r="CV201" s="16" t="e">
        <f aca="false">IFERROR(ROUND(MatchData[[#this row],[drawbridge sum]]/MatchData[[#this row],[drawbridge avail countigh6]],2),0)</f>
        <v>#VALUE!</v>
      </c>
      <c r="CW201" s="16" t="e">
        <f aca="false">IFERROR(ROUND(MatchData[[#this row],[sally port sum]]/MatchData[[#this row],[sally port avail count]],2),0)</f>
        <v>#VALUE!</v>
      </c>
      <c r="CX201" s="5" t="e">
        <f aca="false">IFERROR(ROUND(MatchData[[#this row],[rock wall sum]]/MatchData[[#this row],[rock wall avail count]],2),0)</f>
        <v>#VALUE!</v>
      </c>
      <c r="CY201" s="5" t="e">
        <f aca="false">IFERROR(ROUND(MatchData[[#this row],[rough terrain sum]]/MatchData[[#this row],[rough terrain avail count]],2),0)</f>
        <v>#VALUE!</v>
      </c>
      <c r="CZ201" s="5" t="e">
        <f aca="false">IFERROR(ROUND(MatchData[[#this row],[low bar sum]]/MatchData[[#this row],[low bar avail count]],2),0)</f>
        <v>#VALUE!</v>
      </c>
      <c r="DA201" s="16" t="e">
        <f aca="false">SUM(MatchData[[#this row],[cheval sum]:[low bar sum]])/MatchData[match count]</f>
        <v>#VALUE!</v>
      </c>
      <c r="DB201" s="16" t="n">
        <f aca="false">MAX(IF(C$2:C$74=C201,BP$2:BP$74))</f>
        <v>-1.79769313486232E+308</v>
      </c>
      <c r="DC201" s="16" t="e">
        <f aca="false">AVERAGEIF(MatchData[team],MatchData[[#this row],[team]],MatchData[total score])</f>
        <v>#VALUE!</v>
      </c>
      <c r="DD201" s="16" t="e">
        <f aca="false">ROUND(AVERAGEIF(MatchData[team],MatchData[team],MatchData[climb or challenge flag]),2)</f>
        <v>#VALUE!</v>
      </c>
    </row>
    <row r="202" customFormat="false" ht="14.5" hidden="false" customHeight="false" outlineLevel="0" collapsed="false">
      <c r="A202" s="20" t="s">
        <v>108</v>
      </c>
      <c r="B202" s="22" t="n">
        <v>34</v>
      </c>
      <c r="C202" s="15" t="n">
        <v>4051</v>
      </c>
      <c r="D202" s="5" t="s">
        <v>109</v>
      </c>
      <c r="E202" s="5" t="s">
        <v>138</v>
      </c>
      <c r="G202" s="16"/>
      <c r="I202" s="16"/>
      <c r="J202" s="5" t="n">
        <v>1</v>
      </c>
      <c r="K202" s="16"/>
      <c r="L202" s="5" t="n">
        <v>1</v>
      </c>
      <c r="M202" s="5" t="n">
        <v>1</v>
      </c>
      <c r="N202" s="0"/>
      <c r="O202" s="0"/>
      <c r="P202" s="5" t="n">
        <v>1</v>
      </c>
      <c r="Q202" s="5" t="n">
        <v>1</v>
      </c>
      <c r="R202" s="0"/>
      <c r="S202" s="16"/>
      <c r="T202" s="0"/>
      <c r="U202" s="16"/>
      <c r="V202" s="16"/>
      <c r="W202" s="0"/>
      <c r="AC202" s="5" t="n">
        <v>2</v>
      </c>
      <c r="AD202" s="16"/>
      <c r="AE202" s="5"/>
      <c r="AF202" s="16"/>
      <c r="AG202" s="16"/>
      <c r="AH202" s="16"/>
      <c r="AJ202" s="16" t="n">
        <v>1</v>
      </c>
      <c r="AL202" s="16"/>
      <c r="AN202" s="16"/>
      <c r="AP202" s="16" t="n">
        <v>1</v>
      </c>
      <c r="AR202" s="16"/>
      <c r="AT202" s="16"/>
      <c r="AU202" s="16" t="n">
        <v>1</v>
      </c>
      <c r="AV202" s="16"/>
      <c r="AW202" s="16" t="n">
        <v>1</v>
      </c>
      <c r="AX202" s="16"/>
      <c r="AY202" s="16"/>
      <c r="AZ202" s="16"/>
      <c r="BA202" s="5" t="n">
        <v>1</v>
      </c>
      <c r="BB202" s="16" t="n">
        <v>1</v>
      </c>
      <c r="BC202" s="16" t="e">
        <f aca="false">MatchData[cheval scored crossings]*5</f>
        <v>#VALUE!</v>
      </c>
      <c r="BD202" s="16" t="e">
        <f aca="false">MatchData[moat scored crosings]*5</f>
        <v>#VALUE!</v>
      </c>
      <c r="BE202" s="16" t="e">
        <f aca="false">MatchData[ramparts scored crossings]*5</f>
        <v>#VALUE!</v>
      </c>
      <c r="BF202" s="16" t="e">
        <f aca="false">MatchData[drawbridge scored crossings]*5</f>
        <v>#VALUE!</v>
      </c>
      <c r="BG202" s="16" t="e">
        <f aca="false">MatchData[sally port scored crossings]*5</f>
        <v>#VALUE!</v>
      </c>
      <c r="BH202" s="16" t="e">
        <f aca="false">MatchData[rock wall scored crossings]*5</f>
        <v>#VALUE!</v>
      </c>
      <c r="BI202" s="16" t="e">
        <f aca="false">MatchData[rough terrain scored crossings]*5</f>
        <v>#VALUE!</v>
      </c>
      <c r="BJ202" s="16" t="e">
        <f aca="false">MatchData[low bar scored crossings]*5</f>
        <v>#VALUE!</v>
      </c>
      <c r="BK202" s="16" t="e">
        <f aca="false">SUM(MatchData[[#this row],[low bar teleop crossings]:[rough terrain scored crossings]])</f>
        <v>#VALUE!</v>
      </c>
      <c r="BL202" s="16" t="e">
        <f aca="false">IFERROR(IF(OR(MatchData[[#this row],[challenge flag]],MatchData[[#this row],[climb flag]]),1,0),0)</f>
        <v>#VALUE!</v>
      </c>
      <c r="BM202" s="16" t="e">
        <f aca="false">MatchData[auto high goals]*10+MatchData[teleop high goals]*5</f>
        <v>#VALUE!</v>
      </c>
      <c r="BN202" s="16" t="e">
        <f aca="false">MatchData[auto low goals]*5+MatchData[teleop low goals]*2</f>
        <v>#VALUE!</v>
      </c>
      <c r="BO202" s="16" t="e">
        <f aca="false">MatchData[high goal score]+MatchData[low goal score]</f>
        <v>#VALUE!</v>
      </c>
      <c r="BP202" s="16" t="e">
        <f aca="false">MatchData[teleop high goals]+MatchData[teleop low goals]</f>
        <v>#VALUE!</v>
      </c>
      <c r="BQ202" s="16" t="e">
        <f aca="false">MatchData[[#this row],[auto reach flag]]*2+SUM(MatchData[[#this row],[portcullis auto crossings]:[low bar auto crossings]])*10+MatchData[[#this row],[auto low goals]]*5+MatchData[auto high goals]*10</f>
        <v>#VALUE!</v>
      </c>
      <c r="BR202" s="16" t="e">
        <f aca="false">SUM(MatchData[[#this row],[cheval teleop crossing score]:[low bar teleop crossing score]])</f>
        <v>#VALUE!</v>
      </c>
      <c r="BS202" s="16" t="e">
        <f aca="false">SUMIF(MatchData[team],MatchData[[#this row],[team]],MatchData[total auto score])/MatchData[match count]</f>
        <v>#VALUE!</v>
      </c>
      <c r="BT202" s="16" t="e">
        <f aca="false">MatchData[challenge flag]*5</f>
        <v>#VALUE!</v>
      </c>
      <c r="BU202" s="16" t="e">
        <f aca="false">MatchData[climb flag]*15</f>
        <v>#VALUE!</v>
      </c>
      <c r="BV202" s="16" t="e">
        <f aca="false">SUM(MatchData[[#this row],[total goal score]],MatchData[[#this row],[crossing score]],MatchData[[#this row],[challenge score]],MatchData[[#this row],[climb score]],MatchData[[#this row],[total auto score]])</f>
        <v>#VALUE!</v>
      </c>
      <c r="BW202" s="16" t="e">
        <f aca="false">ROUND(SUMIF(MatchData[team],MatchData[[#this row],[team]],MatchData[teleop low goals])/COUNTIF(MatchData[team],MatchData[[#this row],[team]]),2)</f>
        <v>#VALUE!</v>
      </c>
      <c r="BX202" s="16" t="e">
        <f aca="false">ROUND(SUMIF(MatchData[team],MatchData[[#this row],[team]],MatchData[teleop high goals])/COUNTIF(MatchData[team],MatchData[[#this row],[team]]),2)</f>
        <v>#VALUE!</v>
      </c>
      <c r="BY202" s="16" t="e">
        <f aca="false">COUNTIF(MatchData[team],MatchData[[#this row],[team]])</f>
        <v>#VALUE!</v>
      </c>
      <c r="BZ202" s="16" t="e">
        <f aca="false">SUMIF(MatchData[team],MatchData[[#this row],[team]],MatchData[portcullis available])</f>
        <v>#VALUE!</v>
      </c>
      <c r="CA202" s="16" t="e">
        <f aca="false">SUMIF(MatchData[team],MatchData[[#this row],[team]],MatchData[cheval available])</f>
        <v>#VALUE!</v>
      </c>
      <c r="CB202" s="16" t="e">
        <f aca="false">SUMIF(MatchData[team],MatchData[[#this row],[team]],MatchData[moat available])</f>
        <v>#VALUE!</v>
      </c>
      <c r="CC202" s="16" t="e">
        <f aca="false">SUMIF(MatchData[team],MatchData[[#this row],[team]],MatchData[ramparts available])</f>
        <v>#VALUE!</v>
      </c>
      <c r="CD202" s="16" t="e">
        <f aca="false">SUMIF(MatchData[team],MatchData[[#this row],[team]],MatchData[drawbridge available])</f>
        <v>#VALUE!</v>
      </c>
      <c r="CE202" s="16" t="e">
        <f aca="false">SUMIF(MatchData[team],MatchData[[#this row],[team]],MatchData[sally port available])</f>
        <v>#VALUE!</v>
      </c>
      <c r="CF202" s="16" t="e">
        <f aca="false">SUMIF(MatchData[team],MatchData[[#this row],[team]],MatchData[rock wall available])</f>
        <v>#VALUE!</v>
      </c>
      <c r="CG202" s="16" t="e">
        <f aca="false">SUMIF(MatchData[team],MatchData[[#this row],[team]],MatchData[rough terrain available])</f>
        <v>#VALUE!</v>
      </c>
      <c r="CH202" s="16" t="e">
        <f aca="false">SUMIF(MatchData[team],MatchData[[#this row],[team]],MatchData[low bar available])</f>
        <v>#VALUE!</v>
      </c>
      <c r="CI202" s="16" t="e">
        <f aca="false">SUMIF(MatchData[team],MatchData[[#this row],[team]],MatchData[portcullis teleop crossings]:MatchData[portcullis scored crossings])</f>
        <v>#VALUE!</v>
      </c>
      <c r="CJ202" s="16" t="e">
        <f aca="false">SUMIF(MatchData[team],MatchData[[#this row],[team]],MatchData[cheval teleop crossings])+SUMIF(MatchData[team],MatchData[[#this row],[team]],MatchData[cheval scored crossings])</f>
        <v>#VALUE!</v>
      </c>
      <c r="CK202" s="16" t="e">
        <f aca="false">SUMIF(MatchData[team],MatchData[[#this row],[team]],MatchData[moat teleop crossings])+SUMIF(MatchData[team],MatchData[[#this row],[team]],MatchData[moat scored crosings])</f>
        <v>#VALUE!</v>
      </c>
      <c r="CL202" s="16" t="e">
        <f aca="false">SUMIF(MatchData[team],MatchData[[#this row],[team]],MatchData[ramparts teleop crossings])+SUMIF(MatchData[team],MatchData[[#this row],[team]],MatchData[ramparts scored crossings])</f>
        <v>#VALUE!</v>
      </c>
      <c r="CM202" s="16" t="e">
        <f aca="false">SUMIF(MatchData[team],MatchData[[#this row],[team]],MatchData[drawbridge teleop crossings])+SUMIF(MatchData[team],MatchData[[#this row],[team]],MatchData[drawbridge scored crossings])</f>
        <v>#VALUE!</v>
      </c>
      <c r="CN202" s="16" t="e">
        <f aca="false">SUMIF(MatchData[team],MatchData[[#this row],[team]],MatchData[sally port teleop crossings])+SUMIF(MatchData[team],MatchData[[#this row],[team]],MatchData[sally port scored crossings])</f>
        <v>#VALUE!</v>
      </c>
      <c r="CO202" s="16" t="e">
        <f aca="false">SUMIF(MatchData[team],MatchData[[#this row],[team]],MatchData[rock wall teleop crossings])+SUMIF(MatchData[team],MatchData[[#this row],[team]],MatchData[rock wall scored crossings])</f>
        <v>#VALUE!</v>
      </c>
      <c r="CP202" s="16" t="e">
        <f aca="false">SUMIF(MatchData[team],MatchData[[#this row],[team]],MatchData[rough terrain teleop crossings])+SUMIF(MatchData[team],MatchData[[#this row],[team]],MatchData[rough terrain scored crossings])</f>
        <v>#VALUE!</v>
      </c>
      <c r="CQ202" s="16" t="e">
        <f aca="false">SUMIF(MatchData[team],MatchData[[#this row],[team]],MatchData[low bar teleop crossings])+SUMIF(MatchData[team],MatchData[[#this row],[team]],MatchData[low bar scored crossings])</f>
        <v>#VALUE!</v>
      </c>
      <c r="CR202" s="16" t="e">
        <f aca="false">IFERROR(ROUND(MatchData[[#this row],[portcullis sum]]/MatchData[[#this row],[portcullis avail count]],2),0)</f>
        <v>#VALUE!</v>
      </c>
      <c r="CS202" s="16" t="e">
        <f aca="false">IFERROR(ROUND(MatchData[[#this row],[cheval sum]]/MatchData[[#this row],[cheval avail count]],2),0)</f>
        <v>#VALUE!</v>
      </c>
      <c r="CT202" s="16" t="e">
        <f aca="false">IFERROR(ROUND(MatchData[[#this row],[moat sum]]/MatchData[[#this row],[moat avail count]],2),0)</f>
        <v>#VALUE!</v>
      </c>
      <c r="CU202" s="16" t="e">
        <f aca="false">IFERROR(ROUND(MatchData[[#this row],[ramparts sum]]/MatchData[[#this row],[ramparts avail count]],2),0)</f>
        <v>#VALUE!</v>
      </c>
      <c r="CV202" s="16" t="e">
        <f aca="false">IFERROR(ROUND(MatchData[[#this row],[drawbridge sum]]/MatchData[[#this row],[drawbridge avail countigh6]],2),0)</f>
        <v>#VALUE!</v>
      </c>
      <c r="CW202" s="16" t="e">
        <f aca="false">IFERROR(ROUND(MatchData[[#this row],[sally port sum]]/MatchData[[#this row],[sally port avail count]],2),0)</f>
        <v>#VALUE!</v>
      </c>
      <c r="CX202" s="5" t="e">
        <f aca="false">IFERROR(ROUND(MatchData[[#this row],[rock wall sum]]/MatchData[[#this row],[rock wall avail count]],2),0)</f>
        <v>#VALUE!</v>
      </c>
      <c r="CY202" s="5" t="e">
        <f aca="false">IFERROR(ROUND(MatchData[[#this row],[rough terrain sum]]/MatchData[[#this row],[rough terrain avail count]],2),0)</f>
        <v>#VALUE!</v>
      </c>
      <c r="CZ202" s="5" t="e">
        <f aca="false">IFERROR(ROUND(MatchData[[#this row],[low bar sum]]/MatchData[[#this row],[low bar avail count]],2),0)</f>
        <v>#VALUE!</v>
      </c>
      <c r="DA202" s="16" t="e">
        <f aca="false">SUM(MatchData[[#this row],[cheval sum]:[low bar sum]])/MatchData[match count]</f>
        <v>#VALUE!</v>
      </c>
      <c r="DB202" s="16" t="n">
        <f aca="false">MAX(IF(C$2:C$74=C202,BP$2:BP$74))</f>
        <v>-1.79769313486232E+308</v>
      </c>
      <c r="DC202" s="16" t="e">
        <f aca="false">AVERAGEIF(MatchData[team],MatchData[[#this row],[team]],MatchData[total score])</f>
        <v>#VALUE!</v>
      </c>
      <c r="DD202" s="16" t="e">
        <f aca="false">ROUND(AVERAGEIF(MatchData[team],MatchData[team],MatchData[climb or challenge flag]),2)</f>
        <v>#VALUE!</v>
      </c>
    </row>
    <row r="203" customFormat="false" ht="14.5" hidden="false" customHeight="false" outlineLevel="0" collapsed="false">
      <c r="A203" s="20" t="s">
        <v>108</v>
      </c>
      <c r="B203" s="22" t="n">
        <v>34</v>
      </c>
      <c r="C203" s="15" t="n">
        <v>3711</v>
      </c>
      <c r="D203" s="5" t="s">
        <v>113</v>
      </c>
      <c r="E203" s="5" t="s">
        <v>157</v>
      </c>
      <c r="G203" s="16"/>
      <c r="I203" s="16"/>
      <c r="J203" s="5" t="n">
        <v>1</v>
      </c>
      <c r="K203" s="16" t="n">
        <v>1</v>
      </c>
      <c r="M203" s="5" t="n">
        <v>1</v>
      </c>
      <c r="N203" s="0"/>
      <c r="O203" s="0"/>
      <c r="P203" s="5" t="n">
        <v>1</v>
      </c>
      <c r="Q203" s="5" t="n">
        <v>1</v>
      </c>
      <c r="R203" s="0"/>
      <c r="S203" s="16"/>
      <c r="T203" s="0"/>
      <c r="U203" s="16"/>
      <c r="V203" s="16"/>
      <c r="W203" s="0"/>
      <c r="Z203" s="5" t="n">
        <v>1</v>
      </c>
      <c r="AD203" s="16"/>
      <c r="AE203" s="5"/>
      <c r="AF203" s="16" t="n">
        <v>2</v>
      </c>
      <c r="AG203" s="16"/>
      <c r="AH203" s="16"/>
      <c r="AJ203" s="16"/>
      <c r="AL203" s="16"/>
      <c r="AN203" s="16"/>
      <c r="AP203" s="16" t="n">
        <v>1</v>
      </c>
      <c r="AR203" s="16" t="n">
        <v>2</v>
      </c>
      <c r="AT203" s="16"/>
      <c r="AU203" s="16" t="n">
        <v>1</v>
      </c>
      <c r="AV203" s="16" t="n">
        <v>1</v>
      </c>
      <c r="AW203" s="16" t="n">
        <v>1</v>
      </c>
      <c r="AX203" s="16"/>
      <c r="AY203" s="16"/>
      <c r="AZ203" s="16"/>
      <c r="BB203" s="16" t="n">
        <v>1</v>
      </c>
      <c r="BC203" s="16" t="e">
        <f aca="false">MatchData[cheval scored crossings]*5</f>
        <v>#VALUE!</v>
      </c>
      <c r="BD203" s="16" t="e">
        <f aca="false">MatchData[moat scored crosings]*5</f>
        <v>#VALUE!</v>
      </c>
      <c r="BE203" s="16" t="e">
        <f aca="false">MatchData[ramparts scored crossings]*5</f>
        <v>#VALUE!</v>
      </c>
      <c r="BF203" s="16" t="e">
        <f aca="false">MatchData[drawbridge scored crossings]*5</f>
        <v>#VALUE!</v>
      </c>
      <c r="BG203" s="16" t="e">
        <f aca="false">MatchData[sally port scored crossings]*5</f>
        <v>#VALUE!</v>
      </c>
      <c r="BH203" s="16" t="e">
        <f aca="false">MatchData[rock wall scored crossings]*5</f>
        <v>#VALUE!</v>
      </c>
      <c r="BI203" s="16" t="e">
        <f aca="false">MatchData[rough terrain scored crossings]*5</f>
        <v>#VALUE!</v>
      </c>
      <c r="BJ203" s="16" t="e">
        <f aca="false">MatchData[low bar scored crossings]*5</f>
        <v>#VALUE!</v>
      </c>
      <c r="BK203" s="16" t="e">
        <f aca="false">SUM(MatchData[[#this row],[low bar teleop crossings]:[rough terrain scored crossings]])</f>
        <v>#VALUE!</v>
      </c>
      <c r="BL203" s="16" t="e">
        <f aca="false">IFERROR(IF(OR(MatchData[[#this row],[challenge flag]],MatchData[[#this row],[climb flag]]),1,0),0)</f>
        <v>#VALUE!</v>
      </c>
      <c r="BM203" s="16" t="e">
        <f aca="false">MatchData[auto high goals]*10+MatchData[teleop high goals]*5</f>
        <v>#VALUE!</v>
      </c>
      <c r="BN203" s="16" t="e">
        <f aca="false">MatchData[auto low goals]*5+MatchData[teleop low goals]*2</f>
        <v>#VALUE!</v>
      </c>
      <c r="BO203" s="16" t="e">
        <f aca="false">MatchData[high goal score]+MatchData[low goal score]</f>
        <v>#VALUE!</v>
      </c>
      <c r="BP203" s="16" t="e">
        <f aca="false">MatchData[teleop high goals]+MatchData[teleop low goals]</f>
        <v>#VALUE!</v>
      </c>
      <c r="BQ203" s="16" t="e">
        <f aca="false">MatchData[[#this row],[auto reach flag]]*2+SUM(MatchData[[#this row],[portcullis auto crossings]:[low bar auto crossings]])*10+MatchData[[#this row],[auto low goals]]*5+MatchData[auto high goals]*10</f>
        <v>#VALUE!</v>
      </c>
      <c r="BR203" s="16" t="e">
        <f aca="false">SUM(MatchData[[#this row],[cheval teleop crossing score]:[low bar teleop crossing score]])</f>
        <v>#VALUE!</v>
      </c>
      <c r="BS203" s="16" t="e">
        <f aca="false">SUMIF(MatchData[team],MatchData[[#this row],[team]],MatchData[total auto score])/MatchData[match count]</f>
        <v>#VALUE!</v>
      </c>
      <c r="BT203" s="16" t="e">
        <f aca="false">MatchData[challenge flag]*5</f>
        <v>#VALUE!</v>
      </c>
      <c r="BU203" s="16" t="e">
        <f aca="false">MatchData[climb flag]*15</f>
        <v>#VALUE!</v>
      </c>
      <c r="BV203" s="16" t="e">
        <f aca="false">SUM(MatchData[[#this row],[total goal score]],MatchData[[#this row],[crossing score]],MatchData[[#this row],[challenge score]],MatchData[[#this row],[climb score]],MatchData[[#this row],[total auto score]])</f>
        <v>#VALUE!</v>
      </c>
      <c r="BW203" s="16" t="e">
        <f aca="false">ROUND(SUMIF(MatchData[team],MatchData[[#this row],[team]],MatchData[teleop low goals])/COUNTIF(MatchData[team],MatchData[[#this row],[team]]),2)</f>
        <v>#VALUE!</v>
      </c>
      <c r="BX203" s="16" t="e">
        <f aca="false">ROUND(SUMIF(MatchData[team],MatchData[[#this row],[team]],MatchData[teleop high goals])/COUNTIF(MatchData[team],MatchData[[#this row],[team]]),2)</f>
        <v>#VALUE!</v>
      </c>
      <c r="BY203" s="16" t="e">
        <f aca="false">COUNTIF(MatchData[team],MatchData[[#this row],[team]])</f>
        <v>#VALUE!</v>
      </c>
      <c r="BZ203" s="16" t="e">
        <f aca="false">SUMIF(MatchData[team],MatchData[[#this row],[team]],MatchData[portcullis available])</f>
        <v>#VALUE!</v>
      </c>
      <c r="CA203" s="16" t="e">
        <f aca="false">SUMIF(MatchData[team],MatchData[[#this row],[team]],MatchData[cheval available])</f>
        <v>#VALUE!</v>
      </c>
      <c r="CB203" s="16" t="e">
        <f aca="false">SUMIF(MatchData[team],MatchData[[#this row],[team]],MatchData[moat available])</f>
        <v>#VALUE!</v>
      </c>
      <c r="CC203" s="16" t="e">
        <f aca="false">SUMIF(MatchData[team],MatchData[[#this row],[team]],MatchData[ramparts available])</f>
        <v>#VALUE!</v>
      </c>
      <c r="CD203" s="16" t="e">
        <f aca="false">SUMIF(MatchData[team],MatchData[[#this row],[team]],MatchData[drawbridge available])</f>
        <v>#VALUE!</v>
      </c>
      <c r="CE203" s="16" t="e">
        <f aca="false">SUMIF(MatchData[team],MatchData[[#this row],[team]],MatchData[sally port available])</f>
        <v>#VALUE!</v>
      </c>
      <c r="CF203" s="16" t="e">
        <f aca="false">SUMIF(MatchData[team],MatchData[[#this row],[team]],MatchData[rock wall available])</f>
        <v>#VALUE!</v>
      </c>
      <c r="CG203" s="16" t="e">
        <f aca="false">SUMIF(MatchData[team],MatchData[[#this row],[team]],MatchData[rough terrain available])</f>
        <v>#VALUE!</v>
      </c>
      <c r="CH203" s="16" t="e">
        <f aca="false">SUMIF(MatchData[team],MatchData[[#this row],[team]],MatchData[low bar available])</f>
        <v>#VALUE!</v>
      </c>
      <c r="CI203" s="16" t="e">
        <f aca="false">SUMIF(MatchData[team],MatchData[[#this row],[team]],MatchData[portcullis teleop crossings]:MatchData[portcullis scored crossings])</f>
        <v>#VALUE!</v>
      </c>
      <c r="CJ203" s="16" t="e">
        <f aca="false">SUMIF(MatchData[team],MatchData[[#this row],[team]],MatchData[cheval teleop crossings])+SUMIF(MatchData[team],MatchData[[#this row],[team]],MatchData[cheval scored crossings])</f>
        <v>#VALUE!</v>
      </c>
      <c r="CK203" s="16" t="e">
        <f aca="false">SUMIF(MatchData[team],MatchData[[#this row],[team]],MatchData[moat teleop crossings])+SUMIF(MatchData[team],MatchData[[#this row],[team]],MatchData[moat scored crosings])</f>
        <v>#VALUE!</v>
      </c>
      <c r="CL203" s="16" t="e">
        <f aca="false">SUMIF(MatchData[team],MatchData[[#this row],[team]],MatchData[ramparts teleop crossings])+SUMIF(MatchData[team],MatchData[[#this row],[team]],MatchData[ramparts scored crossings])</f>
        <v>#VALUE!</v>
      </c>
      <c r="CM203" s="16" t="e">
        <f aca="false">SUMIF(MatchData[team],MatchData[[#this row],[team]],MatchData[drawbridge teleop crossings])+SUMIF(MatchData[team],MatchData[[#this row],[team]],MatchData[drawbridge scored crossings])</f>
        <v>#VALUE!</v>
      </c>
      <c r="CN203" s="16" t="e">
        <f aca="false">SUMIF(MatchData[team],MatchData[[#this row],[team]],MatchData[sally port teleop crossings])+SUMIF(MatchData[team],MatchData[[#this row],[team]],MatchData[sally port scored crossings])</f>
        <v>#VALUE!</v>
      </c>
      <c r="CO203" s="16" t="e">
        <f aca="false">SUMIF(MatchData[team],MatchData[[#this row],[team]],MatchData[rock wall teleop crossings])+SUMIF(MatchData[team],MatchData[[#this row],[team]],MatchData[rock wall scored crossings])</f>
        <v>#VALUE!</v>
      </c>
      <c r="CP203" s="16" t="e">
        <f aca="false">SUMIF(MatchData[team],MatchData[[#this row],[team]],MatchData[rough terrain teleop crossings])+SUMIF(MatchData[team],MatchData[[#this row],[team]],MatchData[rough terrain scored crossings])</f>
        <v>#VALUE!</v>
      </c>
      <c r="CQ203" s="16" t="e">
        <f aca="false">SUMIF(MatchData[team],MatchData[[#this row],[team]],MatchData[low bar teleop crossings])+SUMIF(MatchData[team],MatchData[[#this row],[team]],MatchData[low bar scored crossings])</f>
        <v>#VALUE!</v>
      </c>
      <c r="CR203" s="16" t="e">
        <f aca="false">IFERROR(ROUND(MatchData[[#this row],[portcullis sum]]/MatchData[[#this row],[portcullis avail count]],2),0)</f>
        <v>#VALUE!</v>
      </c>
      <c r="CS203" s="16" t="e">
        <f aca="false">IFERROR(ROUND(MatchData[[#this row],[cheval sum]]/MatchData[[#this row],[cheval avail count]],2),0)</f>
        <v>#VALUE!</v>
      </c>
      <c r="CT203" s="16" t="e">
        <f aca="false">IFERROR(ROUND(MatchData[[#this row],[moat sum]]/MatchData[[#this row],[moat avail count]],2),0)</f>
        <v>#VALUE!</v>
      </c>
      <c r="CU203" s="16" t="e">
        <f aca="false">IFERROR(ROUND(MatchData[[#this row],[ramparts sum]]/MatchData[[#this row],[ramparts avail count]],2),0)</f>
        <v>#VALUE!</v>
      </c>
      <c r="CV203" s="16" t="e">
        <f aca="false">IFERROR(ROUND(MatchData[[#this row],[drawbridge sum]]/MatchData[[#this row],[drawbridge avail countigh6]],2),0)</f>
        <v>#VALUE!</v>
      </c>
      <c r="CW203" s="16" t="e">
        <f aca="false">IFERROR(ROUND(MatchData[[#this row],[sally port sum]]/MatchData[[#this row],[sally port avail count]],2),0)</f>
        <v>#VALUE!</v>
      </c>
      <c r="CX203" s="5" t="e">
        <f aca="false">IFERROR(ROUND(MatchData[[#this row],[rock wall sum]]/MatchData[[#this row],[rock wall avail count]],2),0)</f>
        <v>#VALUE!</v>
      </c>
      <c r="CY203" s="5" t="e">
        <f aca="false">IFERROR(ROUND(MatchData[[#this row],[rough terrain sum]]/MatchData[[#this row],[rough terrain avail count]],2),0)</f>
        <v>#VALUE!</v>
      </c>
      <c r="CZ203" s="5" t="e">
        <f aca="false">IFERROR(ROUND(MatchData[[#this row],[low bar sum]]/MatchData[[#this row],[low bar avail count]],2),0)</f>
        <v>#VALUE!</v>
      </c>
      <c r="DA203" s="16" t="e">
        <f aca="false">SUM(MatchData[[#this row],[cheval sum]:[low bar sum]])/MatchData[match count]</f>
        <v>#VALUE!</v>
      </c>
      <c r="DB203" s="16" t="n">
        <f aca="false">MAX(IF(C$2:C$74=C203,BP$2:BP$74))</f>
        <v>-1.79769313486232E+308</v>
      </c>
      <c r="DC203" s="16" t="e">
        <f aca="false">AVERAGEIF(MatchData[team],MatchData[[#this row],[team]],MatchData[total score])</f>
        <v>#VALUE!</v>
      </c>
      <c r="DD203" s="16" t="e">
        <f aca="false">ROUND(AVERAGEIF(MatchData[team],MatchData[team],MatchData[climb or challenge flag]),2)</f>
        <v>#VALUE!</v>
      </c>
    </row>
    <row r="204" customFormat="false" ht="14.5" hidden="false" customHeight="false" outlineLevel="0" collapsed="false">
      <c r="A204" s="20" t="s">
        <v>108</v>
      </c>
      <c r="B204" s="21" t="n">
        <v>34</v>
      </c>
      <c r="C204" s="15" t="n">
        <v>3812</v>
      </c>
      <c r="D204" s="5" t="s">
        <v>113</v>
      </c>
      <c r="E204" s="5" t="s">
        <v>135</v>
      </c>
      <c r="G204" s="16"/>
      <c r="I204" s="16"/>
      <c r="J204" s="5" t="n">
        <v>1</v>
      </c>
      <c r="K204" s="16" t="n">
        <v>1</v>
      </c>
      <c r="M204" s="5" t="n">
        <v>1</v>
      </c>
      <c r="N204" s="0"/>
      <c r="O204" s="0"/>
      <c r="P204" s="5" t="n">
        <v>1</v>
      </c>
      <c r="Q204" s="5" t="n">
        <v>1</v>
      </c>
      <c r="R204" s="0"/>
      <c r="S204" s="16"/>
      <c r="T204" s="0"/>
      <c r="U204" s="16"/>
      <c r="V204" s="16" t="n">
        <v>1</v>
      </c>
      <c r="W204" s="0"/>
      <c r="AD204" s="16"/>
      <c r="AE204" s="5"/>
      <c r="AF204" s="16"/>
      <c r="AG204" s="16"/>
      <c r="AH204" s="16"/>
      <c r="AJ204" s="16" t="n">
        <v>2</v>
      </c>
      <c r="AL204" s="16"/>
      <c r="AN204" s="16"/>
      <c r="AP204" s="16" t="n">
        <v>2</v>
      </c>
      <c r="AR204" s="16" t="n">
        <v>2</v>
      </c>
      <c r="AT204" s="16"/>
      <c r="AU204" s="16" t="n">
        <v>1</v>
      </c>
      <c r="AV204" s="16" t="n">
        <v>1</v>
      </c>
      <c r="AW204" s="16" t="n">
        <v>1</v>
      </c>
      <c r="AX204" s="16"/>
      <c r="AY204" s="16"/>
      <c r="AZ204" s="16"/>
      <c r="BB204" s="16" t="n">
        <v>1</v>
      </c>
      <c r="BC204" s="16" t="e">
        <f aca="false">MatchData[cheval scored crossings]*5</f>
        <v>#VALUE!</v>
      </c>
      <c r="BD204" s="16" t="e">
        <f aca="false">MatchData[moat scored crosings]*5</f>
        <v>#VALUE!</v>
      </c>
      <c r="BE204" s="16" t="e">
        <f aca="false">MatchData[ramparts scored crossings]*5</f>
        <v>#VALUE!</v>
      </c>
      <c r="BF204" s="16" t="e">
        <f aca="false">MatchData[drawbridge scored crossings]*5</f>
        <v>#VALUE!</v>
      </c>
      <c r="BG204" s="16" t="e">
        <f aca="false">MatchData[sally port scored crossings]*5</f>
        <v>#VALUE!</v>
      </c>
      <c r="BH204" s="16" t="e">
        <f aca="false">MatchData[rock wall scored crossings]*5</f>
        <v>#VALUE!</v>
      </c>
      <c r="BI204" s="16" t="e">
        <f aca="false">MatchData[rough terrain scored crossings]*5</f>
        <v>#VALUE!</v>
      </c>
      <c r="BJ204" s="16" t="e">
        <f aca="false">MatchData[low bar scored crossings]*5</f>
        <v>#VALUE!</v>
      </c>
      <c r="BK204" s="16" t="e">
        <f aca="false">SUM(MatchData[[#this row],[low bar teleop crossings]:[rough terrain scored crossings]])</f>
        <v>#VALUE!</v>
      </c>
      <c r="BL204" s="16" t="e">
        <f aca="false">IFERROR(IF(OR(MatchData[[#this row],[challenge flag]],MatchData[[#this row],[climb flag]]),1,0),0)</f>
        <v>#VALUE!</v>
      </c>
      <c r="BM204" s="16" t="e">
        <f aca="false">MatchData[auto high goals]*10+MatchData[teleop high goals]*5</f>
        <v>#VALUE!</v>
      </c>
      <c r="BN204" s="16" t="e">
        <f aca="false">MatchData[auto low goals]*5+MatchData[teleop low goals]*2</f>
        <v>#VALUE!</v>
      </c>
      <c r="BO204" s="16" t="e">
        <f aca="false">MatchData[high goal score]+MatchData[low goal score]</f>
        <v>#VALUE!</v>
      </c>
      <c r="BP204" s="16" t="e">
        <f aca="false">MatchData[teleop high goals]+MatchData[teleop low goals]</f>
        <v>#VALUE!</v>
      </c>
      <c r="BQ204" s="16" t="e">
        <f aca="false">MatchData[[#this row],[auto reach flag]]*2+SUM(MatchData[[#this row],[portcullis auto crossings]:[low bar auto crossings]])*10+MatchData[[#this row],[auto low goals]]*5+MatchData[auto high goals]*10</f>
        <v>#VALUE!</v>
      </c>
      <c r="BR204" s="16" t="e">
        <f aca="false">SUM(MatchData[[#this row],[cheval teleop crossing score]:[low bar teleop crossing score]])</f>
        <v>#VALUE!</v>
      </c>
      <c r="BS204" s="16" t="e">
        <f aca="false">SUMIF(MatchData[team],MatchData[[#this row],[team]],MatchData[total auto score])/MatchData[match count]</f>
        <v>#VALUE!</v>
      </c>
      <c r="BT204" s="16" t="e">
        <f aca="false">MatchData[challenge flag]*5</f>
        <v>#VALUE!</v>
      </c>
      <c r="BU204" s="16" t="e">
        <f aca="false">MatchData[climb flag]*15</f>
        <v>#VALUE!</v>
      </c>
      <c r="BV204" s="16" t="e">
        <f aca="false">SUM(MatchData[[#this row],[total goal score]],MatchData[[#this row],[crossing score]],MatchData[[#this row],[challenge score]],MatchData[[#this row],[climb score]],MatchData[[#this row],[total auto score]])</f>
        <v>#VALUE!</v>
      </c>
      <c r="BW204" s="16" t="e">
        <f aca="false">ROUND(SUMIF(MatchData[team],MatchData[[#this row],[team]],MatchData[teleop low goals])/COUNTIF(MatchData[team],MatchData[[#this row],[team]]),2)</f>
        <v>#VALUE!</v>
      </c>
      <c r="BX204" s="16" t="e">
        <f aca="false">ROUND(SUMIF(MatchData[team],MatchData[[#this row],[team]],MatchData[teleop high goals])/COUNTIF(MatchData[team],MatchData[[#this row],[team]]),2)</f>
        <v>#VALUE!</v>
      </c>
      <c r="BY204" s="16" t="e">
        <f aca="false">COUNTIF(MatchData[team],MatchData[[#this row],[team]])</f>
        <v>#VALUE!</v>
      </c>
      <c r="BZ204" s="16" t="e">
        <f aca="false">SUMIF(MatchData[team],MatchData[[#this row],[team]],MatchData[portcullis available])</f>
        <v>#VALUE!</v>
      </c>
      <c r="CA204" s="16" t="e">
        <f aca="false">SUMIF(MatchData[team],MatchData[[#this row],[team]],MatchData[cheval available])</f>
        <v>#VALUE!</v>
      </c>
      <c r="CB204" s="16" t="e">
        <f aca="false">SUMIF(MatchData[team],MatchData[[#this row],[team]],MatchData[moat available])</f>
        <v>#VALUE!</v>
      </c>
      <c r="CC204" s="16" t="e">
        <f aca="false">SUMIF(MatchData[team],MatchData[[#this row],[team]],MatchData[ramparts available])</f>
        <v>#VALUE!</v>
      </c>
      <c r="CD204" s="16" t="e">
        <f aca="false">SUMIF(MatchData[team],MatchData[[#this row],[team]],MatchData[drawbridge available])</f>
        <v>#VALUE!</v>
      </c>
      <c r="CE204" s="16" t="e">
        <f aca="false">SUMIF(MatchData[team],MatchData[[#this row],[team]],MatchData[sally port available])</f>
        <v>#VALUE!</v>
      </c>
      <c r="CF204" s="16" t="e">
        <f aca="false">SUMIF(MatchData[team],MatchData[[#this row],[team]],MatchData[rock wall available])</f>
        <v>#VALUE!</v>
      </c>
      <c r="CG204" s="16" t="e">
        <f aca="false">SUMIF(MatchData[team],MatchData[[#this row],[team]],MatchData[rough terrain available])</f>
        <v>#VALUE!</v>
      </c>
      <c r="CH204" s="16" t="e">
        <f aca="false">SUMIF(MatchData[team],MatchData[[#this row],[team]],MatchData[low bar available])</f>
        <v>#VALUE!</v>
      </c>
      <c r="CI204" s="16" t="e">
        <f aca="false">SUMIF(MatchData[team],MatchData[[#this row],[team]],MatchData[portcullis teleop crossings]:MatchData[portcullis scored crossings])</f>
        <v>#VALUE!</v>
      </c>
      <c r="CJ204" s="16" t="e">
        <f aca="false">SUMIF(MatchData[team],MatchData[[#this row],[team]],MatchData[cheval teleop crossings])+SUMIF(MatchData[team],MatchData[[#this row],[team]],MatchData[cheval scored crossings])</f>
        <v>#VALUE!</v>
      </c>
      <c r="CK204" s="16" t="e">
        <f aca="false">SUMIF(MatchData[team],MatchData[[#this row],[team]],MatchData[moat teleop crossings])+SUMIF(MatchData[team],MatchData[[#this row],[team]],MatchData[moat scored crosings])</f>
        <v>#VALUE!</v>
      </c>
      <c r="CL204" s="16" t="e">
        <f aca="false">SUMIF(MatchData[team],MatchData[[#this row],[team]],MatchData[ramparts teleop crossings])+SUMIF(MatchData[team],MatchData[[#this row],[team]],MatchData[ramparts scored crossings])</f>
        <v>#VALUE!</v>
      </c>
      <c r="CM204" s="16" t="e">
        <f aca="false">SUMIF(MatchData[team],MatchData[[#this row],[team]],MatchData[drawbridge teleop crossings])+SUMIF(MatchData[team],MatchData[[#this row],[team]],MatchData[drawbridge scored crossings])</f>
        <v>#VALUE!</v>
      </c>
      <c r="CN204" s="16" t="e">
        <f aca="false">SUMIF(MatchData[team],MatchData[[#this row],[team]],MatchData[sally port teleop crossings])+SUMIF(MatchData[team],MatchData[[#this row],[team]],MatchData[sally port scored crossings])</f>
        <v>#VALUE!</v>
      </c>
      <c r="CO204" s="16" t="e">
        <f aca="false">SUMIF(MatchData[team],MatchData[[#this row],[team]],MatchData[rock wall teleop crossings])+SUMIF(MatchData[team],MatchData[[#this row],[team]],MatchData[rock wall scored crossings])</f>
        <v>#VALUE!</v>
      </c>
      <c r="CP204" s="16" t="e">
        <f aca="false">SUMIF(MatchData[team],MatchData[[#this row],[team]],MatchData[rough terrain teleop crossings])+SUMIF(MatchData[team],MatchData[[#this row],[team]],MatchData[rough terrain scored crossings])</f>
        <v>#VALUE!</v>
      </c>
      <c r="CQ204" s="16" t="e">
        <f aca="false">SUMIF(MatchData[team],MatchData[[#this row],[team]],MatchData[low bar teleop crossings])+SUMIF(MatchData[team],MatchData[[#this row],[team]],MatchData[low bar scored crossings])</f>
        <v>#VALUE!</v>
      </c>
      <c r="CR204" s="16" t="e">
        <f aca="false">IFERROR(ROUND(MatchData[[#this row],[portcullis sum]]/MatchData[[#this row],[portcullis avail count]],2),0)</f>
        <v>#VALUE!</v>
      </c>
      <c r="CS204" s="16" t="e">
        <f aca="false">IFERROR(ROUND(MatchData[[#this row],[cheval sum]]/MatchData[[#this row],[cheval avail count]],2),0)</f>
        <v>#VALUE!</v>
      </c>
      <c r="CT204" s="16" t="e">
        <f aca="false">IFERROR(ROUND(MatchData[[#this row],[moat sum]]/MatchData[[#this row],[moat avail count]],2),0)</f>
        <v>#VALUE!</v>
      </c>
      <c r="CU204" s="16" t="e">
        <f aca="false">IFERROR(ROUND(MatchData[[#this row],[ramparts sum]]/MatchData[[#this row],[ramparts avail count]],2),0)</f>
        <v>#VALUE!</v>
      </c>
      <c r="CV204" s="16" t="e">
        <f aca="false">IFERROR(ROUND(MatchData[[#this row],[drawbridge sum]]/MatchData[[#this row],[drawbridge avail countigh6]],2),0)</f>
        <v>#VALUE!</v>
      </c>
      <c r="CW204" s="16" t="e">
        <f aca="false">IFERROR(ROUND(MatchData[[#this row],[sally port sum]]/MatchData[[#this row],[sally port avail count]],2),0)</f>
        <v>#VALUE!</v>
      </c>
      <c r="CX204" s="5" t="e">
        <f aca="false">IFERROR(ROUND(MatchData[[#this row],[rock wall sum]]/MatchData[[#this row],[rock wall avail count]],2),0)</f>
        <v>#VALUE!</v>
      </c>
      <c r="CY204" s="5" t="e">
        <f aca="false">IFERROR(ROUND(MatchData[[#this row],[rough terrain sum]]/MatchData[[#this row],[rough terrain avail count]],2),0)</f>
        <v>#VALUE!</v>
      </c>
      <c r="CZ204" s="5" t="e">
        <f aca="false">IFERROR(ROUND(MatchData[[#this row],[low bar sum]]/MatchData[[#this row],[low bar avail count]],2),0)</f>
        <v>#VALUE!</v>
      </c>
      <c r="DA204" s="16" t="e">
        <f aca="false">SUM(MatchData[[#this row],[cheval sum]:[low bar sum]])/MatchData[match count]</f>
        <v>#VALUE!</v>
      </c>
      <c r="DB204" s="16" t="n">
        <f aca="false">MAX(IF(C$2:C$74=C204,BP$2:BP$74))</f>
        <v>-1.79769313486232E+308</v>
      </c>
      <c r="DC204" s="16" t="e">
        <f aca="false">AVERAGEIF(MatchData[team],MatchData[[#this row],[team]],MatchData[total score])</f>
        <v>#VALUE!</v>
      </c>
      <c r="DD204" s="16" t="e">
        <f aca="false">ROUND(AVERAGEIF(MatchData[team],MatchData[team],MatchData[climb or challenge flag]),2)</f>
        <v>#VALUE!</v>
      </c>
    </row>
    <row r="205" customFormat="false" ht="14.5" hidden="false" customHeight="false" outlineLevel="0" collapsed="false">
      <c r="A205" s="20" t="s">
        <v>108</v>
      </c>
      <c r="B205" s="21" t="n">
        <v>34</v>
      </c>
      <c r="C205" s="15" t="n">
        <v>5085</v>
      </c>
      <c r="D205" s="5" t="s">
        <v>113</v>
      </c>
      <c r="E205" s="5" t="s">
        <v>123</v>
      </c>
      <c r="G205" s="16"/>
      <c r="I205" s="16" t="n">
        <v>2</v>
      </c>
      <c r="J205" s="5" t="n">
        <v>1</v>
      </c>
      <c r="K205" s="16" t="n">
        <v>1</v>
      </c>
      <c r="M205" s="5" t="n">
        <v>1</v>
      </c>
      <c r="N205" s="0"/>
      <c r="O205" s="0"/>
      <c r="P205" s="5" t="n">
        <v>1</v>
      </c>
      <c r="Q205" s="5" t="n">
        <v>1</v>
      </c>
      <c r="R205" s="0"/>
      <c r="S205" s="16"/>
      <c r="T205" s="0"/>
      <c r="U205" s="16"/>
      <c r="V205" s="16"/>
      <c r="W205" s="0"/>
      <c r="AB205" s="5" t="n">
        <v>1</v>
      </c>
      <c r="AD205" s="16" t="n">
        <v>2</v>
      </c>
      <c r="AE205" s="5"/>
      <c r="AF205" s="16"/>
      <c r="AG205" s="16"/>
      <c r="AH205" s="16"/>
      <c r="AJ205" s="16"/>
      <c r="AL205" s="16"/>
      <c r="AN205" s="16"/>
      <c r="AP205" s="16"/>
      <c r="AR205" s="16"/>
      <c r="AT205" s="16"/>
      <c r="AU205" s="16"/>
      <c r="AV205" s="16"/>
      <c r="AW205" s="16" t="n">
        <v>1</v>
      </c>
      <c r="AX205" s="16"/>
      <c r="AY205" s="16"/>
      <c r="AZ205" s="16"/>
      <c r="BB205" s="16" t="n">
        <v>1</v>
      </c>
      <c r="BC205" s="16" t="e">
        <f aca="false">MatchData[cheval scored crossings]*5</f>
        <v>#VALUE!</v>
      </c>
      <c r="BD205" s="16" t="e">
        <f aca="false">MatchData[moat scored crosings]*5</f>
        <v>#VALUE!</v>
      </c>
      <c r="BE205" s="16" t="e">
        <f aca="false">MatchData[ramparts scored crossings]*5</f>
        <v>#VALUE!</v>
      </c>
      <c r="BF205" s="16" t="e">
        <f aca="false">MatchData[drawbridge scored crossings]*5</f>
        <v>#VALUE!</v>
      </c>
      <c r="BG205" s="16" t="e">
        <f aca="false">MatchData[sally port scored crossings]*5</f>
        <v>#VALUE!</v>
      </c>
      <c r="BH205" s="16" t="e">
        <f aca="false">MatchData[rock wall scored crossings]*5</f>
        <v>#VALUE!</v>
      </c>
      <c r="BI205" s="16" t="e">
        <f aca="false">MatchData[rough terrain scored crossings]*5</f>
        <v>#VALUE!</v>
      </c>
      <c r="BJ205" s="16" t="e">
        <f aca="false">MatchData[low bar scored crossings]*5</f>
        <v>#VALUE!</v>
      </c>
      <c r="BK205" s="16" t="e">
        <f aca="false">SUM(MatchData[[#this row],[low bar teleop crossings]:[rough terrain scored crossings]])</f>
        <v>#VALUE!</v>
      </c>
      <c r="BL205" s="16" t="e">
        <f aca="false">IFERROR(IF(OR(MatchData[[#this row],[challenge flag]],MatchData[[#this row],[climb flag]]),1,0),0)</f>
        <v>#VALUE!</v>
      </c>
      <c r="BM205" s="16" t="e">
        <f aca="false">MatchData[auto high goals]*10+MatchData[teleop high goals]*5</f>
        <v>#VALUE!</v>
      </c>
      <c r="BN205" s="16" t="e">
        <f aca="false">MatchData[auto low goals]*5+MatchData[teleop low goals]*2</f>
        <v>#VALUE!</v>
      </c>
      <c r="BO205" s="16" t="e">
        <f aca="false">MatchData[high goal score]+MatchData[low goal score]</f>
        <v>#VALUE!</v>
      </c>
      <c r="BP205" s="16" t="e">
        <f aca="false">MatchData[teleop high goals]+MatchData[teleop low goals]</f>
        <v>#VALUE!</v>
      </c>
      <c r="BQ205" s="16" t="e">
        <f aca="false">MatchData[[#this row],[auto reach flag]]*2+SUM(MatchData[[#this row],[portcullis auto crossings]:[low bar auto crossings]])*10+MatchData[[#this row],[auto low goals]]*5+MatchData[auto high goals]*10</f>
        <v>#VALUE!</v>
      </c>
      <c r="BR205" s="16" t="e">
        <f aca="false">SUM(MatchData[[#this row],[cheval teleop crossing score]:[low bar teleop crossing score]])</f>
        <v>#VALUE!</v>
      </c>
      <c r="BS205" s="16" t="e">
        <f aca="false">SUMIF(MatchData[team],MatchData[[#this row],[team]],MatchData[total auto score])/MatchData[match count]</f>
        <v>#VALUE!</v>
      </c>
      <c r="BT205" s="16" t="e">
        <f aca="false">MatchData[challenge flag]*5</f>
        <v>#VALUE!</v>
      </c>
      <c r="BU205" s="16" t="e">
        <f aca="false">MatchData[climb flag]*15</f>
        <v>#VALUE!</v>
      </c>
      <c r="BV205" s="16" t="e">
        <f aca="false">SUM(MatchData[[#this row],[total goal score]],MatchData[[#this row],[crossing score]],MatchData[[#this row],[challenge score]],MatchData[[#this row],[climb score]],MatchData[[#this row],[total auto score]])</f>
        <v>#VALUE!</v>
      </c>
      <c r="BW205" s="16" t="e">
        <f aca="false">ROUND(SUMIF(MatchData[team],MatchData[[#this row],[team]],MatchData[teleop low goals])/COUNTIF(MatchData[team],MatchData[[#this row],[team]]),2)</f>
        <v>#VALUE!</v>
      </c>
      <c r="BX205" s="16" t="e">
        <f aca="false">ROUND(SUMIF(MatchData[team],MatchData[[#this row],[team]],MatchData[teleop high goals])/COUNTIF(MatchData[team],MatchData[[#this row],[team]]),2)</f>
        <v>#VALUE!</v>
      </c>
      <c r="BY205" s="16" t="e">
        <f aca="false">COUNTIF(MatchData[team],MatchData[[#this row],[team]])</f>
        <v>#VALUE!</v>
      </c>
      <c r="BZ205" s="16" t="e">
        <f aca="false">SUMIF(MatchData[team],MatchData[[#this row],[team]],MatchData[portcullis available])</f>
        <v>#VALUE!</v>
      </c>
      <c r="CA205" s="16" t="e">
        <f aca="false">SUMIF(MatchData[team],MatchData[[#this row],[team]],MatchData[cheval available])</f>
        <v>#VALUE!</v>
      </c>
      <c r="CB205" s="16" t="e">
        <f aca="false">SUMIF(MatchData[team],MatchData[[#this row],[team]],MatchData[moat available])</f>
        <v>#VALUE!</v>
      </c>
      <c r="CC205" s="16" t="e">
        <f aca="false">SUMIF(MatchData[team],MatchData[[#this row],[team]],MatchData[ramparts available])</f>
        <v>#VALUE!</v>
      </c>
      <c r="CD205" s="16" t="e">
        <f aca="false">SUMIF(MatchData[team],MatchData[[#this row],[team]],MatchData[drawbridge available])</f>
        <v>#VALUE!</v>
      </c>
      <c r="CE205" s="16" t="e">
        <f aca="false">SUMIF(MatchData[team],MatchData[[#this row],[team]],MatchData[sally port available])</f>
        <v>#VALUE!</v>
      </c>
      <c r="CF205" s="16" t="e">
        <f aca="false">SUMIF(MatchData[team],MatchData[[#this row],[team]],MatchData[rock wall available])</f>
        <v>#VALUE!</v>
      </c>
      <c r="CG205" s="16" t="e">
        <f aca="false">SUMIF(MatchData[team],MatchData[[#this row],[team]],MatchData[rough terrain available])</f>
        <v>#VALUE!</v>
      </c>
      <c r="CH205" s="16" t="e">
        <f aca="false">SUMIF(MatchData[team],MatchData[[#this row],[team]],MatchData[low bar available])</f>
        <v>#VALUE!</v>
      </c>
      <c r="CI205" s="16" t="e">
        <f aca="false">SUMIF(MatchData[team],MatchData[[#this row],[team]],MatchData[portcullis teleop crossings]:MatchData[portcullis scored crossings])</f>
        <v>#VALUE!</v>
      </c>
      <c r="CJ205" s="16" t="e">
        <f aca="false">SUMIF(MatchData[team],MatchData[[#this row],[team]],MatchData[cheval teleop crossings])+SUMIF(MatchData[team],MatchData[[#this row],[team]],MatchData[cheval scored crossings])</f>
        <v>#VALUE!</v>
      </c>
      <c r="CK205" s="16" t="e">
        <f aca="false">SUMIF(MatchData[team],MatchData[[#this row],[team]],MatchData[moat teleop crossings])+SUMIF(MatchData[team],MatchData[[#this row],[team]],MatchData[moat scored crosings])</f>
        <v>#VALUE!</v>
      </c>
      <c r="CL205" s="16" t="e">
        <f aca="false">SUMIF(MatchData[team],MatchData[[#this row],[team]],MatchData[ramparts teleop crossings])+SUMIF(MatchData[team],MatchData[[#this row],[team]],MatchData[ramparts scored crossings])</f>
        <v>#VALUE!</v>
      </c>
      <c r="CM205" s="16" t="e">
        <f aca="false">SUMIF(MatchData[team],MatchData[[#this row],[team]],MatchData[drawbridge teleop crossings])+SUMIF(MatchData[team],MatchData[[#this row],[team]],MatchData[drawbridge scored crossings])</f>
        <v>#VALUE!</v>
      </c>
      <c r="CN205" s="16" t="e">
        <f aca="false">SUMIF(MatchData[team],MatchData[[#this row],[team]],MatchData[sally port teleop crossings])+SUMIF(MatchData[team],MatchData[[#this row],[team]],MatchData[sally port scored crossings])</f>
        <v>#VALUE!</v>
      </c>
      <c r="CO205" s="16" t="e">
        <f aca="false">SUMIF(MatchData[team],MatchData[[#this row],[team]],MatchData[rock wall teleop crossings])+SUMIF(MatchData[team],MatchData[[#this row],[team]],MatchData[rock wall scored crossings])</f>
        <v>#VALUE!</v>
      </c>
      <c r="CP205" s="16" t="e">
        <f aca="false">SUMIF(MatchData[team],MatchData[[#this row],[team]],MatchData[rough terrain teleop crossings])+SUMIF(MatchData[team],MatchData[[#this row],[team]],MatchData[rough terrain scored crossings])</f>
        <v>#VALUE!</v>
      </c>
      <c r="CQ205" s="16" t="e">
        <f aca="false">SUMIF(MatchData[team],MatchData[[#this row],[team]],MatchData[low bar teleop crossings])+SUMIF(MatchData[team],MatchData[[#this row],[team]],MatchData[low bar scored crossings])</f>
        <v>#VALUE!</v>
      </c>
      <c r="CR205" s="16" t="e">
        <f aca="false">IFERROR(ROUND(MatchData[[#this row],[portcullis sum]]/MatchData[[#this row],[portcullis avail count]],2),0)</f>
        <v>#VALUE!</v>
      </c>
      <c r="CS205" s="16" t="e">
        <f aca="false">IFERROR(ROUND(MatchData[[#this row],[cheval sum]]/MatchData[[#this row],[cheval avail count]],2),0)</f>
        <v>#VALUE!</v>
      </c>
      <c r="CT205" s="16" t="e">
        <f aca="false">IFERROR(ROUND(MatchData[[#this row],[moat sum]]/MatchData[[#this row],[moat avail count]],2),0)</f>
        <v>#VALUE!</v>
      </c>
      <c r="CU205" s="16" t="e">
        <f aca="false">IFERROR(ROUND(MatchData[[#this row],[ramparts sum]]/MatchData[[#this row],[ramparts avail count]],2),0)</f>
        <v>#VALUE!</v>
      </c>
      <c r="CV205" s="16" t="e">
        <f aca="false">IFERROR(ROUND(MatchData[[#this row],[drawbridge sum]]/MatchData[[#this row],[drawbridge avail countigh6]],2),0)</f>
        <v>#VALUE!</v>
      </c>
      <c r="CW205" s="16" t="e">
        <f aca="false">IFERROR(ROUND(MatchData[[#this row],[sally port sum]]/MatchData[[#this row],[sally port avail count]],2),0)</f>
        <v>#VALUE!</v>
      </c>
      <c r="CX205" s="5" t="e">
        <f aca="false">IFERROR(ROUND(MatchData[[#this row],[rock wall sum]]/MatchData[[#this row],[rock wall avail count]],2),0)</f>
        <v>#VALUE!</v>
      </c>
      <c r="CY205" s="5" t="e">
        <f aca="false">IFERROR(ROUND(MatchData[[#this row],[rough terrain sum]]/MatchData[[#this row],[rough terrain avail count]],2),0)</f>
        <v>#VALUE!</v>
      </c>
      <c r="CZ205" s="5" t="e">
        <f aca="false">IFERROR(ROUND(MatchData[[#this row],[low bar sum]]/MatchData[[#this row],[low bar avail count]],2),0)</f>
        <v>#VALUE!</v>
      </c>
      <c r="DA205" s="16" t="e">
        <f aca="false">SUM(MatchData[[#this row],[cheval sum]:[low bar sum]])/MatchData[match count]</f>
        <v>#VALUE!</v>
      </c>
      <c r="DB205" s="16" t="n">
        <f aca="false">MAX(IF(C$2:C$74=C205,BP$2:BP$74))</f>
        <v>-1.79769313486232E+308</v>
      </c>
      <c r="DC205" s="16" t="e">
        <f aca="false">AVERAGEIF(MatchData[team],MatchData[[#this row],[team]],MatchData[total score])</f>
        <v>#VALUE!</v>
      </c>
      <c r="DD205" s="16" t="e">
        <f aca="false">ROUND(AVERAGEIF(MatchData[team],MatchData[team],MatchData[climb or challenge flag]),2)</f>
        <v>#VALUE!</v>
      </c>
    </row>
    <row r="206" customFormat="false" ht="14.5" hidden="false" customHeight="false" outlineLevel="0" collapsed="false">
      <c r="A206" s="20" t="s">
        <v>108</v>
      </c>
      <c r="B206" s="21" t="n">
        <v>35</v>
      </c>
      <c r="C206" s="15" t="n">
        <v>1510</v>
      </c>
      <c r="D206" s="5" t="s">
        <v>109</v>
      </c>
      <c r="E206" s="5" t="s">
        <v>151</v>
      </c>
      <c r="G206" s="16"/>
      <c r="I206" s="16"/>
      <c r="J206" s="5" t="n">
        <v>1</v>
      </c>
      <c r="K206" s="16"/>
      <c r="L206" s="5" t="n">
        <v>1</v>
      </c>
      <c r="M206" s="5" t="n">
        <v>1</v>
      </c>
      <c r="N206" s="0"/>
      <c r="O206" s="0"/>
      <c r="P206" s="5" t="n">
        <v>1</v>
      </c>
      <c r="Q206" s="5" t="n">
        <v>1</v>
      </c>
      <c r="R206" s="0"/>
      <c r="S206" s="16"/>
      <c r="T206" s="0"/>
      <c r="U206" s="16"/>
      <c r="V206" s="16"/>
      <c r="W206" s="0"/>
      <c r="AD206" s="16"/>
      <c r="AE206" s="5"/>
      <c r="AF206" s="16"/>
      <c r="AG206" s="16"/>
      <c r="AH206" s="16"/>
      <c r="AJ206" s="16"/>
      <c r="AL206" s="16"/>
      <c r="AN206" s="16"/>
      <c r="AP206" s="16" t="n">
        <v>1</v>
      </c>
      <c r="AR206" s="16"/>
      <c r="AT206" s="16"/>
      <c r="AU206" s="16"/>
      <c r="AV206" s="16" t="n">
        <v>1</v>
      </c>
      <c r="AW206" s="16"/>
      <c r="AX206" s="16"/>
      <c r="AY206" s="16"/>
      <c r="AZ206" s="16" t="n">
        <v>1</v>
      </c>
      <c r="BB206" s="16" t="n">
        <v>1</v>
      </c>
      <c r="BC206" s="16" t="e">
        <f aca="false">MatchData[cheval scored crossings]*5</f>
        <v>#VALUE!</v>
      </c>
      <c r="BD206" s="16" t="e">
        <f aca="false">MatchData[moat scored crosings]*5</f>
        <v>#VALUE!</v>
      </c>
      <c r="BE206" s="16" t="e">
        <f aca="false">MatchData[ramparts scored crossings]*5</f>
        <v>#VALUE!</v>
      </c>
      <c r="BF206" s="16" t="e">
        <f aca="false">MatchData[drawbridge scored crossings]*5</f>
        <v>#VALUE!</v>
      </c>
      <c r="BG206" s="16" t="e">
        <f aca="false">MatchData[sally port scored crossings]*5</f>
        <v>#VALUE!</v>
      </c>
      <c r="BH206" s="16" t="e">
        <f aca="false">MatchData[rock wall scored crossings]*5</f>
        <v>#VALUE!</v>
      </c>
      <c r="BI206" s="16" t="e">
        <f aca="false">MatchData[rough terrain scored crossings]*5</f>
        <v>#VALUE!</v>
      </c>
      <c r="BJ206" s="16" t="e">
        <f aca="false">MatchData[low bar scored crossings]*5</f>
        <v>#VALUE!</v>
      </c>
      <c r="BK206" s="16" t="e">
        <f aca="false">SUM(MatchData[[#this row],[low bar teleop crossings]:[rough terrain scored crossings]])</f>
        <v>#VALUE!</v>
      </c>
      <c r="BL206" s="16" t="e">
        <f aca="false">IFERROR(IF(OR(MatchData[[#this row],[challenge flag]],MatchData[[#this row],[climb flag]]),1,0),0)</f>
        <v>#VALUE!</v>
      </c>
      <c r="BM206" s="16" t="e">
        <f aca="false">MatchData[auto high goals]*10+MatchData[teleop high goals]*5</f>
        <v>#VALUE!</v>
      </c>
      <c r="BN206" s="16" t="e">
        <f aca="false">MatchData[auto low goals]*5+MatchData[teleop low goals]*2</f>
        <v>#VALUE!</v>
      </c>
      <c r="BO206" s="16" t="e">
        <f aca="false">MatchData[high goal score]+MatchData[low goal score]</f>
        <v>#VALUE!</v>
      </c>
      <c r="BP206" s="16" t="e">
        <f aca="false">MatchData[teleop high goals]+MatchData[teleop low goals]</f>
        <v>#VALUE!</v>
      </c>
      <c r="BQ206" s="16" t="e">
        <f aca="false">MatchData[[#this row],[auto reach flag]]*2+SUM(MatchData[[#this row],[portcullis auto crossings]:[low bar auto crossings]])*10+MatchData[[#this row],[auto low goals]]*5+MatchData[auto high goals]*10</f>
        <v>#VALUE!</v>
      </c>
      <c r="BR206" s="16" t="e">
        <f aca="false">SUM(MatchData[[#this row],[cheval teleop crossing score]:[low bar teleop crossing score]])</f>
        <v>#VALUE!</v>
      </c>
      <c r="BS206" s="16" t="e">
        <f aca="false">SUMIF(MatchData[team],MatchData[[#this row],[team]],MatchData[total auto score])/MatchData[match count]</f>
        <v>#VALUE!</v>
      </c>
      <c r="BT206" s="16" t="e">
        <f aca="false">MatchData[challenge flag]*5</f>
        <v>#VALUE!</v>
      </c>
      <c r="BU206" s="16" t="e">
        <f aca="false">MatchData[climb flag]*15</f>
        <v>#VALUE!</v>
      </c>
      <c r="BV206" s="16" t="e">
        <f aca="false">SUM(MatchData[[#this row],[total goal score]],MatchData[[#this row],[crossing score]],MatchData[[#this row],[challenge score]],MatchData[[#this row],[climb score]],MatchData[[#this row],[total auto score]])</f>
        <v>#VALUE!</v>
      </c>
      <c r="BW206" s="16" t="e">
        <f aca="false">ROUND(SUMIF(MatchData[team],MatchData[[#this row],[team]],MatchData[teleop low goals])/COUNTIF(MatchData[team],MatchData[[#this row],[team]]),2)</f>
        <v>#VALUE!</v>
      </c>
      <c r="BX206" s="16" t="e">
        <f aca="false">ROUND(SUMIF(MatchData[team],MatchData[[#this row],[team]],MatchData[teleop high goals])/COUNTIF(MatchData[team],MatchData[[#this row],[team]]),2)</f>
        <v>#VALUE!</v>
      </c>
      <c r="BY206" s="16" t="e">
        <f aca="false">COUNTIF(MatchData[team],MatchData[[#this row],[team]])</f>
        <v>#VALUE!</v>
      </c>
      <c r="BZ206" s="16" t="e">
        <f aca="false">SUMIF(MatchData[team],MatchData[[#this row],[team]],MatchData[portcullis available])</f>
        <v>#VALUE!</v>
      </c>
      <c r="CA206" s="16" t="e">
        <f aca="false">SUMIF(MatchData[team],MatchData[[#this row],[team]],MatchData[cheval available])</f>
        <v>#VALUE!</v>
      </c>
      <c r="CB206" s="16" t="e">
        <f aca="false">SUMIF(MatchData[team],MatchData[[#this row],[team]],MatchData[moat available])</f>
        <v>#VALUE!</v>
      </c>
      <c r="CC206" s="16" t="e">
        <f aca="false">SUMIF(MatchData[team],MatchData[[#this row],[team]],MatchData[ramparts available])</f>
        <v>#VALUE!</v>
      </c>
      <c r="CD206" s="16" t="e">
        <f aca="false">SUMIF(MatchData[team],MatchData[[#this row],[team]],MatchData[drawbridge available])</f>
        <v>#VALUE!</v>
      </c>
      <c r="CE206" s="16" t="e">
        <f aca="false">SUMIF(MatchData[team],MatchData[[#this row],[team]],MatchData[sally port available])</f>
        <v>#VALUE!</v>
      </c>
      <c r="CF206" s="16" t="e">
        <f aca="false">SUMIF(MatchData[team],MatchData[[#this row],[team]],MatchData[rock wall available])</f>
        <v>#VALUE!</v>
      </c>
      <c r="CG206" s="16" t="e">
        <f aca="false">SUMIF(MatchData[team],MatchData[[#this row],[team]],MatchData[rough terrain available])</f>
        <v>#VALUE!</v>
      </c>
      <c r="CH206" s="16" t="e">
        <f aca="false">SUMIF(MatchData[team],MatchData[[#this row],[team]],MatchData[low bar available])</f>
        <v>#VALUE!</v>
      </c>
      <c r="CI206" s="16" t="e">
        <f aca="false">SUMIF(MatchData[team],MatchData[[#this row],[team]],MatchData[portcullis teleop crossings]:MatchData[portcullis scored crossings])</f>
        <v>#VALUE!</v>
      </c>
      <c r="CJ206" s="16" t="e">
        <f aca="false">SUMIF(MatchData[team],MatchData[[#this row],[team]],MatchData[cheval teleop crossings])+SUMIF(MatchData[team],MatchData[[#this row],[team]],MatchData[cheval scored crossings])</f>
        <v>#VALUE!</v>
      </c>
      <c r="CK206" s="16" t="e">
        <f aca="false">SUMIF(MatchData[team],MatchData[[#this row],[team]],MatchData[moat teleop crossings])+SUMIF(MatchData[team],MatchData[[#this row],[team]],MatchData[moat scored crosings])</f>
        <v>#VALUE!</v>
      </c>
      <c r="CL206" s="16" t="e">
        <f aca="false">SUMIF(MatchData[team],MatchData[[#this row],[team]],MatchData[ramparts teleop crossings])+SUMIF(MatchData[team],MatchData[[#this row],[team]],MatchData[ramparts scored crossings])</f>
        <v>#VALUE!</v>
      </c>
      <c r="CM206" s="16" t="e">
        <f aca="false">SUMIF(MatchData[team],MatchData[[#this row],[team]],MatchData[drawbridge teleop crossings])+SUMIF(MatchData[team],MatchData[[#this row],[team]],MatchData[drawbridge scored crossings])</f>
        <v>#VALUE!</v>
      </c>
      <c r="CN206" s="16" t="e">
        <f aca="false">SUMIF(MatchData[team],MatchData[[#this row],[team]],MatchData[sally port teleop crossings])+SUMIF(MatchData[team],MatchData[[#this row],[team]],MatchData[sally port scored crossings])</f>
        <v>#VALUE!</v>
      </c>
      <c r="CO206" s="16" t="e">
        <f aca="false">SUMIF(MatchData[team],MatchData[[#this row],[team]],MatchData[rock wall teleop crossings])+SUMIF(MatchData[team],MatchData[[#this row],[team]],MatchData[rock wall scored crossings])</f>
        <v>#VALUE!</v>
      </c>
      <c r="CP206" s="16" t="e">
        <f aca="false">SUMIF(MatchData[team],MatchData[[#this row],[team]],MatchData[rough terrain teleop crossings])+SUMIF(MatchData[team],MatchData[[#this row],[team]],MatchData[rough terrain scored crossings])</f>
        <v>#VALUE!</v>
      </c>
      <c r="CQ206" s="16" t="e">
        <f aca="false">SUMIF(MatchData[team],MatchData[[#this row],[team]],MatchData[low bar teleop crossings])+SUMIF(MatchData[team],MatchData[[#this row],[team]],MatchData[low bar scored crossings])</f>
        <v>#VALUE!</v>
      </c>
      <c r="CR206" s="16" t="e">
        <f aca="false">IFERROR(ROUND(MatchData[[#this row],[portcullis sum]]/MatchData[[#this row],[portcullis avail count]],2),0)</f>
        <v>#VALUE!</v>
      </c>
      <c r="CS206" s="16" t="e">
        <f aca="false">IFERROR(ROUND(MatchData[[#this row],[cheval sum]]/MatchData[[#this row],[cheval avail count]],2),0)</f>
        <v>#VALUE!</v>
      </c>
      <c r="CT206" s="16" t="e">
        <f aca="false">IFERROR(ROUND(MatchData[[#this row],[moat sum]]/MatchData[[#this row],[moat avail count]],2),0)</f>
        <v>#VALUE!</v>
      </c>
      <c r="CU206" s="16" t="e">
        <f aca="false">IFERROR(ROUND(MatchData[[#this row],[ramparts sum]]/MatchData[[#this row],[ramparts avail count]],2),0)</f>
        <v>#VALUE!</v>
      </c>
      <c r="CV206" s="16" t="e">
        <f aca="false">IFERROR(ROUND(MatchData[[#this row],[drawbridge sum]]/MatchData[[#this row],[drawbridge avail countigh6]],2),0)</f>
        <v>#VALUE!</v>
      </c>
      <c r="CW206" s="16" t="e">
        <f aca="false">IFERROR(ROUND(MatchData[[#this row],[sally port sum]]/MatchData[[#this row],[sally port avail count]],2),0)</f>
        <v>#VALUE!</v>
      </c>
      <c r="CX206" s="5" t="e">
        <f aca="false">IFERROR(ROUND(MatchData[[#this row],[rock wall sum]]/MatchData[[#this row],[rock wall avail count]],2),0)</f>
        <v>#VALUE!</v>
      </c>
      <c r="CY206" s="5" t="e">
        <f aca="false">IFERROR(ROUND(MatchData[[#this row],[rough terrain sum]]/MatchData[[#this row],[rough terrain avail count]],2),0)</f>
        <v>#VALUE!</v>
      </c>
      <c r="CZ206" s="5" t="e">
        <f aca="false">IFERROR(ROUND(MatchData[[#this row],[low bar sum]]/MatchData[[#this row],[low bar avail count]],2),0)</f>
        <v>#VALUE!</v>
      </c>
      <c r="DA206" s="16" t="e">
        <f aca="false">SUM(MatchData[[#this row],[cheval sum]:[low bar sum]])/MatchData[match count]</f>
        <v>#VALUE!</v>
      </c>
      <c r="DB206" s="16" t="n">
        <f aca="false">MAX(IF(C$2:C$74=C206,BP$2:BP$74))</f>
        <v>-1.79769313486232E+308</v>
      </c>
      <c r="DC206" s="16" t="e">
        <f aca="false">AVERAGEIF(MatchData[team],MatchData[[#this row],[team]],MatchData[total score])</f>
        <v>#VALUE!</v>
      </c>
      <c r="DD206" s="16" t="e">
        <f aca="false">ROUND(AVERAGEIF(MatchData[team],MatchData[team],MatchData[climb or challenge flag]),2)</f>
        <v>#VALUE!</v>
      </c>
    </row>
    <row r="207" customFormat="false" ht="14.5" hidden="false" customHeight="false" outlineLevel="0" collapsed="false">
      <c r="A207" s="20" t="s">
        <v>108</v>
      </c>
      <c r="B207" s="22" t="n">
        <v>35</v>
      </c>
      <c r="C207" s="15" t="n">
        <v>4488</v>
      </c>
      <c r="D207" s="5" t="s">
        <v>109</v>
      </c>
      <c r="E207" s="5" t="s">
        <v>141</v>
      </c>
      <c r="G207" s="16" t="n">
        <v>3</v>
      </c>
      <c r="I207" s="16"/>
      <c r="J207" s="5" t="n">
        <v>1</v>
      </c>
      <c r="K207" s="16"/>
      <c r="L207" s="5" t="n">
        <v>1</v>
      </c>
      <c r="M207" s="5" t="n">
        <v>1</v>
      </c>
      <c r="N207" s="0"/>
      <c r="O207" s="0"/>
      <c r="P207" s="5" t="n">
        <v>1</v>
      </c>
      <c r="Q207" s="5" t="n">
        <v>1</v>
      </c>
      <c r="R207" s="0"/>
      <c r="S207" s="16" t="n">
        <v>1</v>
      </c>
      <c r="T207" s="0"/>
      <c r="U207" s="16"/>
      <c r="V207" s="16"/>
      <c r="W207" s="0"/>
      <c r="AD207" s="16"/>
      <c r="AE207" s="5"/>
      <c r="AF207" s="16"/>
      <c r="AG207" s="16"/>
      <c r="AH207" s="16" t="n">
        <v>2</v>
      </c>
      <c r="AJ207" s="16"/>
      <c r="AL207" s="16"/>
      <c r="AN207" s="16"/>
      <c r="AP207" s="16" t="n">
        <v>1</v>
      </c>
      <c r="AR207" s="16" t="n">
        <v>2</v>
      </c>
      <c r="AT207" s="16"/>
      <c r="AU207" s="16" t="n">
        <v>1</v>
      </c>
      <c r="AV207" s="16"/>
      <c r="AW207" s="16" t="n">
        <v>1</v>
      </c>
      <c r="AX207" s="16"/>
      <c r="AY207" s="16"/>
      <c r="AZ207" s="16"/>
      <c r="BB207" s="16" t="n">
        <v>1</v>
      </c>
      <c r="BC207" s="16" t="e">
        <f aca="false">MatchData[cheval scored crossings]*5</f>
        <v>#VALUE!</v>
      </c>
      <c r="BD207" s="16" t="e">
        <f aca="false">MatchData[moat scored crosings]*5</f>
        <v>#VALUE!</v>
      </c>
      <c r="BE207" s="16" t="e">
        <f aca="false">MatchData[ramparts scored crossings]*5</f>
        <v>#VALUE!</v>
      </c>
      <c r="BF207" s="16" t="e">
        <f aca="false">MatchData[drawbridge scored crossings]*5</f>
        <v>#VALUE!</v>
      </c>
      <c r="BG207" s="16" t="e">
        <f aca="false">MatchData[sally port scored crossings]*5</f>
        <v>#VALUE!</v>
      </c>
      <c r="BH207" s="16" t="e">
        <f aca="false">MatchData[rock wall scored crossings]*5</f>
        <v>#VALUE!</v>
      </c>
      <c r="BI207" s="16" t="e">
        <f aca="false">MatchData[rough terrain scored crossings]*5</f>
        <v>#VALUE!</v>
      </c>
      <c r="BJ207" s="16" t="e">
        <f aca="false">MatchData[low bar scored crossings]*5</f>
        <v>#VALUE!</v>
      </c>
      <c r="BK207" s="16" t="e">
        <f aca="false">SUM(MatchData[[#this row],[low bar teleop crossings]:[rough terrain scored crossings]])</f>
        <v>#VALUE!</v>
      </c>
      <c r="BL207" s="16" t="e">
        <f aca="false">IFERROR(IF(OR(MatchData[[#this row],[challenge flag]],MatchData[[#this row],[climb flag]]),1,0),0)</f>
        <v>#VALUE!</v>
      </c>
      <c r="BM207" s="16" t="e">
        <f aca="false">MatchData[auto high goals]*10+MatchData[teleop high goals]*5</f>
        <v>#VALUE!</v>
      </c>
      <c r="BN207" s="16" t="e">
        <f aca="false">MatchData[auto low goals]*5+MatchData[teleop low goals]*2</f>
        <v>#VALUE!</v>
      </c>
      <c r="BO207" s="16" t="e">
        <f aca="false">MatchData[high goal score]+MatchData[low goal score]</f>
        <v>#VALUE!</v>
      </c>
      <c r="BP207" s="16" t="e">
        <f aca="false">MatchData[teleop high goals]+MatchData[teleop low goals]</f>
        <v>#VALUE!</v>
      </c>
      <c r="BQ207" s="16" t="e">
        <f aca="false">MatchData[[#this row],[auto reach flag]]*2+SUM(MatchData[[#this row],[portcullis auto crossings]:[low bar auto crossings]])*10+MatchData[[#this row],[auto low goals]]*5+MatchData[auto high goals]*10</f>
        <v>#VALUE!</v>
      </c>
      <c r="BR207" s="16" t="e">
        <f aca="false">SUM(MatchData[[#this row],[cheval teleop crossing score]:[low bar teleop crossing score]])</f>
        <v>#VALUE!</v>
      </c>
      <c r="BS207" s="16" t="e">
        <f aca="false">SUMIF(MatchData[team],MatchData[[#this row],[team]],MatchData[total auto score])/MatchData[match count]</f>
        <v>#VALUE!</v>
      </c>
      <c r="BT207" s="16" t="e">
        <f aca="false">MatchData[challenge flag]*5</f>
        <v>#VALUE!</v>
      </c>
      <c r="BU207" s="16" t="e">
        <f aca="false">MatchData[climb flag]*15</f>
        <v>#VALUE!</v>
      </c>
      <c r="BV207" s="16" t="e">
        <f aca="false">SUM(MatchData[[#this row],[total goal score]],MatchData[[#this row],[crossing score]],MatchData[[#this row],[challenge score]],MatchData[[#this row],[climb score]],MatchData[[#this row],[total auto score]])</f>
        <v>#VALUE!</v>
      </c>
      <c r="BW207" s="16" t="e">
        <f aca="false">ROUND(SUMIF(MatchData[team],MatchData[[#this row],[team]],MatchData[teleop low goals])/COUNTIF(MatchData[team],MatchData[[#this row],[team]]),2)</f>
        <v>#VALUE!</v>
      </c>
      <c r="BX207" s="16" t="e">
        <f aca="false">ROUND(SUMIF(MatchData[team],MatchData[[#this row],[team]],MatchData[teleop high goals])/COUNTIF(MatchData[team],MatchData[[#this row],[team]]),2)</f>
        <v>#VALUE!</v>
      </c>
      <c r="BY207" s="16" t="e">
        <f aca="false">COUNTIF(MatchData[team],MatchData[[#this row],[team]])</f>
        <v>#VALUE!</v>
      </c>
      <c r="BZ207" s="16" t="e">
        <f aca="false">SUMIF(MatchData[team],MatchData[[#this row],[team]],MatchData[portcullis available])</f>
        <v>#VALUE!</v>
      </c>
      <c r="CA207" s="16" t="e">
        <f aca="false">SUMIF(MatchData[team],MatchData[[#this row],[team]],MatchData[cheval available])</f>
        <v>#VALUE!</v>
      </c>
      <c r="CB207" s="16" t="e">
        <f aca="false">SUMIF(MatchData[team],MatchData[[#this row],[team]],MatchData[moat available])</f>
        <v>#VALUE!</v>
      </c>
      <c r="CC207" s="16" t="e">
        <f aca="false">SUMIF(MatchData[team],MatchData[[#this row],[team]],MatchData[ramparts available])</f>
        <v>#VALUE!</v>
      </c>
      <c r="CD207" s="16" t="e">
        <f aca="false">SUMIF(MatchData[team],MatchData[[#this row],[team]],MatchData[drawbridge available])</f>
        <v>#VALUE!</v>
      </c>
      <c r="CE207" s="16" t="e">
        <f aca="false">SUMIF(MatchData[team],MatchData[[#this row],[team]],MatchData[sally port available])</f>
        <v>#VALUE!</v>
      </c>
      <c r="CF207" s="16" t="e">
        <f aca="false">SUMIF(MatchData[team],MatchData[[#this row],[team]],MatchData[rock wall available])</f>
        <v>#VALUE!</v>
      </c>
      <c r="CG207" s="16" t="e">
        <f aca="false">SUMIF(MatchData[team],MatchData[[#this row],[team]],MatchData[rough terrain available])</f>
        <v>#VALUE!</v>
      </c>
      <c r="CH207" s="16" t="e">
        <f aca="false">SUMIF(MatchData[team],MatchData[[#this row],[team]],MatchData[low bar available])</f>
        <v>#VALUE!</v>
      </c>
      <c r="CI207" s="16" t="e">
        <f aca="false">SUMIF(MatchData[team],MatchData[[#this row],[team]],MatchData[portcullis teleop crossings]:MatchData[portcullis scored crossings])</f>
        <v>#VALUE!</v>
      </c>
      <c r="CJ207" s="16" t="e">
        <f aca="false">SUMIF(MatchData[team],MatchData[[#this row],[team]],MatchData[cheval teleop crossings])+SUMIF(MatchData[team],MatchData[[#this row],[team]],MatchData[cheval scored crossings])</f>
        <v>#VALUE!</v>
      </c>
      <c r="CK207" s="16" t="e">
        <f aca="false">SUMIF(MatchData[team],MatchData[[#this row],[team]],MatchData[moat teleop crossings])+SUMIF(MatchData[team],MatchData[[#this row],[team]],MatchData[moat scored crosings])</f>
        <v>#VALUE!</v>
      </c>
      <c r="CL207" s="16" t="e">
        <f aca="false">SUMIF(MatchData[team],MatchData[[#this row],[team]],MatchData[ramparts teleop crossings])+SUMIF(MatchData[team],MatchData[[#this row],[team]],MatchData[ramparts scored crossings])</f>
        <v>#VALUE!</v>
      </c>
      <c r="CM207" s="16" t="e">
        <f aca="false">SUMIF(MatchData[team],MatchData[[#this row],[team]],MatchData[drawbridge teleop crossings])+SUMIF(MatchData[team],MatchData[[#this row],[team]],MatchData[drawbridge scored crossings])</f>
        <v>#VALUE!</v>
      </c>
      <c r="CN207" s="16" t="e">
        <f aca="false">SUMIF(MatchData[team],MatchData[[#this row],[team]],MatchData[sally port teleop crossings])+SUMIF(MatchData[team],MatchData[[#this row],[team]],MatchData[sally port scored crossings])</f>
        <v>#VALUE!</v>
      </c>
      <c r="CO207" s="16" t="e">
        <f aca="false">SUMIF(MatchData[team],MatchData[[#this row],[team]],MatchData[rock wall teleop crossings])+SUMIF(MatchData[team],MatchData[[#this row],[team]],MatchData[rock wall scored crossings])</f>
        <v>#VALUE!</v>
      </c>
      <c r="CP207" s="16" t="e">
        <f aca="false">SUMIF(MatchData[team],MatchData[[#this row],[team]],MatchData[rough terrain teleop crossings])+SUMIF(MatchData[team],MatchData[[#this row],[team]],MatchData[rough terrain scored crossings])</f>
        <v>#VALUE!</v>
      </c>
      <c r="CQ207" s="16" t="e">
        <f aca="false">SUMIF(MatchData[team],MatchData[[#this row],[team]],MatchData[low bar teleop crossings])+SUMIF(MatchData[team],MatchData[[#this row],[team]],MatchData[low bar scored crossings])</f>
        <v>#VALUE!</v>
      </c>
      <c r="CR207" s="16" t="e">
        <f aca="false">IFERROR(ROUND(MatchData[[#this row],[portcullis sum]]/MatchData[[#this row],[portcullis avail count]],2),0)</f>
        <v>#VALUE!</v>
      </c>
      <c r="CS207" s="16" t="e">
        <f aca="false">IFERROR(ROUND(MatchData[[#this row],[cheval sum]]/MatchData[[#this row],[cheval avail count]],2),0)</f>
        <v>#VALUE!</v>
      </c>
      <c r="CT207" s="16" t="e">
        <f aca="false">IFERROR(ROUND(MatchData[[#this row],[moat sum]]/MatchData[[#this row],[moat avail count]],2),0)</f>
        <v>#VALUE!</v>
      </c>
      <c r="CU207" s="16" t="e">
        <f aca="false">IFERROR(ROUND(MatchData[[#this row],[ramparts sum]]/MatchData[[#this row],[ramparts avail count]],2),0)</f>
        <v>#VALUE!</v>
      </c>
      <c r="CV207" s="16" t="e">
        <f aca="false">IFERROR(ROUND(MatchData[[#this row],[drawbridge sum]]/MatchData[[#this row],[drawbridge avail countigh6]],2),0)</f>
        <v>#VALUE!</v>
      </c>
      <c r="CW207" s="16" t="e">
        <f aca="false">IFERROR(ROUND(MatchData[[#this row],[sally port sum]]/MatchData[[#this row],[sally port avail count]],2),0)</f>
        <v>#VALUE!</v>
      </c>
      <c r="CX207" s="5" t="e">
        <f aca="false">IFERROR(ROUND(MatchData[[#this row],[rock wall sum]]/MatchData[[#this row],[rock wall avail count]],2),0)</f>
        <v>#VALUE!</v>
      </c>
      <c r="CY207" s="5" t="e">
        <f aca="false">IFERROR(ROUND(MatchData[[#this row],[rough terrain sum]]/MatchData[[#this row],[rough terrain avail count]],2),0)</f>
        <v>#VALUE!</v>
      </c>
      <c r="CZ207" s="5" t="e">
        <f aca="false">IFERROR(ROUND(MatchData[[#this row],[low bar sum]]/MatchData[[#this row],[low bar avail count]],2),0)</f>
        <v>#VALUE!</v>
      </c>
      <c r="DA207" s="16" t="e">
        <f aca="false">SUM(MatchData[[#this row],[cheval sum]:[low bar sum]])/MatchData[match count]</f>
        <v>#VALUE!</v>
      </c>
      <c r="DB207" s="16" t="n">
        <f aca="false">MAX(IF(C$2:C$74=C207,BP$2:BP$74))</f>
        <v>-1.79769313486232E+308</v>
      </c>
      <c r="DC207" s="16" t="e">
        <f aca="false">AVERAGEIF(MatchData[team],MatchData[[#this row],[team]],MatchData[total score])</f>
        <v>#VALUE!</v>
      </c>
      <c r="DD207" s="16" t="e">
        <f aca="false">ROUND(AVERAGEIF(MatchData[team],MatchData[team],MatchData[climb or challenge flag]),2)</f>
        <v>#VALUE!</v>
      </c>
    </row>
    <row r="208" customFormat="false" ht="14.5" hidden="false" customHeight="false" outlineLevel="0" collapsed="false">
      <c r="A208" s="20" t="s">
        <v>108</v>
      </c>
      <c r="B208" s="21" t="n">
        <v>35</v>
      </c>
      <c r="C208" s="15" t="n">
        <v>5468</v>
      </c>
      <c r="D208" s="5" t="s">
        <v>109</v>
      </c>
      <c r="E208" s="5" t="s">
        <v>138</v>
      </c>
      <c r="G208" s="16"/>
      <c r="I208" s="16"/>
      <c r="J208" s="5" t="n">
        <v>1</v>
      </c>
      <c r="K208" s="16"/>
      <c r="L208" s="5" t="n">
        <v>1</v>
      </c>
      <c r="M208" s="5" t="n">
        <v>1</v>
      </c>
      <c r="N208" s="0"/>
      <c r="O208" s="0"/>
      <c r="P208" s="5" t="n">
        <v>1</v>
      </c>
      <c r="Q208" s="5" t="n">
        <v>1</v>
      </c>
      <c r="R208" s="0"/>
      <c r="S208" s="16"/>
      <c r="T208" s="0"/>
      <c r="U208" s="16"/>
      <c r="V208" s="16"/>
      <c r="W208" s="0"/>
      <c r="AD208" s="16" t="n">
        <v>1</v>
      </c>
      <c r="AE208" s="5"/>
      <c r="AF208" s="16"/>
      <c r="AG208" s="16"/>
      <c r="AH208" s="16"/>
      <c r="AJ208" s="16" t="n">
        <v>2</v>
      </c>
      <c r="AL208" s="16"/>
      <c r="AN208" s="16"/>
      <c r="AP208" s="16"/>
      <c r="AR208" s="16"/>
      <c r="AT208" s="16"/>
      <c r="AU208" s="16"/>
      <c r="AV208" s="16"/>
      <c r="AW208" s="16" t="n">
        <v>1</v>
      </c>
      <c r="AX208" s="16"/>
      <c r="AY208" s="16"/>
      <c r="AZ208" s="16"/>
      <c r="BB208" s="16" t="n">
        <v>1</v>
      </c>
      <c r="BC208" s="16" t="e">
        <f aca="false">MatchData[cheval scored crossings]*5</f>
        <v>#VALUE!</v>
      </c>
      <c r="BD208" s="16" t="e">
        <f aca="false">MatchData[moat scored crosings]*5</f>
        <v>#VALUE!</v>
      </c>
      <c r="BE208" s="16" t="e">
        <f aca="false">MatchData[ramparts scored crossings]*5</f>
        <v>#VALUE!</v>
      </c>
      <c r="BF208" s="16" t="e">
        <f aca="false">MatchData[drawbridge scored crossings]*5</f>
        <v>#VALUE!</v>
      </c>
      <c r="BG208" s="16" t="e">
        <f aca="false">MatchData[sally port scored crossings]*5</f>
        <v>#VALUE!</v>
      </c>
      <c r="BH208" s="16" t="e">
        <f aca="false">MatchData[rock wall scored crossings]*5</f>
        <v>#VALUE!</v>
      </c>
      <c r="BI208" s="16" t="e">
        <f aca="false">MatchData[rough terrain scored crossings]*5</f>
        <v>#VALUE!</v>
      </c>
      <c r="BJ208" s="16" t="e">
        <f aca="false">MatchData[low bar scored crossings]*5</f>
        <v>#VALUE!</v>
      </c>
      <c r="BK208" s="16" t="e">
        <f aca="false">SUM(MatchData[[#this row],[low bar teleop crossings]:[rough terrain scored crossings]])</f>
        <v>#VALUE!</v>
      </c>
      <c r="BL208" s="16" t="e">
        <f aca="false">IFERROR(IF(OR(MatchData[[#this row],[challenge flag]],MatchData[[#this row],[climb flag]]),1,0),0)</f>
        <v>#VALUE!</v>
      </c>
      <c r="BM208" s="16" t="e">
        <f aca="false">MatchData[auto high goals]*10+MatchData[teleop high goals]*5</f>
        <v>#VALUE!</v>
      </c>
      <c r="BN208" s="16" t="e">
        <f aca="false">MatchData[auto low goals]*5+MatchData[teleop low goals]*2</f>
        <v>#VALUE!</v>
      </c>
      <c r="BO208" s="16" t="e">
        <f aca="false">MatchData[high goal score]+MatchData[low goal score]</f>
        <v>#VALUE!</v>
      </c>
      <c r="BP208" s="16" t="e">
        <f aca="false">MatchData[teleop high goals]+MatchData[teleop low goals]</f>
        <v>#VALUE!</v>
      </c>
      <c r="BQ208" s="16" t="e">
        <f aca="false">MatchData[[#this row],[auto reach flag]]*2+SUM(MatchData[[#this row],[portcullis auto crossings]:[low bar auto crossings]])*10+MatchData[[#this row],[auto low goals]]*5+MatchData[auto high goals]*10</f>
        <v>#VALUE!</v>
      </c>
      <c r="BR208" s="16" t="e">
        <f aca="false">SUM(MatchData[[#this row],[cheval teleop crossing score]:[low bar teleop crossing score]])</f>
        <v>#VALUE!</v>
      </c>
      <c r="BS208" s="16" t="e">
        <f aca="false">SUMIF(MatchData[team],MatchData[[#this row],[team]],MatchData[total auto score])/MatchData[match count]</f>
        <v>#VALUE!</v>
      </c>
      <c r="BT208" s="16" t="e">
        <f aca="false">MatchData[challenge flag]*5</f>
        <v>#VALUE!</v>
      </c>
      <c r="BU208" s="16" t="e">
        <f aca="false">MatchData[climb flag]*15</f>
        <v>#VALUE!</v>
      </c>
      <c r="BV208" s="16" t="e">
        <f aca="false">SUM(MatchData[[#this row],[total goal score]],MatchData[[#this row],[crossing score]],MatchData[[#this row],[challenge score]],MatchData[[#this row],[climb score]],MatchData[[#this row],[total auto score]])</f>
        <v>#VALUE!</v>
      </c>
      <c r="BW208" s="16" t="e">
        <f aca="false">ROUND(SUMIF(MatchData[team],MatchData[[#this row],[team]],MatchData[teleop low goals])/COUNTIF(MatchData[team],MatchData[[#this row],[team]]),2)</f>
        <v>#VALUE!</v>
      </c>
      <c r="BX208" s="16" t="e">
        <f aca="false">ROUND(SUMIF(MatchData[team],MatchData[[#this row],[team]],MatchData[teleop high goals])/COUNTIF(MatchData[team],MatchData[[#this row],[team]]),2)</f>
        <v>#VALUE!</v>
      </c>
      <c r="BY208" s="16" t="e">
        <f aca="false">COUNTIF(MatchData[team],MatchData[[#this row],[team]])</f>
        <v>#VALUE!</v>
      </c>
      <c r="BZ208" s="16" t="e">
        <f aca="false">SUMIF(MatchData[team],MatchData[[#this row],[team]],MatchData[portcullis available])</f>
        <v>#VALUE!</v>
      </c>
      <c r="CA208" s="16" t="e">
        <f aca="false">SUMIF(MatchData[team],MatchData[[#this row],[team]],MatchData[cheval available])</f>
        <v>#VALUE!</v>
      </c>
      <c r="CB208" s="16" t="e">
        <f aca="false">SUMIF(MatchData[team],MatchData[[#this row],[team]],MatchData[moat available])</f>
        <v>#VALUE!</v>
      </c>
      <c r="CC208" s="16" t="e">
        <f aca="false">SUMIF(MatchData[team],MatchData[[#this row],[team]],MatchData[ramparts available])</f>
        <v>#VALUE!</v>
      </c>
      <c r="CD208" s="16" t="e">
        <f aca="false">SUMIF(MatchData[team],MatchData[[#this row],[team]],MatchData[drawbridge available])</f>
        <v>#VALUE!</v>
      </c>
      <c r="CE208" s="16" t="e">
        <f aca="false">SUMIF(MatchData[team],MatchData[[#this row],[team]],MatchData[sally port available])</f>
        <v>#VALUE!</v>
      </c>
      <c r="CF208" s="16" t="e">
        <f aca="false">SUMIF(MatchData[team],MatchData[[#this row],[team]],MatchData[rock wall available])</f>
        <v>#VALUE!</v>
      </c>
      <c r="CG208" s="16" t="e">
        <f aca="false">SUMIF(MatchData[team],MatchData[[#this row],[team]],MatchData[rough terrain available])</f>
        <v>#VALUE!</v>
      </c>
      <c r="CH208" s="16" t="e">
        <f aca="false">SUMIF(MatchData[team],MatchData[[#this row],[team]],MatchData[low bar available])</f>
        <v>#VALUE!</v>
      </c>
      <c r="CI208" s="16" t="e">
        <f aca="false">SUMIF(MatchData[team],MatchData[[#this row],[team]],MatchData[portcullis teleop crossings]:MatchData[portcullis scored crossings])</f>
        <v>#VALUE!</v>
      </c>
      <c r="CJ208" s="16" t="e">
        <f aca="false">SUMIF(MatchData[team],MatchData[[#this row],[team]],MatchData[cheval teleop crossings])+SUMIF(MatchData[team],MatchData[[#this row],[team]],MatchData[cheval scored crossings])</f>
        <v>#VALUE!</v>
      </c>
      <c r="CK208" s="16" t="e">
        <f aca="false">SUMIF(MatchData[team],MatchData[[#this row],[team]],MatchData[moat teleop crossings])+SUMIF(MatchData[team],MatchData[[#this row],[team]],MatchData[moat scored crosings])</f>
        <v>#VALUE!</v>
      </c>
      <c r="CL208" s="16" t="e">
        <f aca="false">SUMIF(MatchData[team],MatchData[[#this row],[team]],MatchData[ramparts teleop crossings])+SUMIF(MatchData[team],MatchData[[#this row],[team]],MatchData[ramparts scored crossings])</f>
        <v>#VALUE!</v>
      </c>
      <c r="CM208" s="16" t="e">
        <f aca="false">SUMIF(MatchData[team],MatchData[[#this row],[team]],MatchData[drawbridge teleop crossings])+SUMIF(MatchData[team],MatchData[[#this row],[team]],MatchData[drawbridge scored crossings])</f>
        <v>#VALUE!</v>
      </c>
      <c r="CN208" s="16" t="e">
        <f aca="false">SUMIF(MatchData[team],MatchData[[#this row],[team]],MatchData[sally port teleop crossings])+SUMIF(MatchData[team],MatchData[[#this row],[team]],MatchData[sally port scored crossings])</f>
        <v>#VALUE!</v>
      </c>
      <c r="CO208" s="16" t="e">
        <f aca="false">SUMIF(MatchData[team],MatchData[[#this row],[team]],MatchData[rock wall teleop crossings])+SUMIF(MatchData[team],MatchData[[#this row],[team]],MatchData[rock wall scored crossings])</f>
        <v>#VALUE!</v>
      </c>
      <c r="CP208" s="16" t="e">
        <f aca="false">SUMIF(MatchData[team],MatchData[[#this row],[team]],MatchData[rough terrain teleop crossings])+SUMIF(MatchData[team],MatchData[[#this row],[team]],MatchData[rough terrain scored crossings])</f>
        <v>#VALUE!</v>
      </c>
      <c r="CQ208" s="16" t="e">
        <f aca="false">SUMIF(MatchData[team],MatchData[[#this row],[team]],MatchData[low bar teleop crossings])+SUMIF(MatchData[team],MatchData[[#this row],[team]],MatchData[low bar scored crossings])</f>
        <v>#VALUE!</v>
      </c>
      <c r="CR208" s="16" t="e">
        <f aca="false">IFERROR(ROUND(MatchData[[#this row],[portcullis sum]]/MatchData[[#this row],[portcullis avail count]],2),0)</f>
        <v>#VALUE!</v>
      </c>
      <c r="CS208" s="16" t="e">
        <f aca="false">IFERROR(ROUND(MatchData[[#this row],[cheval sum]]/MatchData[[#this row],[cheval avail count]],2),0)</f>
        <v>#VALUE!</v>
      </c>
      <c r="CT208" s="16" t="e">
        <f aca="false">IFERROR(ROUND(MatchData[[#this row],[moat sum]]/MatchData[[#this row],[moat avail count]],2),0)</f>
        <v>#VALUE!</v>
      </c>
      <c r="CU208" s="16" t="e">
        <f aca="false">IFERROR(ROUND(MatchData[[#this row],[ramparts sum]]/MatchData[[#this row],[ramparts avail count]],2),0)</f>
        <v>#VALUE!</v>
      </c>
      <c r="CV208" s="16" t="e">
        <f aca="false">IFERROR(ROUND(MatchData[[#this row],[drawbridge sum]]/MatchData[[#this row],[drawbridge avail countigh6]],2),0)</f>
        <v>#VALUE!</v>
      </c>
      <c r="CW208" s="16" t="e">
        <f aca="false">IFERROR(ROUND(MatchData[[#this row],[sally port sum]]/MatchData[[#this row],[sally port avail count]],2),0)</f>
        <v>#VALUE!</v>
      </c>
      <c r="CX208" s="5" t="e">
        <f aca="false">IFERROR(ROUND(MatchData[[#this row],[rock wall sum]]/MatchData[[#this row],[rock wall avail count]],2),0)</f>
        <v>#VALUE!</v>
      </c>
      <c r="CY208" s="5" t="e">
        <f aca="false">IFERROR(ROUND(MatchData[[#this row],[rough terrain sum]]/MatchData[[#this row],[rough terrain avail count]],2),0)</f>
        <v>#VALUE!</v>
      </c>
      <c r="CZ208" s="5" t="e">
        <f aca="false">IFERROR(ROUND(MatchData[[#this row],[low bar sum]]/MatchData[[#this row],[low bar avail count]],2),0)</f>
        <v>#VALUE!</v>
      </c>
      <c r="DA208" s="16" t="e">
        <f aca="false">SUM(MatchData[[#this row],[cheval sum]:[low bar sum]])/MatchData[match count]</f>
        <v>#VALUE!</v>
      </c>
      <c r="DB208" s="16" t="n">
        <f aca="false">MAX(IF(C$2:C$74=C208,BP$2:BP$74))</f>
        <v>-1.79769313486232E+308</v>
      </c>
      <c r="DC208" s="16" t="e">
        <f aca="false">AVERAGEIF(MatchData[team],MatchData[[#this row],[team]],MatchData[total score])</f>
        <v>#VALUE!</v>
      </c>
      <c r="DD208" s="16" t="e">
        <f aca="false">ROUND(AVERAGEIF(MatchData[team],MatchData[team],MatchData[climb or challenge flag]),2)</f>
        <v>#VALUE!</v>
      </c>
    </row>
    <row r="209" customFormat="false" ht="14.5" hidden="false" customHeight="false" outlineLevel="0" collapsed="false">
      <c r="A209" s="20" t="s">
        <v>108</v>
      </c>
      <c r="B209" s="22" t="n">
        <v>35</v>
      </c>
      <c r="C209" s="15" t="n">
        <v>955</v>
      </c>
      <c r="D209" s="5" t="s">
        <v>113</v>
      </c>
      <c r="E209" s="5" t="s">
        <v>139</v>
      </c>
      <c r="G209" s="16"/>
      <c r="I209" s="16"/>
      <c r="J209" s="5" t="n">
        <v>1</v>
      </c>
      <c r="K209" s="16" t="n">
        <v>1</v>
      </c>
      <c r="M209" s="5" t="n">
        <v>1</v>
      </c>
      <c r="N209" s="0"/>
      <c r="O209" s="0"/>
      <c r="P209" s="5" t="n">
        <v>1</v>
      </c>
      <c r="Q209" s="5" t="n">
        <v>1</v>
      </c>
      <c r="R209" s="0"/>
      <c r="S209" s="16" t="n">
        <v>1</v>
      </c>
      <c r="T209" s="0"/>
      <c r="U209" s="16"/>
      <c r="V209" s="16"/>
      <c r="W209" s="0"/>
      <c r="AD209" s="16"/>
      <c r="AE209" s="5"/>
      <c r="AF209" s="16"/>
      <c r="AG209" s="16"/>
      <c r="AH209" s="16"/>
      <c r="AJ209" s="16"/>
      <c r="AL209" s="16"/>
      <c r="AN209" s="16"/>
      <c r="AP209" s="16"/>
      <c r="AR209" s="16"/>
      <c r="AT209" s="16"/>
      <c r="AU209" s="16"/>
      <c r="AV209" s="16"/>
      <c r="AW209" s="16"/>
      <c r="AX209" s="16"/>
      <c r="AY209" s="16"/>
      <c r="AZ209" s="16" t="n">
        <v>1</v>
      </c>
      <c r="BB209" s="16" t="n">
        <v>1</v>
      </c>
      <c r="BC209" s="16" t="e">
        <f aca="false">MatchData[cheval scored crossings]*5</f>
        <v>#VALUE!</v>
      </c>
      <c r="BD209" s="16" t="e">
        <f aca="false">MatchData[moat scored crosings]*5</f>
        <v>#VALUE!</v>
      </c>
      <c r="BE209" s="16" t="e">
        <f aca="false">MatchData[ramparts scored crossings]*5</f>
        <v>#VALUE!</v>
      </c>
      <c r="BF209" s="16" t="e">
        <f aca="false">MatchData[drawbridge scored crossings]*5</f>
        <v>#VALUE!</v>
      </c>
      <c r="BG209" s="16" t="e">
        <f aca="false">MatchData[sally port scored crossings]*5</f>
        <v>#VALUE!</v>
      </c>
      <c r="BH209" s="16" t="e">
        <f aca="false">MatchData[rock wall scored crossings]*5</f>
        <v>#VALUE!</v>
      </c>
      <c r="BI209" s="16" t="e">
        <f aca="false">MatchData[rough terrain scored crossings]*5</f>
        <v>#VALUE!</v>
      </c>
      <c r="BJ209" s="16" t="e">
        <f aca="false">MatchData[low bar scored crossings]*5</f>
        <v>#VALUE!</v>
      </c>
      <c r="BK209" s="16" t="e">
        <f aca="false">SUM(MatchData[[#this row],[low bar teleop crossings]:[rough terrain scored crossings]])</f>
        <v>#VALUE!</v>
      </c>
      <c r="BL209" s="16" t="e">
        <f aca="false">IFERROR(IF(OR(MatchData[[#this row],[challenge flag]],MatchData[[#this row],[climb flag]]),1,0),0)</f>
        <v>#VALUE!</v>
      </c>
      <c r="BM209" s="16" t="e">
        <f aca="false">MatchData[auto high goals]*10+MatchData[teleop high goals]*5</f>
        <v>#VALUE!</v>
      </c>
      <c r="BN209" s="16" t="e">
        <f aca="false">MatchData[auto low goals]*5+MatchData[teleop low goals]*2</f>
        <v>#VALUE!</v>
      </c>
      <c r="BO209" s="16" t="e">
        <f aca="false">MatchData[high goal score]+MatchData[low goal score]</f>
        <v>#VALUE!</v>
      </c>
      <c r="BP209" s="16" t="e">
        <f aca="false">MatchData[teleop high goals]+MatchData[teleop low goals]</f>
        <v>#VALUE!</v>
      </c>
      <c r="BQ209" s="16" t="e">
        <f aca="false">MatchData[[#this row],[auto reach flag]]*2+SUM(MatchData[[#this row],[portcullis auto crossings]:[low bar auto crossings]])*10+MatchData[[#this row],[auto low goals]]*5+MatchData[auto high goals]*10</f>
        <v>#VALUE!</v>
      </c>
      <c r="BR209" s="16" t="e">
        <f aca="false">SUM(MatchData[[#this row],[cheval teleop crossing score]:[low bar teleop crossing score]])</f>
        <v>#VALUE!</v>
      </c>
      <c r="BS209" s="16" t="e">
        <f aca="false">SUMIF(MatchData[team],MatchData[[#this row],[team]],MatchData[total auto score])/MatchData[match count]</f>
        <v>#VALUE!</v>
      </c>
      <c r="BT209" s="16" t="e">
        <f aca="false">MatchData[challenge flag]*5</f>
        <v>#VALUE!</v>
      </c>
      <c r="BU209" s="16" t="e">
        <f aca="false">MatchData[climb flag]*15</f>
        <v>#VALUE!</v>
      </c>
      <c r="BV209" s="16" t="e">
        <f aca="false">SUM(MatchData[[#this row],[total goal score]],MatchData[[#this row],[crossing score]],MatchData[[#this row],[challenge score]],MatchData[[#this row],[climb score]],MatchData[[#this row],[total auto score]])</f>
        <v>#VALUE!</v>
      </c>
      <c r="BW209" s="16" t="e">
        <f aca="false">ROUND(SUMIF(MatchData[team],MatchData[[#this row],[team]],MatchData[teleop low goals])/COUNTIF(MatchData[team],MatchData[[#this row],[team]]),2)</f>
        <v>#VALUE!</v>
      </c>
      <c r="BX209" s="16" t="e">
        <f aca="false">ROUND(SUMIF(MatchData[team],MatchData[[#this row],[team]],MatchData[teleop high goals])/COUNTIF(MatchData[team],MatchData[[#this row],[team]]),2)</f>
        <v>#VALUE!</v>
      </c>
      <c r="BY209" s="16" t="e">
        <f aca="false">COUNTIF(MatchData[team],MatchData[[#this row],[team]])</f>
        <v>#VALUE!</v>
      </c>
      <c r="BZ209" s="16" t="e">
        <f aca="false">SUMIF(MatchData[team],MatchData[[#this row],[team]],MatchData[portcullis available])</f>
        <v>#VALUE!</v>
      </c>
      <c r="CA209" s="16" t="e">
        <f aca="false">SUMIF(MatchData[team],MatchData[[#this row],[team]],MatchData[cheval available])</f>
        <v>#VALUE!</v>
      </c>
      <c r="CB209" s="16" t="e">
        <f aca="false">SUMIF(MatchData[team],MatchData[[#this row],[team]],MatchData[moat available])</f>
        <v>#VALUE!</v>
      </c>
      <c r="CC209" s="16" t="e">
        <f aca="false">SUMIF(MatchData[team],MatchData[[#this row],[team]],MatchData[ramparts available])</f>
        <v>#VALUE!</v>
      </c>
      <c r="CD209" s="16" t="e">
        <f aca="false">SUMIF(MatchData[team],MatchData[[#this row],[team]],MatchData[drawbridge available])</f>
        <v>#VALUE!</v>
      </c>
      <c r="CE209" s="16" t="e">
        <f aca="false">SUMIF(MatchData[team],MatchData[[#this row],[team]],MatchData[sally port available])</f>
        <v>#VALUE!</v>
      </c>
      <c r="CF209" s="16" t="e">
        <f aca="false">SUMIF(MatchData[team],MatchData[[#this row],[team]],MatchData[rock wall available])</f>
        <v>#VALUE!</v>
      </c>
      <c r="CG209" s="16" t="e">
        <f aca="false">SUMIF(MatchData[team],MatchData[[#this row],[team]],MatchData[rough terrain available])</f>
        <v>#VALUE!</v>
      </c>
      <c r="CH209" s="16" t="e">
        <f aca="false">SUMIF(MatchData[team],MatchData[[#this row],[team]],MatchData[low bar available])</f>
        <v>#VALUE!</v>
      </c>
      <c r="CI209" s="16" t="e">
        <f aca="false">SUMIF(MatchData[team],MatchData[[#this row],[team]],MatchData[portcullis teleop crossings]:MatchData[portcullis scored crossings])</f>
        <v>#VALUE!</v>
      </c>
      <c r="CJ209" s="16" t="e">
        <f aca="false">SUMIF(MatchData[team],MatchData[[#this row],[team]],MatchData[cheval teleop crossings])+SUMIF(MatchData[team],MatchData[[#this row],[team]],MatchData[cheval scored crossings])</f>
        <v>#VALUE!</v>
      </c>
      <c r="CK209" s="16" t="e">
        <f aca="false">SUMIF(MatchData[team],MatchData[[#this row],[team]],MatchData[moat teleop crossings])+SUMIF(MatchData[team],MatchData[[#this row],[team]],MatchData[moat scored crosings])</f>
        <v>#VALUE!</v>
      </c>
      <c r="CL209" s="16" t="e">
        <f aca="false">SUMIF(MatchData[team],MatchData[[#this row],[team]],MatchData[ramparts teleop crossings])+SUMIF(MatchData[team],MatchData[[#this row],[team]],MatchData[ramparts scored crossings])</f>
        <v>#VALUE!</v>
      </c>
      <c r="CM209" s="16" t="e">
        <f aca="false">SUMIF(MatchData[team],MatchData[[#this row],[team]],MatchData[drawbridge teleop crossings])+SUMIF(MatchData[team],MatchData[[#this row],[team]],MatchData[drawbridge scored crossings])</f>
        <v>#VALUE!</v>
      </c>
      <c r="CN209" s="16" t="e">
        <f aca="false">SUMIF(MatchData[team],MatchData[[#this row],[team]],MatchData[sally port teleop crossings])+SUMIF(MatchData[team],MatchData[[#this row],[team]],MatchData[sally port scored crossings])</f>
        <v>#VALUE!</v>
      </c>
      <c r="CO209" s="16" t="e">
        <f aca="false">SUMIF(MatchData[team],MatchData[[#this row],[team]],MatchData[rock wall teleop crossings])+SUMIF(MatchData[team],MatchData[[#this row],[team]],MatchData[rock wall scored crossings])</f>
        <v>#VALUE!</v>
      </c>
      <c r="CP209" s="16" t="e">
        <f aca="false">SUMIF(MatchData[team],MatchData[[#this row],[team]],MatchData[rough terrain teleop crossings])+SUMIF(MatchData[team],MatchData[[#this row],[team]],MatchData[rough terrain scored crossings])</f>
        <v>#VALUE!</v>
      </c>
      <c r="CQ209" s="16" t="e">
        <f aca="false">SUMIF(MatchData[team],MatchData[[#this row],[team]],MatchData[low bar teleop crossings])+SUMIF(MatchData[team],MatchData[[#this row],[team]],MatchData[low bar scored crossings])</f>
        <v>#VALUE!</v>
      </c>
      <c r="CR209" s="16" t="e">
        <f aca="false">IFERROR(ROUND(MatchData[[#this row],[portcullis sum]]/MatchData[[#this row],[portcullis avail count]],2),0)</f>
        <v>#VALUE!</v>
      </c>
      <c r="CS209" s="16" t="e">
        <f aca="false">IFERROR(ROUND(MatchData[[#this row],[cheval sum]]/MatchData[[#this row],[cheval avail count]],2),0)</f>
        <v>#VALUE!</v>
      </c>
      <c r="CT209" s="16" t="e">
        <f aca="false">IFERROR(ROUND(MatchData[[#this row],[moat sum]]/MatchData[[#this row],[moat avail count]],2),0)</f>
        <v>#VALUE!</v>
      </c>
      <c r="CU209" s="16" t="e">
        <f aca="false">IFERROR(ROUND(MatchData[[#this row],[ramparts sum]]/MatchData[[#this row],[ramparts avail count]],2),0)</f>
        <v>#VALUE!</v>
      </c>
      <c r="CV209" s="16" t="e">
        <f aca="false">IFERROR(ROUND(MatchData[[#this row],[drawbridge sum]]/MatchData[[#this row],[drawbridge avail countigh6]],2),0)</f>
        <v>#VALUE!</v>
      </c>
      <c r="CW209" s="16" t="e">
        <f aca="false">IFERROR(ROUND(MatchData[[#this row],[sally port sum]]/MatchData[[#this row],[sally port avail count]],2),0)</f>
        <v>#VALUE!</v>
      </c>
      <c r="CX209" s="5" t="e">
        <f aca="false">IFERROR(ROUND(MatchData[[#this row],[rock wall sum]]/MatchData[[#this row],[rock wall avail count]],2),0)</f>
        <v>#VALUE!</v>
      </c>
      <c r="CY209" s="5" t="e">
        <f aca="false">IFERROR(ROUND(MatchData[[#this row],[rough terrain sum]]/MatchData[[#this row],[rough terrain avail count]],2),0)</f>
        <v>#VALUE!</v>
      </c>
      <c r="CZ209" s="5" t="e">
        <f aca="false">IFERROR(ROUND(MatchData[[#this row],[low bar sum]]/MatchData[[#this row],[low bar avail count]],2),0)</f>
        <v>#VALUE!</v>
      </c>
      <c r="DA209" s="16" t="e">
        <f aca="false">SUM(MatchData[[#this row],[cheval sum]:[low bar sum]])/MatchData[match count]</f>
        <v>#VALUE!</v>
      </c>
      <c r="DB209" s="16" t="n">
        <f aca="false">MAX(IF(C$2:C$74=C209,BP$2:BP$74))</f>
        <v>-1.79769313486232E+308</v>
      </c>
      <c r="DC209" s="16" t="e">
        <f aca="false">AVERAGEIF(MatchData[team],MatchData[[#this row],[team]],MatchData[total score])</f>
        <v>#VALUE!</v>
      </c>
      <c r="DD209" s="16" t="e">
        <f aca="false">ROUND(AVERAGEIF(MatchData[team],MatchData[team],MatchData[climb or challenge flag]),2)</f>
        <v>#VALUE!</v>
      </c>
    </row>
    <row r="210" customFormat="false" ht="14.5" hidden="false" customHeight="false" outlineLevel="0" collapsed="false">
      <c r="A210" s="20" t="s">
        <v>108</v>
      </c>
      <c r="B210" s="21" t="n">
        <v>35</v>
      </c>
      <c r="C210" s="15" t="n">
        <v>4110</v>
      </c>
      <c r="D210" s="5" t="s">
        <v>113</v>
      </c>
      <c r="E210" s="5" t="s">
        <v>143</v>
      </c>
      <c r="G210" s="16"/>
      <c r="I210" s="16"/>
      <c r="J210" s="5" t="n">
        <v>1</v>
      </c>
      <c r="K210" s="16" t="n">
        <v>1</v>
      </c>
      <c r="M210" s="5" t="n">
        <v>1</v>
      </c>
      <c r="N210" s="0"/>
      <c r="O210" s="0"/>
      <c r="P210" s="5" t="n">
        <v>1</v>
      </c>
      <c r="Q210" s="5" t="n">
        <v>1</v>
      </c>
      <c r="R210" s="0"/>
      <c r="S210" s="16"/>
      <c r="T210" s="0"/>
      <c r="U210" s="16"/>
      <c r="V210" s="16" t="n">
        <v>1</v>
      </c>
      <c r="W210" s="0"/>
      <c r="AC210" s="5" t="n">
        <v>1</v>
      </c>
      <c r="AD210" s="16"/>
      <c r="AE210" s="5"/>
      <c r="AF210" s="16" t="n">
        <v>2</v>
      </c>
      <c r="AG210" s="16"/>
      <c r="AH210" s="16"/>
      <c r="AJ210" s="16" t="n">
        <v>1</v>
      </c>
      <c r="AL210" s="16"/>
      <c r="AN210" s="16"/>
      <c r="AP210" s="16"/>
      <c r="AR210" s="16"/>
      <c r="AT210" s="16"/>
      <c r="AU210" s="16"/>
      <c r="AV210" s="16"/>
      <c r="AW210" s="16" t="n">
        <v>1</v>
      </c>
      <c r="AX210" s="16"/>
      <c r="AY210" s="16"/>
      <c r="AZ210" s="16"/>
      <c r="BB210" s="16" t="n">
        <v>1</v>
      </c>
      <c r="BC210" s="16" t="e">
        <f aca="false">MatchData[cheval scored crossings]*5</f>
        <v>#VALUE!</v>
      </c>
      <c r="BD210" s="16" t="e">
        <f aca="false">MatchData[moat scored crosings]*5</f>
        <v>#VALUE!</v>
      </c>
      <c r="BE210" s="16" t="e">
        <f aca="false">MatchData[ramparts scored crossings]*5</f>
        <v>#VALUE!</v>
      </c>
      <c r="BF210" s="16" t="e">
        <f aca="false">MatchData[drawbridge scored crossings]*5</f>
        <v>#VALUE!</v>
      </c>
      <c r="BG210" s="16" t="e">
        <f aca="false">MatchData[sally port scored crossings]*5</f>
        <v>#VALUE!</v>
      </c>
      <c r="BH210" s="16" t="e">
        <f aca="false">MatchData[rock wall scored crossings]*5</f>
        <v>#VALUE!</v>
      </c>
      <c r="BI210" s="16" t="e">
        <f aca="false">MatchData[rough terrain scored crossings]*5</f>
        <v>#VALUE!</v>
      </c>
      <c r="BJ210" s="16" t="e">
        <f aca="false">MatchData[low bar scored crossings]*5</f>
        <v>#VALUE!</v>
      </c>
      <c r="BK210" s="16" t="e">
        <f aca="false">SUM(MatchData[[#this row],[low bar teleop crossings]:[rough terrain scored crossings]])</f>
        <v>#VALUE!</v>
      </c>
      <c r="BL210" s="16" t="e">
        <f aca="false">IFERROR(IF(OR(MatchData[[#this row],[challenge flag]],MatchData[[#this row],[climb flag]]),1,0),0)</f>
        <v>#VALUE!</v>
      </c>
      <c r="BM210" s="16" t="e">
        <f aca="false">MatchData[auto high goals]*10+MatchData[teleop high goals]*5</f>
        <v>#VALUE!</v>
      </c>
      <c r="BN210" s="16" t="e">
        <f aca="false">MatchData[auto low goals]*5+MatchData[teleop low goals]*2</f>
        <v>#VALUE!</v>
      </c>
      <c r="BO210" s="16" t="e">
        <f aca="false">MatchData[high goal score]+MatchData[low goal score]</f>
        <v>#VALUE!</v>
      </c>
      <c r="BP210" s="16" t="e">
        <f aca="false">MatchData[teleop high goals]+MatchData[teleop low goals]</f>
        <v>#VALUE!</v>
      </c>
      <c r="BQ210" s="16" t="e">
        <f aca="false">MatchData[[#this row],[auto reach flag]]*2+SUM(MatchData[[#this row],[portcullis auto crossings]:[low bar auto crossings]])*10+MatchData[[#this row],[auto low goals]]*5+MatchData[auto high goals]*10</f>
        <v>#VALUE!</v>
      </c>
      <c r="BR210" s="16" t="e">
        <f aca="false">SUM(MatchData[[#this row],[cheval teleop crossing score]:[low bar teleop crossing score]])</f>
        <v>#VALUE!</v>
      </c>
      <c r="BS210" s="16" t="e">
        <f aca="false">SUMIF(MatchData[team],MatchData[[#this row],[team]],MatchData[total auto score])/MatchData[match count]</f>
        <v>#VALUE!</v>
      </c>
      <c r="BT210" s="16" t="e">
        <f aca="false">MatchData[challenge flag]*5</f>
        <v>#VALUE!</v>
      </c>
      <c r="BU210" s="16" t="e">
        <f aca="false">MatchData[climb flag]*15</f>
        <v>#VALUE!</v>
      </c>
      <c r="BV210" s="16" t="e">
        <f aca="false">SUM(MatchData[[#this row],[total goal score]],MatchData[[#this row],[crossing score]],MatchData[[#this row],[challenge score]],MatchData[[#this row],[climb score]],MatchData[[#this row],[total auto score]])</f>
        <v>#VALUE!</v>
      </c>
      <c r="BW210" s="16" t="e">
        <f aca="false">ROUND(SUMIF(MatchData[team],MatchData[[#this row],[team]],MatchData[teleop low goals])/COUNTIF(MatchData[team],MatchData[[#this row],[team]]),2)</f>
        <v>#VALUE!</v>
      </c>
      <c r="BX210" s="16" t="e">
        <f aca="false">ROUND(SUMIF(MatchData[team],MatchData[[#this row],[team]],MatchData[teleop high goals])/COUNTIF(MatchData[team],MatchData[[#this row],[team]]),2)</f>
        <v>#VALUE!</v>
      </c>
      <c r="BY210" s="16" t="e">
        <f aca="false">COUNTIF(MatchData[team],MatchData[[#this row],[team]])</f>
        <v>#VALUE!</v>
      </c>
      <c r="BZ210" s="16" t="e">
        <f aca="false">SUMIF(MatchData[team],MatchData[[#this row],[team]],MatchData[portcullis available])</f>
        <v>#VALUE!</v>
      </c>
      <c r="CA210" s="16" t="e">
        <f aca="false">SUMIF(MatchData[team],MatchData[[#this row],[team]],MatchData[cheval available])</f>
        <v>#VALUE!</v>
      </c>
      <c r="CB210" s="16" t="e">
        <f aca="false">SUMIF(MatchData[team],MatchData[[#this row],[team]],MatchData[moat available])</f>
        <v>#VALUE!</v>
      </c>
      <c r="CC210" s="16" t="e">
        <f aca="false">SUMIF(MatchData[team],MatchData[[#this row],[team]],MatchData[ramparts available])</f>
        <v>#VALUE!</v>
      </c>
      <c r="CD210" s="16" t="e">
        <f aca="false">SUMIF(MatchData[team],MatchData[[#this row],[team]],MatchData[drawbridge available])</f>
        <v>#VALUE!</v>
      </c>
      <c r="CE210" s="16" t="e">
        <f aca="false">SUMIF(MatchData[team],MatchData[[#this row],[team]],MatchData[sally port available])</f>
        <v>#VALUE!</v>
      </c>
      <c r="CF210" s="16" t="e">
        <f aca="false">SUMIF(MatchData[team],MatchData[[#this row],[team]],MatchData[rock wall available])</f>
        <v>#VALUE!</v>
      </c>
      <c r="CG210" s="16" t="e">
        <f aca="false">SUMIF(MatchData[team],MatchData[[#this row],[team]],MatchData[rough terrain available])</f>
        <v>#VALUE!</v>
      </c>
      <c r="CH210" s="16" t="e">
        <f aca="false">SUMIF(MatchData[team],MatchData[[#this row],[team]],MatchData[low bar available])</f>
        <v>#VALUE!</v>
      </c>
      <c r="CI210" s="16" t="e">
        <f aca="false">SUMIF(MatchData[team],MatchData[[#this row],[team]],MatchData[portcullis teleop crossings]:MatchData[portcullis scored crossings])</f>
        <v>#VALUE!</v>
      </c>
      <c r="CJ210" s="16" t="e">
        <f aca="false">SUMIF(MatchData[team],MatchData[[#this row],[team]],MatchData[cheval teleop crossings])+SUMIF(MatchData[team],MatchData[[#this row],[team]],MatchData[cheval scored crossings])</f>
        <v>#VALUE!</v>
      </c>
      <c r="CK210" s="16" t="e">
        <f aca="false">SUMIF(MatchData[team],MatchData[[#this row],[team]],MatchData[moat teleop crossings])+SUMIF(MatchData[team],MatchData[[#this row],[team]],MatchData[moat scored crosings])</f>
        <v>#VALUE!</v>
      </c>
      <c r="CL210" s="16" t="e">
        <f aca="false">SUMIF(MatchData[team],MatchData[[#this row],[team]],MatchData[ramparts teleop crossings])+SUMIF(MatchData[team],MatchData[[#this row],[team]],MatchData[ramparts scored crossings])</f>
        <v>#VALUE!</v>
      </c>
      <c r="CM210" s="16" t="e">
        <f aca="false">SUMIF(MatchData[team],MatchData[[#this row],[team]],MatchData[drawbridge teleop crossings])+SUMIF(MatchData[team],MatchData[[#this row],[team]],MatchData[drawbridge scored crossings])</f>
        <v>#VALUE!</v>
      </c>
      <c r="CN210" s="16" t="e">
        <f aca="false">SUMIF(MatchData[team],MatchData[[#this row],[team]],MatchData[sally port teleop crossings])+SUMIF(MatchData[team],MatchData[[#this row],[team]],MatchData[sally port scored crossings])</f>
        <v>#VALUE!</v>
      </c>
      <c r="CO210" s="16" t="e">
        <f aca="false">SUMIF(MatchData[team],MatchData[[#this row],[team]],MatchData[rock wall teleop crossings])+SUMIF(MatchData[team],MatchData[[#this row],[team]],MatchData[rock wall scored crossings])</f>
        <v>#VALUE!</v>
      </c>
      <c r="CP210" s="16" t="e">
        <f aca="false">SUMIF(MatchData[team],MatchData[[#this row],[team]],MatchData[rough terrain teleop crossings])+SUMIF(MatchData[team],MatchData[[#this row],[team]],MatchData[rough terrain scored crossings])</f>
        <v>#VALUE!</v>
      </c>
      <c r="CQ210" s="16" t="e">
        <f aca="false">SUMIF(MatchData[team],MatchData[[#this row],[team]],MatchData[low bar teleop crossings])+SUMIF(MatchData[team],MatchData[[#this row],[team]],MatchData[low bar scored crossings])</f>
        <v>#VALUE!</v>
      </c>
      <c r="CR210" s="16" t="e">
        <f aca="false">IFERROR(ROUND(MatchData[[#this row],[portcullis sum]]/MatchData[[#this row],[portcullis avail count]],2),0)</f>
        <v>#VALUE!</v>
      </c>
      <c r="CS210" s="16" t="e">
        <f aca="false">IFERROR(ROUND(MatchData[[#this row],[cheval sum]]/MatchData[[#this row],[cheval avail count]],2),0)</f>
        <v>#VALUE!</v>
      </c>
      <c r="CT210" s="16" t="e">
        <f aca="false">IFERROR(ROUND(MatchData[[#this row],[moat sum]]/MatchData[[#this row],[moat avail count]],2),0)</f>
        <v>#VALUE!</v>
      </c>
      <c r="CU210" s="16" t="e">
        <f aca="false">IFERROR(ROUND(MatchData[[#this row],[ramparts sum]]/MatchData[[#this row],[ramparts avail count]],2),0)</f>
        <v>#VALUE!</v>
      </c>
      <c r="CV210" s="16" t="e">
        <f aca="false">IFERROR(ROUND(MatchData[[#this row],[drawbridge sum]]/MatchData[[#this row],[drawbridge avail countigh6]],2),0)</f>
        <v>#VALUE!</v>
      </c>
      <c r="CW210" s="16" t="e">
        <f aca="false">IFERROR(ROUND(MatchData[[#this row],[sally port sum]]/MatchData[[#this row],[sally port avail count]],2),0)</f>
        <v>#VALUE!</v>
      </c>
      <c r="CX210" s="5" t="e">
        <f aca="false">IFERROR(ROUND(MatchData[[#this row],[rock wall sum]]/MatchData[[#this row],[rock wall avail count]],2),0)</f>
        <v>#VALUE!</v>
      </c>
      <c r="CY210" s="5" t="e">
        <f aca="false">IFERROR(ROUND(MatchData[[#this row],[rough terrain sum]]/MatchData[[#this row],[rough terrain avail count]],2),0)</f>
        <v>#VALUE!</v>
      </c>
      <c r="CZ210" s="5" t="e">
        <f aca="false">IFERROR(ROUND(MatchData[[#this row],[low bar sum]]/MatchData[[#this row],[low bar avail count]],2),0)</f>
        <v>#VALUE!</v>
      </c>
      <c r="DA210" s="16" t="e">
        <f aca="false">SUM(MatchData[[#this row],[cheval sum]:[low bar sum]])/MatchData[match count]</f>
        <v>#VALUE!</v>
      </c>
      <c r="DB210" s="16" t="n">
        <f aca="false">MAX(IF(C$2:C$74=C210,BP$2:BP$74))</f>
        <v>-1.79769313486232E+308</v>
      </c>
      <c r="DC210" s="16" t="e">
        <f aca="false">AVERAGEIF(MatchData[team],MatchData[[#this row],[team]],MatchData[total score])</f>
        <v>#VALUE!</v>
      </c>
      <c r="DD210" s="16" t="e">
        <f aca="false">ROUND(AVERAGEIF(MatchData[team],MatchData[team],MatchData[climb or challenge flag]),2)</f>
        <v>#VALUE!</v>
      </c>
    </row>
    <row r="211" customFormat="false" ht="14.5" hidden="false" customHeight="false" outlineLevel="0" collapsed="false">
      <c r="A211" s="20" t="s">
        <v>108</v>
      </c>
      <c r="B211" s="22" t="n">
        <v>35</v>
      </c>
      <c r="C211" s="15" t="n">
        <v>4662</v>
      </c>
      <c r="D211" s="5" t="s">
        <v>113</v>
      </c>
      <c r="E211" s="5" t="s">
        <v>135</v>
      </c>
      <c r="G211" s="16"/>
      <c r="I211" s="16"/>
      <c r="J211" s="5" t="n">
        <v>1</v>
      </c>
      <c r="K211" s="16" t="n">
        <v>1</v>
      </c>
      <c r="M211" s="5" t="n">
        <v>1</v>
      </c>
      <c r="N211" s="0"/>
      <c r="O211" s="0"/>
      <c r="P211" s="5" t="n">
        <v>1</v>
      </c>
      <c r="Q211" s="5" t="n">
        <v>1</v>
      </c>
      <c r="R211" s="0"/>
      <c r="S211" s="16"/>
      <c r="T211" s="0"/>
      <c r="U211" s="16"/>
      <c r="V211" s="16"/>
      <c r="W211" s="0"/>
      <c r="AB211" s="5" t="n">
        <v>1</v>
      </c>
      <c r="AC211" s="5" t="n">
        <v>1</v>
      </c>
      <c r="AD211" s="16"/>
      <c r="AE211" s="5"/>
      <c r="AF211" s="16"/>
      <c r="AG211" s="16"/>
      <c r="AH211" s="16"/>
      <c r="AJ211" s="16" t="n">
        <v>1</v>
      </c>
      <c r="AL211" s="16"/>
      <c r="AN211" s="16"/>
      <c r="AP211" s="16" t="n">
        <v>1</v>
      </c>
      <c r="AR211" s="16" t="n">
        <v>2</v>
      </c>
      <c r="AT211" s="16"/>
      <c r="AU211" s="16"/>
      <c r="AV211" s="16"/>
      <c r="AW211" s="16" t="n">
        <v>1</v>
      </c>
      <c r="AX211" s="16"/>
      <c r="AY211" s="16"/>
      <c r="AZ211" s="16"/>
      <c r="BB211" s="16"/>
      <c r="BC211" s="16" t="e">
        <f aca="false">MatchData[cheval scored crossings]*5</f>
        <v>#VALUE!</v>
      </c>
      <c r="BD211" s="16" t="e">
        <f aca="false">MatchData[moat scored crosings]*5</f>
        <v>#VALUE!</v>
      </c>
      <c r="BE211" s="16" t="e">
        <f aca="false">MatchData[ramparts scored crossings]*5</f>
        <v>#VALUE!</v>
      </c>
      <c r="BF211" s="16" t="e">
        <f aca="false">MatchData[drawbridge scored crossings]*5</f>
        <v>#VALUE!</v>
      </c>
      <c r="BG211" s="16" t="e">
        <f aca="false">MatchData[sally port scored crossings]*5</f>
        <v>#VALUE!</v>
      </c>
      <c r="BH211" s="16" t="e">
        <f aca="false">MatchData[rock wall scored crossings]*5</f>
        <v>#VALUE!</v>
      </c>
      <c r="BI211" s="16" t="e">
        <f aca="false">MatchData[rough terrain scored crossings]*5</f>
        <v>#VALUE!</v>
      </c>
      <c r="BJ211" s="16" t="e">
        <f aca="false">MatchData[low bar scored crossings]*5</f>
        <v>#VALUE!</v>
      </c>
      <c r="BK211" s="16" t="e">
        <f aca="false">SUM(MatchData[[#this row],[low bar teleop crossings]:[rough terrain scored crossings]])</f>
        <v>#VALUE!</v>
      </c>
      <c r="BL211" s="16" t="e">
        <f aca="false">IFERROR(IF(OR(MatchData[[#this row],[challenge flag]],MatchData[[#this row],[climb flag]]),1,0),0)</f>
        <v>#VALUE!</v>
      </c>
      <c r="BM211" s="16" t="e">
        <f aca="false">MatchData[auto high goals]*10+MatchData[teleop high goals]*5</f>
        <v>#VALUE!</v>
      </c>
      <c r="BN211" s="16" t="e">
        <f aca="false">MatchData[auto low goals]*5+MatchData[teleop low goals]*2</f>
        <v>#VALUE!</v>
      </c>
      <c r="BO211" s="16" t="e">
        <f aca="false">MatchData[high goal score]+MatchData[low goal score]</f>
        <v>#VALUE!</v>
      </c>
      <c r="BP211" s="16" t="e">
        <f aca="false">MatchData[teleop high goals]+MatchData[teleop low goals]</f>
        <v>#VALUE!</v>
      </c>
      <c r="BQ211" s="16" t="e">
        <f aca="false">MatchData[[#this row],[auto reach flag]]*2+SUM(MatchData[[#this row],[portcullis auto crossings]:[low bar auto crossings]])*10+MatchData[[#this row],[auto low goals]]*5+MatchData[auto high goals]*10</f>
        <v>#VALUE!</v>
      </c>
      <c r="BR211" s="16" t="e">
        <f aca="false">SUM(MatchData[[#this row],[cheval teleop crossing score]:[low bar teleop crossing score]])</f>
        <v>#VALUE!</v>
      </c>
      <c r="BS211" s="16" t="e">
        <f aca="false">SUMIF(MatchData[team],MatchData[[#this row],[team]],MatchData[total auto score])/MatchData[match count]</f>
        <v>#VALUE!</v>
      </c>
      <c r="BT211" s="16" t="e">
        <f aca="false">MatchData[challenge flag]*5</f>
        <v>#VALUE!</v>
      </c>
      <c r="BU211" s="16" t="e">
        <f aca="false">MatchData[climb flag]*15</f>
        <v>#VALUE!</v>
      </c>
      <c r="BV211" s="16" t="e">
        <f aca="false">SUM(MatchData[[#this row],[total goal score]],MatchData[[#this row],[crossing score]],MatchData[[#this row],[challenge score]],MatchData[[#this row],[climb score]],MatchData[[#this row],[total auto score]])</f>
        <v>#VALUE!</v>
      </c>
      <c r="BW211" s="16" t="e">
        <f aca="false">ROUND(SUMIF(MatchData[team],MatchData[[#this row],[team]],MatchData[teleop low goals])/COUNTIF(MatchData[team],MatchData[[#this row],[team]]),2)</f>
        <v>#VALUE!</v>
      </c>
      <c r="BX211" s="16" t="e">
        <f aca="false">ROUND(SUMIF(MatchData[team],MatchData[[#this row],[team]],MatchData[teleop high goals])/COUNTIF(MatchData[team],MatchData[[#this row],[team]]),2)</f>
        <v>#VALUE!</v>
      </c>
      <c r="BY211" s="16" t="e">
        <f aca="false">COUNTIF(MatchData[team],MatchData[[#this row],[team]])</f>
        <v>#VALUE!</v>
      </c>
      <c r="BZ211" s="16" t="e">
        <f aca="false">SUMIF(MatchData[team],MatchData[[#this row],[team]],MatchData[portcullis available])</f>
        <v>#VALUE!</v>
      </c>
      <c r="CA211" s="16" t="e">
        <f aca="false">SUMIF(MatchData[team],MatchData[[#this row],[team]],MatchData[cheval available])</f>
        <v>#VALUE!</v>
      </c>
      <c r="CB211" s="16" t="e">
        <f aca="false">SUMIF(MatchData[team],MatchData[[#this row],[team]],MatchData[moat available])</f>
        <v>#VALUE!</v>
      </c>
      <c r="CC211" s="16" t="e">
        <f aca="false">SUMIF(MatchData[team],MatchData[[#this row],[team]],MatchData[ramparts available])</f>
        <v>#VALUE!</v>
      </c>
      <c r="CD211" s="16" t="e">
        <f aca="false">SUMIF(MatchData[team],MatchData[[#this row],[team]],MatchData[drawbridge available])</f>
        <v>#VALUE!</v>
      </c>
      <c r="CE211" s="16" t="e">
        <f aca="false">SUMIF(MatchData[team],MatchData[[#this row],[team]],MatchData[sally port available])</f>
        <v>#VALUE!</v>
      </c>
      <c r="CF211" s="16" t="e">
        <f aca="false">SUMIF(MatchData[team],MatchData[[#this row],[team]],MatchData[rock wall available])</f>
        <v>#VALUE!</v>
      </c>
      <c r="CG211" s="16" t="e">
        <f aca="false">SUMIF(MatchData[team],MatchData[[#this row],[team]],MatchData[rough terrain available])</f>
        <v>#VALUE!</v>
      </c>
      <c r="CH211" s="16" t="e">
        <f aca="false">SUMIF(MatchData[team],MatchData[[#this row],[team]],MatchData[low bar available])</f>
        <v>#VALUE!</v>
      </c>
      <c r="CI211" s="16" t="e">
        <f aca="false">SUMIF(MatchData[team],MatchData[[#this row],[team]],MatchData[portcullis teleop crossings]:MatchData[portcullis scored crossings])</f>
        <v>#VALUE!</v>
      </c>
      <c r="CJ211" s="16" t="e">
        <f aca="false">SUMIF(MatchData[team],MatchData[[#this row],[team]],MatchData[cheval teleop crossings])+SUMIF(MatchData[team],MatchData[[#this row],[team]],MatchData[cheval scored crossings])</f>
        <v>#VALUE!</v>
      </c>
      <c r="CK211" s="16" t="e">
        <f aca="false">SUMIF(MatchData[team],MatchData[[#this row],[team]],MatchData[moat teleop crossings])+SUMIF(MatchData[team],MatchData[[#this row],[team]],MatchData[moat scored crosings])</f>
        <v>#VALUE!</v>
      </c>
      <c r="CL211" s="16" t="e">
        <f aca="false">SUMIF(MatchData[team],MatchData[[#this row],[team]],MatchData[ramparts teleop crossings])+SUMIF(MatchData[team],MatchData[[#this row],[team]],MatchData[ramparts scored crossings])</f>
        <v>#VALUE!</v>
      </c>
      <c r="CM211" s="16" t="e">
        <f aca="false">SUMIF(MatchData[team],MatchData[[#this row],[team]],MatchData[drawbridge teleop crossings])+SUMIF(MatchData[team],MatchData[[#this row],[team]],MatchData[drawbridge scored crossings])</f>
        <v>#VALUE!</v>
      </c>
      <c r="CN211" s="16" t="e">
        <f aca="false">SUMIF(MatchData[team],MatchData[[#this row],[team]],MatchData[sally port teleop crossings])+SUMIF(MatchData[team],MatchData[[#this row],[team]],MatchData[sally port scored crossings])</f>
        <v>#VALUE!</v>
      </c>
      <c r="CO211" s="16" t="e">
        <f aca="false">SUMIF(MatchData[team],MatchData[[#this row],[team]],MatchData[rock wall teleop crossings])+SUMIF(MatchData[team],MatchData[[#this row],[team]],MatchData[rock wall scored crossings])</f>
        <v>#VALUE!</v>
      </c>
      <c r="CP211" s="16" t="e">
        <f aca="false">SUMIF(MatchData[team],MatchData[[#this row],[team]],MatchData[rough terrain teleop crossings])+SUMIF(MatchData[team],MatchData[[#this row],[team]],MatchData[rough terrain scored crossings])</f>
        <v>#VALUE!</v>
      </c>
      <c r="CQ211" s="16" t="e">
        <f aca="false">SUMIF(MatchData[team],MatchData[[#this row],[team]],MatchData[low bar teleop crossings])+SUMIF(MatchData[team],MatchData[[#this row],[team]],MatchData[low bar scored crossings])</f>
        <v>#VALUE!</v>
      </c>
      <c r="CR211" s="16" t="e">
        <f aca="false">IFERROR(ROUND(MatchData[[#this row],[portcullis sum]]/MatchData[[#this row],[portcullis avail count]],2),0)</f>
        <v>#VALUE!</v>
      </c>
      <c r="CS211" s="16" t="e">
        <f aca="false">IFERROR(ROUND(MatchData[[#this row],[cheval sum]]/MatchData[[#this row],[cheval avail count]],2),0)</f>
        <v>#VALUE!</v>
      </c>
      <c r="CT211" s="16" t="e">
        <f aca="false">IFERROR(ROUND(MatchData[[#this row],[moat sum]]/MatchData[[#this row],[moat avail count]],2),0)</f>
        <v>#VALUE!</v>
      </c>
      <c r="CU211" s="16" t="e">
        <f aca="false">IFERROR(ROUND(MatchData[[#this row],[ramparts sum]]/MatchData[[#this row],[ramparts avail count]],2),0)</f>
        <v>#VALUE!</v>
      </c>
      <c r="CV211" s="16" t="e">
        <f aca="false">IFERROR(ROUND(MatchData[[#this row],[drawbridge sum]]/MatchData[[#this row],[drawbridge avail countigh6]],2),0)</f>
        <v>#VALUE!</v>
      </c>
      <c r="CW211" s="16" t="e">
        <f aca="false">IFERROR(ROUND(MatchData[[#this row],[sally port sum]]/MatchData[[#this row],[sally port avail count]],2),0)</f>
        <v>#VALUE!</v>
      </c>
      <c r="CX211" s="5" t="e">
        <f aca="false">IFERROR(ROUND(MatchData[[#this row],[rock wall sum]]/MatchData[[#this row],[rock wall avail count]],2),0)</f>
        <v>#VALUE!</v>
      </c>
      <c r="CY211" s="5" t="e">
        <f aca="false">IFERROR(ROUND(MatchData[[#this row],[rough terrain sum]]/MatchData[[#this row],[rough terrain avail count]],2),0)</f>
        <v>#VALUE!</v>
      </c>
      <c r="CZ211" s="5" t="e">
        <f aca="false">IFERROR(ROUND(MatchData[[#this row],[low bar sum]]/MatchData[[#this row],[low bar avail count]],2),0)</f>
        <v>#VALUE!</v>
      </c>
      <c r="DA211" s="16" t="e">
        <f aca="false">SUM(MatchData[[#this row],[cheval sum]:[low bar sum]])/MatchData[match count]</f>
        <v>#VALUE!</v>
      </c>
      <c r="DB211" s="16" t="n">
        <f aca="false">MAX(IF(C$2:C$74=C211,BP$2:BP$74))</f>
        <v>-1.79769313486232E+308</v>
      </c>
      <c r="DC211" s="16" t="e">
        <f aca="false">AVERAGEIF(MatchData[team],MatchData[[#this row],[team]],MatchData[total score])</f>
        <v>#VALUE!</v>
      </c>
      <c r="DD211" s="16" t="e">
        <f aca="false">ROUND(AVERAGEIF(MatchData[team],MatchData[team],MatchData[climb or challenge flag]),2)</f>
        <v>#VALUE!</v>
      </c>
    </row>
    <row r="212" customFormat="false" ht="14.5" hidden="false" customHeight="false" outlineLevel="0" collapsed="false">
      <c r="A212" s="20" t="s">
        <v>108</v>
      </c>
      <c r="B212" s="21" t="n">
        <v>36</v>
      </c>
      <c r="C212" s="15" t="n">
        <v>1571</v>
      </c>
      <c r="D212" s="5" t="s">
        <v>109</v>
      </c>
      <c r="E212" s="5" t="s">
        <v>135</v>
      </c>
      <c r="G212" s="16"/>
      <c r="I212" s="16"/>
      <c r="J212" s="5" t="n">
        <v>1</v>
      </c>
      <c r="K212" s="16"/>
      <c r="L212" s="5" t="n">
        <v>1</v>
      </c>
      <c r="M212" s="5" t="n">
        <v>1</v>
      </c>
      <c r="N212" s="0"/>
      <c r="O212" s="0"/>
      <c r="P212" s="5" t="n">
        <v>1</v>
      </c>
      <c r="Q212" s="0"/>
      <c r="R212" s="5" t="n">
        <v>1</v>
      </c>
      <c r="S212" s="16"/>
      <c r="T212" s="0"/>
      <c r="U212" s="16"/>
      <c r="V212" s="16"/>
      <c r="W212" s="0"/>
      <c r="AC212" s="5" t="n">
        <v>1</v>
      </c>
      <c r="AD212" s="16"/>
      <c r="AE212" s="5"/>
      <c r="AF212" s="16"/>
      <c r="AG212" s="16"/>
      <c r="AH212" s="16"/>
      <c r="AJ212" s="16"/>
      <c r="AL212" s="16"/>
      <c r="AN212" s="16"/>
      <c r="AP212" s="16"/>
      <c r="AR212" s="16"/>
      <c r="AT212" s="16" t="n">
        <v>1</v>
      </c>
      <c r="AU212" s="16"/>
      <c r="AV212" s="16"/>
      <c r="AW212" s="16" t="n">
        <v>1</v>
      </c>
      <c r="AX212" s="16"/>
      <c r="AY212" s="16"/>
      <c r="AZ212" s="16"/>
      <c r="BA212" s="5" t="n">
        <v>1</v>
      </c>
      <c r="BB212" s="16" t="n">
        <v>1</v>
      </c>
      <c r="BC212" s="16" t="e">
        <f aca="false">MatchData[cheval scored crossings]*5</f>
        <v>#VALUE!</v>
      </c>
      <c r="BD212" s="16" t="e">
        <f aca="false">MatchData[moat scored crosings]*5</f>
        <v>#VALUE!</v>
      </c>
      <c r="BE212" s="16" t="e">
        <f aca="false">MatchData[ramparts scored crossings]*5</f>
        <v>#VALUE!</v>
      </c>
      <c r="BF212" s="16" t="e">
        <f aca="false">MatchData[drawbridge scored crossings]*5</f>
        <v>#VALUE!</v>
      </c>
      <c r="BG212" s="16" t="e">
        <f aca="false">MatchData[sally port scored crossings]*5</f>
        <v>#VALUE!</v>
      </c>
      <c r="BH212" s="16" t="e">
        <f aca="false">MatchData[rock wall scored crossings]*5</f>
        <v>#VALUE!</v>
      </c>
      <c r="BI212" s="16" t="e">
        <f aca="false">MatchData[rough terrain scored crossings]*5</f>
        <v>#VALUE!</v>
      </c>
      <c r="BJ212" s="16" t="e">
        <f aca="false">MatchData[low bar scored crossings]*5</f>
        <v>#VALUE!</v>
      </c>
      <c r="BK212" s="16" t="e">
        <f aca="false">SUM(MatchData[[#this row],[low bar teleop crossings]:[rough terrain scored crossings]])</f>
        <v>#VALUE!</v>
      </c>
      <c r="BL212" s="16" t="e">
        <f aca="false">IFERROR(IF(OR(MatchData[[#this row],[challenge flag]],MatchData[[#this row],[climb flag]]),1,0),0)</f>
        <v>#VALUE!</v>
      </c>
      <c r="BM212" s="16" t="e">
        <f aca="false">MatchData[auto high goals]*10+MatchData[teleop high goals]*5</f>
        <v>#VALUE!</v>
      </c>
      <c r="BN212" s="16" t="e">
        <f aca="false">MatchData[auto low goals]*5+MatchData[teleop low goals]*2</f>
        <v>#VALUE!</v>
      </c>
      <c r="BO212" s="16" t="e">
        <f aca="false">MatchData[high goal score]+MatchData[low goal score]</f>
        <v>#VALUE!</v>
      </c>
      <c r="BP212" s="16" t="e">
        <f aca="false">MatchData[teleop high goals]+MatchData[teleop low goals]</f>
        <v>#VALUE!</v>
      </c>
      <c r="BQ212" s="16" t="e">
        <f aca="false">MatchData[[#this row],[auto reach flag]]*2+SUM(MatchData[[#this row],[portcullis auto crossings]:[low bar auto crossings]])*10+MatchData[[#this row],[auto low goals]]*5+MatchData[auto high goals]*10</f>
        <v>#VALUE!</v>
      </c>
      <c r="BR212" s="16" t="e">
        <f aca="false">SUM(MatchData[[#this row],[cheval teleop crossing score]:[low bar teleop crossing score]])</f>
        <v>#VALUE!</v>
      </c>
      <c r="BS212" s="16" t="e">
        <f aca="false">SUMIF(MatchData[team],MatchData[[#this row],[team]],MatchData[total auto score])/MatchData[match count]</f>
        <v>#VALUE!</v>
      </c>
      <c r="BT212" s="16" t="e">
        <f aca="false">MatchData[challenge flag]*5</f>
        <v>#VALUE!</v>
      </c>
      <c r="BU212" s="16" t="e">
        <f aca="false">MatchData[climb flag]*15</f>
        <v>#VALUE!</v>
      </c>
      <c r="BV212" s="16" t="e">
        <f aca="false">SUM(MatchData[[#this row],[total goal score]],MatchData[[#this row],[crossing score]],MatchData[[#this row],[challenge score]],MatchData[[#this row],[climb score]],MatchData[[#this row],[total auto score]])</f>
        <v>#VALUE!</v>
      </c>
      <c r="BW212" s="16" t="e">
        <f aca="false">ROUND(SUMIF(MatchData[team],MatchData[[#this row],[team]],MatchData[teleop low goals])/COUNTIF(MatchData[team],MatchData[[#this row],[team]]),2)</f>
        <v>#VALUE!</v>
      </c>
      <c r="BX212" s="16" t="e">
        <f aca="false">ROUND(SUMIF(MatchData[team],MatchData[[#this row],[team]],MatchData[teleop high goals])/COUNTIF(MatchData[team],MatchData[[#this row],[team]]),2)</f>
        <v>#VALUE!</v>
      </c>
      <c r="BY212" s="16" t="e">
        <f aca="false">COUNTIF(MatchData[team],MatchData[[#this row],[team]])</f>
        <v>#VALUE!</v>
      </c>
      <c r="BZ212" s="16" t="e">
        <f aca="false">SUMIF(MatchData[team],MatchData[[#this row],[team]],MatchData[portcullis available])</f>
        <v>#VALUE!</v>
      </c>
      <c r="CA212" s="16" t="e">
        <f aca="false">SUMIF(MatchData[team],MatchData[[#this row],[team]],MatchData[cheval available])</f>
        <v>#VALUE!</v>
      </c>
      <c r="CB212" s="16" t="e">
        <f aca="false">SUMIF(MatchData[team],MatchData[[#this row],[team]],MatchData[moat available])</f>
        <v>#VALUE!</v>
      </c>
      <c r="CC212" s="16" t="e">
        <f aca="false">SUMIF(MatchData[team],MatchData[[#this row],[team]],MatchData[ramparts available])</f>
        <v>#VALUE!</v>
      </c>
      <c r="CD212" s="16" t="e">
        <f aca="false">SUMIF(MatchData[team],MatchData[[#this row],[team]],MatchData[drawbridge available])</f>
        <v>#VALUE!</v>
      </c>
      <c r="CE212" s="16" t="e">
        <f aca="false">SUMIF(MatchData[team],MatchData[[#this row],[team]],MatchData[sally port available])</f>
        <v>#VALUE!</v>
      </c>
      <c r="CF212" s="16" t="e">
        <f aca="false">SUMIF(MatchData[team],MatchData[[#this row],[team]],MatchData[rock wall available])</f>
        <v>#VALUE!</v>
      </c>
      <c r="CG212" s="16" t="e">
        <f aca="false">SUMIF(MatchData[team],MatchData[[#this row],[team]],MatchData[rough terrain available])</f>
        <v>#VALUE!</v>
      </c>
      <c r="CH212" s="16" t="e">
        <f aca="false">SUMIF(MatchData[team],MatchData[[#this row],[team]],MatchData[low bar available])</f>
        <v>#VALUE!</v>
      </c>
      <c r="CI212" s="16" t="e">
        <f aca="false">SUMIF(MatchData[team],MatchData[[#this row],[team]],MatchData[portcullis teleop crossings]:MatchData[portcullis scored crossings])</f>
        <v>#VALUE!</v>
      </c>
      <c r="CJ212" s="16" t="e">
        <f aca="false">SUMIF(MatchData[team],MatchData[[#this row],[team]],MatchData[cheval teleop crossings])+SUMIF(MatchData[team],MatchData[[#this row],[team]],MatchData[cheval scored crossings])</f>
        <v>#VALUE!</v>
      </c>
      <c r="CK212" s="16" t="e">
        <f aca="false">SUMIF(MatchData[team],MatchData[[#this row],[team]],MatchData[moat teleop crossings])+SUMIF(MatchData[team],MatchData[[#this row],[team]],MatchData[moat scored crosings])</f>
        <v>#VALUE!</v>
      </c>
      <c r="CL212" s="16" t="e">
        <f aca="false">SUMIF(MatchData[team],MatchData[[#this row],[team]],MatchData[ramparts teleop crossings])+SUMIF(MatchData[team],MatchData[[#this row],[team]],MatchData[ramparts scored crossings])</f>
        <v>#VALUE!</v>
      </c>
      <c r="CM212" s="16" t="e">
        <f aca="false">SUMIF(MatchData[team],MatchData[[#this row],[team]],MatchData[drawbridge teleop crossings])+SUMIF(MatchData[team],MatchData[[#this row],[team]],MatchData[drawbridge scored crossings])</f>
        <v>#VALUE!</v>
      </c>
      <c r="CN212" s="16" t="e">
        <f aca="false">SUMIF(MatchData[team],MatchData[[#this row],[team]],MatchData[sally port teleop crossings])+SUMIF(MatchData[team],MatchData[[#this row],[team]],MatchData[sally port scored crossings])</f>
        <v>#VALUE!</v>
      </c>
      <c r="CO212" s="16" t="e">
        <f aca="false">SUMIF(MatchData[team],MatchData[[#this row],[team]],MatchData[rock wall teleop crossings])+SUMIF(MatchData[team],MatchData[[#this row],[team]],MatchData[rock wall scored crossings])</f>
        <v>#VALUE!</v>
      </c>
      <c r="CP212" s="16" t="e">
        <f aca="false">SUMIF(MatchData[team],MatchData[[#this row],[team]],MatchData[rough terrain teleop crossings])+SUMIF(MatchData[team],MatchData[[#this row],[team]],MatchData[rough terrain scored crossings])</f>
        <v>#VALUE!</v>
      </c>
      <c r="CQ212" s="16" t="e">
        <f aca="false">SUMIF(MatchData[team],MatchData[[#this row],[team]],MatchData[low bar teleop crossings])+SUMIF(MatchData[team],MatchData[[#this row],[team]],MatchData[low bar scored crossings])</f>
        <v>#VALUE!</v>
      </c>
      <c r="CR212" s="16" t="e">
        <f aca="false">IFERROR(ROUND(MatchData[[#this row],[portcullis sum]]/MatchData[[#this row],[portcullis avail count]],2),0)</f>
        <v>#VALUE!</v>
      </c>
      <c r="CS212" s="16" t="e">
        <f aca="false">IFERROR(ROUND(MatchData[[#this row],[cheval sum]]/MatchData[[#this row],[cheval avail count]],2),0)</f>
        <v>#VALUE!</v>
      </c>
      <c r="CT212" s="16" t="e">
        <f aca="false">IFERROR(ROUND(MatchData[[#this row],[moat sum]]/MatchData[[#this row],[moat avail count]],2),0)</f>
        <v>#VALUE!</v>
      </c>
      <c r="CU212" s="16" t="e">
        <f aca="false">IFERROR(ROUND(MatchData[[#this row],[ramparts sum]]/MatchData[[#this row],[ramparts avail count]],2),0)</f>
        <v>#VALUE!</v>
      </c>
      <c r="CV212" s="16" t="e">
        <f aca="false">IFERROR(ROUND(MatchData[[#this row],[drawbridge sum]]/MatchData[[#this row],[drawbridge avail countigh6]],2),0)</f>
        <v>#VALUE!</v>
      </c>
      <c r="CW212" s="16" t="e">
        <f aca="false">IFERROR(ROUND(MatchData[[#this row],[sally port sum]]/MatchData[[#this row],[sally port avail count]],2),0)</f>
        <v>#VALUE!</v>
      </c>
      <c r="CX212" s="5" t="e">
        <f aca="false">IFERROR(ROUND(MatchData[[#this row],[rock wall sum]]/MatchData[[#this row],[rock wall avail count]],2),0)</f>
        <v>#VALUE!</v>
      </c>
      <c r="CY212" s="5" t="e">
        <f aca="false">IFERROR(ROUND(MatchData[[#this row],[rough terrain sum]]/MatchData[[#this row],[rough terrain avail count]],2),0)</f>
        <v>#VALUE!</v>
      </c>
      <c r="CZ212" s="5" t="e">
        <f aca="false">IFERROR(ROUND(MatchData[[#this row],[low bar sum]]/MatchData[[#this row],[low bar avail count]],2),0)</f>
        <v>#VALUE!</v>
      </c>
      <c r="DA212" s="16" t="e">
        <f aca="false">SUM(MatchData[[#this row],[cheval sum]:[low bar sum]])/MatchData[match count]</f>
        <v>#VALUE!</v>
      </c>
      <c r="DB212" s="16" t="n">
        <f aca="false">MAX(IF(C$2:C$74=C212,BP$2:BP$74))</f>
        <v>-1.79769313486232E+308</v>
      </c>
      <c r="DC212" s="16" t="e">
        <f aca="false">AVERAGEIF(MatchData[team],MatchData[[#this row],[team]],MatchData[total score])</f>
        <v>#VALUE!</v>
      </c>
      <c r="DD212" s="16" t="e">
        <f aca="false">ROUND(AVERAGEIF(MatchData[team],MatchData[team],MatchData[climb or challenge flag]),2)</f>
        <v>#VALUE!</v>
      </c>
    </row>
    <row r="213" customFormat="false" ht="14.5" hidden="false" customHeight="false" outlineLevel="0" collapsed="false">
      <c r="A213" s="20" t="s">
        <v>108</v>
      </c>
      <c r="B213" s="22" t="n">
        <v>36</v>
      </c>
      <c r="C213" s="15" t="n">
        <v>2471</v>
      </c>
      <c r="D213" s="5" t="s">
        <v>109</v>
      </c>
      <c r="E213" s="5" t="s">
        <v>139</v>
      </c>
      <c r="G213" s="16" t="n">
        <v>1</v>
      </c>
      <c r="I213" s="16"/>
      <c r="J213" s="5" t="n">
        <v>1</v>
      </c>
      <c r="K213" s="16"/>
      <c r="L213" s="5" t="n">
        <v>1</v>
      </c>
      <c r="M213" s="5" t="n">
        <v>1</v>
      </c>
      <c r="N213" s="0"/>
      <c r="O213" s="0"/>
      <c r="P213" s="5" t="n">
        <v>1</v>
      </c>
      <c r="Q213" s="0"/>
      <c r="R213" s="5" t="n">
        <v>1</v>
      </c>
      <c r="S213" s="16"/>
      <c r="T213" s="0"/>
      <c r="U213" s="16"/>
      <c r="V213" s="16" t="n">
        <v>1</v>
      </c>
      <c r="W213" s="0"/>
      <c r="AD213" s="16"/>
      <c r="AE213" s="5"/>
      <c r="AF213" s="16"/>
      <c r="AG213" s="16"/>
      <c r="AH213" s="16" t="n">
        <v>1</v>
      </c>
      <c r="AJ213" s="16" t="n">
        <v>2</v>
      </c>
      <c r="AL213" s="16"/>
      <c r="AN213" s="16"/>
      <c r="AO213" s="5" t="n">
        <v>1</v>
      </c>
      <c r="AP213" s="16" t="n">
        <v>2</v>
      </c>
      <c r="AR213" s="16"/>
      <c r="AT213" s="16"/>
      <c r="AU213" s="16"/>
      <c r="AV213" s="16"/>
      <c r="AW213" s="16" t="n">
        <v>1</v>
      </c>
      <c r="AX213" s="16"/>
      <c r="AY213" s="16"/>
      <c r="AZ213" s="16"/>
      <c r="BB213" s="16" t="n">
        <v>1</v>
      </c>
      <c r="BC213" s="16" t="e">
        <f aca="false">MatchData[cheval scored crossings]*5</f>
        <v>#VALUE!</v>
      </c>
      <c r="BD213" s="16" t="e">
        <f aca="false">MatchData[moat scored crosings]*5</f>
        <v>#VALUE!</v>
      </c>
      <c r="BE213" s="16" t="e">
        <f aca="false">MatchData[ramparts scored crossings]*5</f>
        <v>#VALUE!</v>
      </c>
      <c r="BF213" s="16" t="e">
        <f aca="false">MatchData[drawbridge scored crossings]*5</f>
        <v>#VALUE!</v>
      </c>
      <c r="BG213" s="16" t="e">
        <f aca="false">MatchData[sally port scored crossings]*5</f>
        <v>#VALUE!</v>
      </c>
      <c r="BH213" s="16" t="e">
        <f aca="false">MatchData[rock wall scored crossings]*5</f>
        <v>#VALUE!</v>
      </c>
      <c r="BI213" s="16" t="e">
        <f aca="false">MatchData[rough terrain scored crossings]*5</f>
        <v>#VALUE!</v>
      </c>
      <c r="BJ213" s="16" t="e">
        <f aca="false">MatchData[low bar scored crossings]*5</f>
        <v>#VALUE!</v>
      </c>
      <c r="BK213" s="16" t="e">
        <f aca="false">SUM(MatchData[[#this row],[low bar teleop crossings]:[rough terrain scored crossings]])</f>
        <v>#VALUE!</v>
      </c>
      <c r="BL213" s="16" t="e">
        <f aca="false">IFERROR(IF(OR(MatchData[[#this row],[challenge flag]],MatchData[[#this row],[climb flag]]),1,0),0)</f>
        <v>#VALUE!</v>
      </c>
      <c r="BM213" s="16" t="e">
        <f aca="false">MatchData[auto high goals]*10+MatchData[teleop high goals]*5</f>
        <v>#VALUE!</v>
      </c>
      <c r="BN213" s="16" t="e">
        <f aca="false">MatchData[auto low goals]*5+MatchData[teleop low goals]*2</f>
        <v>#VALUE!</v>
      </c>
      <c r="BO213" s="16" t="e">
        <f aca="false">MatchData[high goal score]+MatchData[low goal score]</f>
        <v>#VALUE!</v>
      </c>
      <c r="BP213" s="16" t="e">
        <f aca="false">MatchData[teleop high goals]+MatchData[teleop low goals]</f>
        <v>#VALUE!</v>
      </c>
      <c r="BQ213" s="16" t="e">
        <f aca="false">MatchData[[#this row],[auto reach flag]]*2+SUM(MatchData[[#this row],[portcullis auto crossings]:[low bar auto crossings]])*10+MatchData[[#this row],[auto low goals]]*5+MatchData[auto high goals]*10</f>
        <v>#VALUE!</v>
      </c>
      <c r="BR213" s="16" t="e">
        <f aca="false">SUM(MatchData[[#this row],[cheval teleop crossing score]:[low bar teleop crossing score]])</f>
        <v>#VALUE!</v>
      </c>
      <c r="BS213" s="16" t="e">
        <f aca="false">SUMIF(MatchData[team],MatchData[[#this row],[team]],MatchData[total auto score])/MatchData[match count]</f>
        <v>#VALUE!</v>
      </c>
      <c r="BT213" s="16" t="e">
        <f aca="false">MatchData[challenge flag]*5</f>
        <v>#VALUE!</v>
      </c>
      <c r="BU213" s="16" t="e">
        <f aca="false">MatchData[climb flag]*15</f>
        <v>#VALUE!</v>
      </c>
      <c r="BV213" s="16" t="e">
        <f aca="false">SUM(MatchData[[#this row],[total goal score]],MatchData[[#this row],[crossing score]],MatchData[[#this row],[challenge score]],MatchData[[#this row],[climb score]],MatchData[[#this row],[total auto score]])</f>
        <v>#VALUE!</v>
      </c>
      <c r="BW213" s="16" t="e">
        <f aca="false">ROUND(SUMIF(MatchData[team],MatchData[[#this row],[team]],MatchData[teleop low goals])/COUNTIF(MatchData[team],MatchData[[#this row],[team]]),2)</f>
        <v>#VALUE!</v>
      </c>
      <c r="BX213" s="16" t="e">
        <f aca="false">ROUND(SUMIF(MatchData[team],MatchData[[#this row],[team]],MatchData[teleop high goals])/COUNTIF(MatchData[team],MatchData[[#this row],[team]]),2)</f>
        <v>#VALUE!</v>
      </c>
      <c r="BY213" s="16" t="e">
        <f aca="false">COUNTIF(MatchData[team],MatchData[[#this row],[team]])</f>
        <v>#VALUE!</v>
      </c>
      <c r="BZ213" s="16" t="e">
        <f aca="false">SUMIF(MatchData[team],MatchData[[#this row],[team]],MatchData[portcullis available])</f>
        <v>#VALUE!</v>
      </c>
      <c r="CA213" s="16" t="e">
        <f aca="false">SUMIF(MatchData[team],MatchData[[#this row],[team]],MatchData[cheval available])</f>
        <v>#VALUE!</v>
      </c>
      <c r="CB213" s="16" t="e">
        <f aca="false">SUMIF(MatchData[team],MatchData[[#this row],[team]],MatchData[moat available])</f>
        <v>#VALUE!</v>
      </c>
      <c r="CC213" s="16" t="e">
        <f aca="false">SUMIF(MatchData[team],MatchData[[#this row],[team]],MatchData[ramparts available])</f>
        <v>#VALUE!</v>
      </c>
      <c r="CD213" s="16" t="e">
        <f aca="false">SUMIF(MatchData[team],MatchData[[#this row],[team]],MatchData[drawbridge available])</f>
        <v>#VALUE!</v>
      </c>
      <c r="CE213" s="16" t="e">
        <f aca="false">SUMIF(MatchData[team],MatchData[[#this row],[team]],MatchData[sally port available])</f>
        <v>#VALUE!</v>
      </c>
      <c r="CF213" s="16" t="e">
        <f aca="false">SUMIF(MatchData[team],MatchData[[#this row],[team]],MatchData[rock wall available])</f>
        <v>#VALUE!</v>
      </c>
      <c r="CG213" s="16" t="e">
        <f aca="false">SUMIF(MatchData[team],MatchData[[#this row],[team]],MatchData[rough terrain available])</f>
        <v>#VALUE!</v>
      </c>
      <c r="CH213" s="16" t="e">
        <f aca="false">SUMIF(MatchData[team],MatchData[[#this row],[team]],MatchData[low bar available])</f>
        <v>#VALUE!</v>
      </c>
      <c r="CI213" s="16" t="e">
        <f aca="false">SUMIF(MatchData[team],MatchData[[#this row],[team]],MatchData[portcullis teleop crossings]:MatchData[portcullis scored crossings])</f>
        <v>#VALUE!</v>
      </c>
      <c r="CJ213" s="16" t="e">
        <f aca="false">SUMIF(MatchData[team],MatchData[[#this row],[team]],MatchData[cheval teleop crossings])+SUMIF(MatchData[team],MatchData[[#this row],[team]],MatchData[cheval scored crossings])</f>
        <v>#VALUE!</v>
      </c>
      <c r="CK213" s="16" t="e">
        <f aca="false">SUMIF(MatchData[team],MatchData[[#this row],[team]],MatchData[moat teleop crossings])+SUMIF(MatchData[team],MatchData[[#this row],[team]],MatchData[moat scored crosings])</f>
        <v>#VALUE!</v>
      </c>
      <c r="CL213" s="16" t="e">
        <f aca="false">SUMIF(MatchData[team],MatchData[[#this row],[team]],MatchData[ramparts teleop crossings])+SUMIF(MatchData[team],MatchData[[#this row],[team]],MatchData[ramparts scored crossings])</f>
        <v>#VALUE!</v>
      </c>
      <c r="CM213" s="16" t="e">
        <f aca="false">SUMIF(MatchData[team],MatchData[[#this row],[team]],MatchData[drawbridge teleop crossings])+SUMIF(MatchData[team],MatchData[[#this row],[team]],MatchData[drawbridge scored crossings])</f>
        <v>#VALUE!</v>
      </c>
      <c r="CN213" s="16" t="e">
        <f aca="false">SUMIF(MatchData[team],MatchData[[#this row],[team]],MatchData[sally port teleop crossings])+SUMIF(MatchData[team],MatchData[[#this row],[team]],MatchData[sally port scored crossings])</f>
        <v>#VALUE!</v>
      </c>
      <c r="CO213" s="16" t="e">
        <f aca="false">SUMIF(MatchData[team],MatchData[[#this row],[team]],MatchData[rock wall teleop crossings])+SUMIF(MatchData[team],MatchData[[#this row],[team]],MatchData[rock wall scored crossings])</f>
        <v>#VALUE!</v>
      </c>
      <c r="CP213" s="16" t="e">
        <f aca="false">SUMIF(MatchData[team],MatchData[[#this row],[team]],MatchData[rough terrain teleop crossings])+SUMIF(MatchData[team],MatchData[[#this row],[team]],MatchData[rough terrain scored crossings])</f>
        <v>#VALUE!</v>
      </c>
      <c r="CQ213" s="16" t="e">
        <f aca="false">SUMIF(MatchData[team],MatchData[[#this row],[team]],MatchData[low bar teleop crossings])+SUMIF(MatchData[team],MatchData[[#this row],[team]],MatchData[low bar scored crossings])</f>
        <v>#VALUE!</v>
      </c>
      <c r="CR213" s="16" t="e">
        <f aca="false">IFERROR(ROUND(MatchData[[#this row],[portcullis sum]]/MatchData[[#this row],[portcullis avail count]],2),0)</f>
        <v>#VALUE!</v>
      </c>
      <c r="CS213" s="16" t="e">
        <f aca="false">IFERROR(ROUND(MatchData[[#this row],[cheval sum]]/MatchData[[#this row],[cheval avail count]],2),0)</f>
        <v>#VALUE!</v>
      </c>
      <c r="CT213" s="16" t="e">
        <f aca="false">IFERROR(ROUND(MatchData[[#this row],[moat sum]]/MatchData[[#this row],[moat avail count]],2),0)</f>
        <v>#VALUE!</v>
      </c>
      <c r="CU213" s="16" t="e">
        <f aca="false">IFERROR(ROUND(MatchData[[#this row],[ramparts sum]]/MatchData[[#this row],[ramparts avail count]],2),0)</f>
        <v>#VALUE!</v>
      </c>
      <c r="CV213" s="16" t="e">
        <f aca="false">IFERROR(ROUND(MatchData[[#this row],[drawbridge sum]]/MatchData[[#this row],[drawbridge avail countigh6]],2),0)</f>
        <v>#VALUE!</v>
      </c>
      <c r="CW213" s="16" t="e">
        <f aca="false">IFERROR(ROUND(MatchData[[#this row],[sally port sum]]/MatchData[[#this row],[sally port avail count]],2),0)</f>
        <v>#VALUE!</v>
      </c>
      <c r="CX213" s="5" t="e">
        <f aca="false">IFERROR(ROUND(MatchData[[#this row],[rock wall sum]]/MatchData[[#this row],[rock wall avail count]],2),0)</f>
        <v>#VALUE!</v>
      </c>
      <c r="CY213" s="5" t="e">
        <f aca="false">IFERROR(ROUND(MatchData[[#this row],[rough terrain sum]]/MatchData[[#this row],[rough terrain avail count]],2),0)</f>
        <v>#VALUE!</v>
      </c>
      <c r="CZ213" s="5" t="e">
        <f aca="false">IFERROR(ROUND(MatchData[[#this row],[low bar sum]]/MatchData[[#this row],[low bar avail count]],2),0)</f>
        <v>#VALUE!</v>
      </c>
      <c r="DA213" s="16" t="e">
        <f aca="false">SUM(MatchData[[#this row],[cheval sum]:[low bar sum]])/MatchData[match count]</f>
        <v>#VALUE!</v>
      </c>
      <c r="DB213" s="16" t="n">
        <f aca="false">MAX(IF(C$2:C$74=C213,BP$2:BP$74))</f>
        <v>-1.79769313486232E+308</v>
      </c>
      <c r="DC213" s="16" t="e">
        <f aca="false">AVERAGEIF(MatchData[team],MatchData[[#this row],[team]],MatchData[total score])</f>
        <v>#VALUE!</v>
      </c>
      <c r="DD213" s="16" t="e">
        <f aca="false">ROUND(AVERAGEIF(MatchData[team],MatchData[team],MatchData[climb or challenge flag]),2)</f>
        <v>#VALUE!</v>
      </c>
    </row>
    <row r="214" customFormat="false" ht="14.5" hidden="false" customHeight="false" outlineLevel="0" collapsed="false">
      <c r="A214" s="20" t="s">
        <v>108</v>
      </c>
      <c r="B214" s="22" t="n">
        <v>36</v>
      </c>
      <c r="C214" s="15" t="n">
        <v>2990</v>
      </c>
      <c r="D214" s="5" t="s">
        <v>109</v>
      </c>
      <c r="E214" s="5" t="s">
        <v>138</v>
      </c>
      <c r="G214" s="16"/>
      <c r="I214" s="16"/>
      <c r="J214" s="5" t="n">
        <v>1</v>
      </c>
      <c r="K214" s="16"/>
      <c r="L214" s="5" t="n">
        <v>1</v>
      </c>
      <c r="M214" s="5" t="n">
        <v>1</v>
      </c>
      <c r="N214" s="0"/>
      <c r="O214" s="0"/>
      <c r="P214" s="5" t="n">
        <v>1</v>
      </c>
      <c r="Q214" s="0"/>
      <c r="R214" s="5" t="n">
        <v>1</v>
      </c>
      <c r="S214" s="16" t="n">
        <v>1</v>
      </c>
      <c r="T214" s="0"/>
      <c r="U214" s="16"/>
      <c r="V214" s="16"/>
      <c r="W214" s="0"/>
      <c r="AD214" s="16" t="n">
        <v>2</v>
      </c>
      <c r="AE214" s="5"/>
      <c r="AF214" s="16"/>
      <c r="AG214" s="16"/>
      <c r="AH214" s="16" t="n">
        <v>1</v>
      </c>
      <c r="AJ214" s="16"/>
      <c r="AL214" s="16"/>
      <c r="AN214" s="16"/>
      <c r="AP214" s="16"/>
      <c r="AR214" s="16"/>
      <c r="AT214" s="16" t="n">
        <v>1</v>
      </c>
      <c r="AU214" s="16"/>
      <c r="AV214" s="16"/>
      <c r="AW214" s="16" t="n">
        <v>1</v>
      </c>
      <c r="AX214" s="16"/>
      <c r="AY214" s="16"/>
      <c r="AZ214" s="16"/>
      <c r="BA214" s="5" t="n">
        <v>1</v>
      </c>
      <c r="BB214" s="16" t="n">
        <v>1</v>
      </c>
      <c r="BC214" s="16" t="e">
        <f aca="false">MatchData[cheval scored crossings]*5</f>
        <v>#VALUE!</v>
      </c>
      <c r="BD214" s="16" t="e">
        <f aca="false">MatchData[moat scored crosings]*5</f>
        <v>#VALUE!</v>
      </c>
      <c r="BE214" s="16" t="e">
        <f aca="false">MatchData[ramparts scored crossings]*5</f>
        <v>#VALUE!</v>
      </c>
      <c r="BF214" s="16" t="e">
        <f aca="false">MatchData[drawbridge scored crossings]*5</f>
        <v>#VALUE!</v>
      </c>
      <c r="BG214" s="16" t="e">
        <f aca="false">MatchData[sally port scored crossings]*5</f>
        <v>#VALUE!</v>
      </c>
      <c r="BH214" s="16" t="e">
        <f aca="false">MatchData[rock wall scored crossings]*5</f>
        <v>#VALUE!</v>
      </c>
      <c r="BI214" s="16" t="e">
        <f aca="false">MatchData[rough terrain scored crossings]*5</f>
        <v>#VALUE!</v>
      </c>
      <c r="BJ214" s="16" t="e">
        <f aca="false">MatchData[low bar scored crossings]*5</f>
        <v>#VALUE!</v>
      </c>
      <c r="BK214" s="16" t="e">
        <f aca="false">SUM(MatchData[[#this row],[low bar teleop crossings]:[rough terrain scored crossings]])</f>
        <v>#VALUE!</v>
      </c>
      <c r="BL214" s="16" t="e">
        <f aca="false">IFERROR(IF(OR(MatchData[[#this row],[challenge flag]],MatchData[[#this row],[climb flag]]),1,0),0)</f>
        <v>#VALUE!</v>
      </c>
      <c r="BM214" s="16" t="e">
        <f aca="false">MatchData[auto high goals]*10+MatchData[teleop high goals]*5</f>
        <v>#VALUE!</v>
      </c>
      <c r="BN214" s="16" t="e">
        <f aca="false">MatchData[auto low goals]*5+MatchData[teleop low goals]*2</f>
        <v>#VALUE!</v>
      </c>
      <c r="BO214" s="16" t="e">
        <f aca="false">MatchData[high goal score]+MatchData[low goal score]</f>
        <v>#VALUE!</v>
      </c>
      <c r="BP214" s="16" t="e">
        <f aca="false">MatchData[teleop high goals]+MatchData[teleop low goals]</f>
        <v>#VALUE!</v>
      </c>
      <c r="BQ214" s="16" t="e">
        <f aca="false">MatchData[[#this row],[auto reach flag]]*2+SUM(MatchData[[#this row],[portcullis auto crossings]:[low bar auto crossings]])*10+MatchData[[#this row],[auto low goals]]*5+MatchData[auto high goals]*10</f>
        <v>#VALUE!</v>
      </c>
      <c r="BR214" s="16" t="e">
        <f aca="false">SUM(MatchData[[#this row],[cheval teleop crossing score]:[low bar teleop crossing score]])</f>
        <v>#VALUE!</v>
      </c>
      <c r="BS214" s="16" t="e">
        <f aca="false">SUMIF(MatchData[team],MatchData[[#this row],[team]],MatchData[total auto score])/MatchData[match count]</f>
        <v>#VALUE!</v>
      </c>
      <c r="BT214" s="16" t="e">
        <f aca="false">MatchData[challenge flag]*5</f>
        <v>#VALUE!</v>
      </c>
      <c r="BU214" s="16" t="e">
        <f aca="false">MatchData[climb flag]*15</f>
        <v>#VALUE!</v>
      </c>
      <c r="BV214" s="16" t="e">
        <f aca="false">SUM(MatchData[[#this row],[total goal score]],MatchData[[#this row],[crossing score]],MatchData[[#this row],[challenge score]],MatchData[[#this row],[climb score]],MatchData[[#this row],[total auto score]])</f>
        <v>#VALUE!</v>
      </c>
      <c r="BW214" s="16" t="e">
        <f aca="false">ROUND(SUMIF(MatchData[team],MatchData[[#this row],[team]],MatchData[teleop low goals])/COUNTIF(MatchData[team],MatchData[[#this row],[team]]),2)</f>
        <v>#VALUE!</v>
      </c>
      <c r="BX214" s="16" t="e">
        <f aca="false">ROUND(SUMIF(MatchData[team],MatchData[[#this row],[team]],MatchData[teleop high goals])/COUNTIF(MatchData[team],MatchData[[#this row],[team]]),2)</f>
        <v>#VALUE!</v>
      </c>
      <c r="BY214" s="16" t="e">
        <f aca="false">COUNTIF(MatchData[team],MatchData[[#this row],[team]])</f>
        <v>#VALUE!</v>
      </c>
      <c r="BZ214" s="16" t="e">
        <f aca="false">SUMIF(MatchData[team],MatchData[[#this row],[team]],MatchData[portcullis available])</f>
        <v>#VALUE!</v>
      </c>
      <c r="CA214" s="16" t="e">
        <f aca="false">SUMIF(MatchData[team],MatchData[[#this row],[team]],MatchData[cheval available])</f>
        <v>#VALUE!</v>
      </c>
      <c r="CB214" s="16" t="e">
        <f aca="false">SUMIF(MatchData[team],MatchData[[#this row],[team]],MatchData[moat available])</f>
        <v>#VALUE!</v>
      </c>
      <c r="CC214" s="16" t="e">
        <f aca="false">SUMIF(MatchData[team],MatchData[[#this row],[team]],MatchData[ramparts available])</f>
        <v>#VALUE!</v>
      </c>
      <c r="CD214" s="16" t="e">
        <f aca="false">SUMIF(MatchData[team],MatchData[[#this row],[team]],MatchData[drawbridge available])</f>
        <v>#VALUE!</v>
      </c>
      <c r="CE214" s="16" t="e">
        <f aca="false">SUMIF(MatchData[team],MatchData[[#this row],[team]],MatchData[sally port available])</f>
        <v>#VALUE!</v>
      </c>
      <c r="CF214" s="16" t="e">
        <f aca="false">SUMIF(MatchData[team],MatchData[[#this row],[team]],MatchData[rock wall available])</f>
        <v>#VALUE!</v>
      </c>
      <c r="CG214" s="16" t="e">
        <f aca="false">SUMIF(MatchData[team],MatchData[[#this row],[team]],MatchData[rough terrain available])</f>
        <v>#VALUE!</v>
      </c>
      <c r="CH214" s="16" t="e">
        <f aca="false">SUMIF(MatchData[team],MatchData[[#this row],[team]],MatchData[low bar available])</f>
        <v>#VALUE!</v>
      </c>
      <c r="CI214" s="16" t="e">
        <f aca="false">SUMIF(MatchData[team],MatchData[[#this row],[team]],MatchData[portcullis teleop crossings]:MatchData[portcullis scored crossings])</f>
        <v>#VALUE!</v>
      </c>
      <c r="CJ214" s="16" t="e">
        <f aca="false">SUMIF(MatchData[team],MatchData[[#this row],[team]],MatchData[cheval teleop crossings])+SUMIF(MatchData[team],MatchData[[#this row],[team]],MatchData[cheval scored crossings])</f>
        <v>#VALUE!</v>
      </c>
      <c r="CK214" s="16" t="e">
        <f aca="false">SUMIF(MatchData[team],MatchData[[#this row],[team]],MatchData[moat teleop crossings])+SUMIF(MatchData[team],MatchData[[#this row],[team]],MatchData[moat scored crosings])</f>
        <v>#VALUE!</v>
      </c>
      <c r="CL214" s="16" t="e">
        <f aca="false">SUMIF(MatchData[team],MatchData[[#this row],[team]],MatchData[ramparts teleop crossings])+SUMIF(MatchData[team],MatchData[[#this row],[team]],MatchData[ramparts scored crossings])</f>
        <v>#VALUE!</v>
      </c>
      <c r="CM214" s="16" t="e">
        <f aca="false">SUMIF(MatchData[team],MatchData[[#this row],[team]],MatchData[drawbridge teleop crossings])+SUMIF(MatchData[team],MatchData[[#this row],[team]],MatchData[drawbridge scored crossings])</f>
        <v>#VALUE!</v>
      </c>
      <c r="CN214" s="16" t="e">
        <f aca="false">SUMIF(MatchData[team],MatchData[[#this row],[team]],MatchData[sally port teleop crossings])+SUMIF(MatchData[team],MatchData[[#this row],[team]],MatchData[sally port scored crossings])</f>
        <v>#VALUE!</v>
      </c>
      <c r="CO214" s="16" t="e">
        <f aca="false">SUMIF(MatchData[team],MatchData[[#this row],[team]],MatchData[rock wall teleop crossings])+SUMIF(MatchData[team],MatchData[[#this row],[team]],MatchData[rock wall scored crossings])</f>
        <v>#VALUE!</v>
      </c>
      <c r="CP214" s="16" t="e">
        <f aca="false">SUMIF(MatchData[team],MatchData[[#this row],[team]],MatchData[rough terrain teleop crossings])+SUMIF(MatchData[team],MatchData[[#this row],[team]],MatchData[rough terrain scored crossings])</f>
        <v>#VALUE!</v>
      </c>
      <c r="CQ214" s="16" t="e">
        <f aca="false">SUMIF(MatchData[team],MatchData[[#this row],[team]],MatchData[low bar teleop crossings])+SUMIF(MatchData[team],MatchData[[#this row],[team]],MatchData[low bar scored crossings])</f>
        <v>#VALUE!</v>
      </c>
      <c r="CR214" s="16" t="e">
        <f aca="false">IFERROR(ROUND(MatchData[[#this row],[portcullis sum]]/MatchData[[#this row],[portcullis avail count]],2),0)</f>
        <v>#VALUE!</v>
      </c>
      <c r="CS214" s="16" t="e">
        <f aca="false">IFERROR(ROUND(MatchData[[#this row],[cheval sum]]/MatchData[[#this row],[cheval avail count]],2),0)</f>
        <v>#VALUE!</v>
      </c>
      <c r="CT214" s="16" t="e">
        <f aca="false">IFERROR(ROUND(MatchData[[#this row],[moat sum]]/MatchData[[#this row],[moat avail count]],2),0)</f>
        <v>#VALUE!</v>
      </c>
      <c r="CU214" s="16" t="e">
        <f aca="false">IFERROR(ROUND(MatchData[[#this row],[ramparts sum]]/MatchData[[#this row],[ramparts avail count]],2),0)</f>
        <v>#VALUE!</v>
      </c>
      <c r="CV214" s="16" t="e">
        <f aca="false">IFERROR(ROUND(MatchData[[#this row],[drawbridge sum]]/MatchData[[#this row],[drawbridge avail countigh6]],2),0)</f>
        <v>#VALUE!</v>
      </c>
      <c r="CW214" s="16" t="e">
        <f aca="false">IFERROR(ROUND(MatchData[[#this row],[sally port sum]]/MatchData[[#this row],[sally port avail count]],2),0)</f>
        <v>#VALUE!</v>
      </c>
      <c r="CX214" s="5" t="e">
        <f aca="false">IFERROR(ROUND(MatchData[[#this row],[rock wall sum]]/MatchData[[#this row],[rock wall avail count]],2),0)</f>
        <v>#VALUE!</v>
      </c>
      <c r="CY214" s="5" t="e">
        <f aca="false">IFERROR(ROUND(MatchData[[#this row],[rough terrain sum]]/MatchData[[#this row],[rough terrain avail count]],2),0)</f>
        <v>#VALUE!</v>
      </c>
      <c r="CZ214" s="5" t="e">
        <f aca="false">IFERROR(ROUND(MatchData[[#this row],[low bar sum]]/MatchData[[#this row],[low bar avail count]],2),0)</f>
        <v>#VALUE!</v>
      </c>
      <c r="DA214" s="16" t="e">
        <f aca="false">SUM(MatchData[[#this row],[cheval sum]:[low bar sum]])/MatchData[match count]</f>
        <v>#VALUE!</v>
      </c>
      <c r="DB214" s="16" t="n">
        <f aca="false">MAX(IF(C$2:C$74=C214,BP$2:BP$74))</f>
        <v>-1.79769313486232E+308</v>
      </c>
      <c r="DC214" s="16" t="e">
        <f aca="false">AVERAGEIF(MatchData[team],MatchData[[#this row],[team]],MatchData[total score])</f>
        <v>#VALUE!</v>
      </c>
      <c r="DD214" s="16" t="e">
        <f aca="false">ROUND(AVERAGEIF(MatchData[team],MatchData[team],MatchData[climb or challenge flag]),2)</f>
        <v>#VALUE!</v>
      </c>
    </row>
    <row r="215" customFormat="false" ht="14.5" hidden="false" customHeight="false" outlineLevel="0" collapsed="false">
      <c r="A215" s="20" t="s">
        <v>108</v>
      </c>
      <c r="B215" s="22" t="n">
        <v>36</v>
      </c>
      <c r="C215" s="15" t="n">
        <v>4043</v>
      </c>
      <c r="D215" s="5" t="s">
        <v>113</v>
      </c>
      <c r="E215" s="5" t="s">
        <v>118</v>
      </c>
      <c r="G215" s="16"/>
      <c r="I215" s="16" t="n">
        <v>1</v>
      </c>
      <c r="J215" s="5" t="n">
        <v>1</v>
      </c>
      <c r="K215" s="16"/>
      <c r="L215" s="5" t="n">
        <v>1</v>
      </c>
      <c r="M215" s="5" t="n">
        <v>1</v>
      </c>
      <c r="N215" s="0"/>
      <c r="O215" s="0"/>
      <c r="P215" s="5" t="n">
        <v>1</v>
      </c>
      <c r="Q215" s="5" t="n">
        <v>1</v>
      </c>
      <c r="R215" s="0"/>
      <c r="S215" s="16"/>
      <c r="T215" s="0"/>
      <c r="U215" s="16"/>
      <c r="V215" s="16"/>
      <c r="W215" s="0"/>
      <c r="Z215" s="5" t="n">
        <v>1</v>
      </c>
      <c r="AD215" s="16"/>
      <c r="AE215" s="5"/>
      <c r="AF215" s="16"/>
      <c r="AG215" s="16"/>
      <c r="AH215" s="16"/>
      <c r="AJ215" s="16" t="n">
        <v>2</v>
      </c>
      <c r="AL215" s="16"/>
      <c r="AN215" s="16"/>
      <c r="AP215" s="16" t="n">
        <v>1</v>
      </c>
      <c r="AR215" s="16"/>
      <c r="AT215" s="16"/>
      <c r="AU215" s="16" t="n">
        <v>1</v>
      </c>
      <c r="AV215" s="16" t="n">
        <v>1</v>
      </c>
      <c r="AW215" s="16" t="n">
        <v>1</v>
      </c>
      <c r="AX215" s="16"/>
      <c r="AY215" s="16"/>
      <c r="AZ215" s="16"/>
      <c r="BB215" s="16" t="n">
        <v>1</v>
      </c>
      <c r="BC215" s="16" t="e">
        <f aca="false">MatchData[cheval scored crossings]*5</f>
        <v>#VALUE!</v>
      </c>
      <c r="BD215" s="16" t="e">
        <f aca="false">MatchData[moat scored crosings]*5</f>
        <v>#VALUE!</v>
      </c>
      <c r="BE215" s="16" t="e">
        <f aca="false">MatchData[ramparts scored crossings]*5</f>
        <v>#VALUE!</v>
      </c>
      <c r="BF215" s="16" t="e">
        <f aca="false">MatchData[drawbridge scored crossings]*5</f>
        <v>#VALUE!</v>
      </c>
      <c r="BG215" s="16" t="e">
        <f aca="false">MatchData[sally port scored crossings]*5</f>
        <v>#VALUE!</v>
      </c>
      <c r="BH215" s="16" t="e">
        <f aca="false">MatchData[rock wall scored crossings]*5</f>
        <v>#VALUE!</v>
      </c>
      <c r="BI215" s="16" t="e">
        <f aca="false">MatchData[rough terrain scored crossings]*5</f>
        <v>#VALUE!</v>
      </c>
      <c r="BJ215" s="16" t="e">
        <f aca="false">MatchData[low bar scored crossings]*5</f>
        <v>#VALUE!</v>
      </c>
      <c r="BK215" s="16" t="e">
        <f aca="false">SUM(MatchData[[#this row],[low bar teleop crossings]:[rough terrain scored crossings]])</f>
        <v>#VALUE!</v>
      </c>
      <c r="BL215" s="16" t="e">
        <f aca="false">IFERROR(IF(OR(MatchData[[#this row],[challenge flag]],MatchData[[#this row],[climb flag]]),1,0),0)</f>
        <v>#VALUE!</v>
      </c>
      <c r="BM215" s="16" t="e">
        <f aca="false">MatchData[auto high goals]*10+MatchData[teleop high goals]*5</f>
        <v>#VALUE!</v>
      </c>
      <c r="BN215" s="16" t="e">
        <f aca="false">MatchData[auto low goals]*5+MatchData[teleop low goals]*2</f>
        <v>#VALUE!</v>
      </c>
      <c r="BO215" s="16" t="e">
        <f aca="false">MatchData[high goal score]+MatchData[low goal score]</f>
        <v>#VALUE!</v>
      </c>
      <c r="BP215" s="16" t="e">
        <f aca="false">MatchData[teleop high goals]+MatchData[teleop low goals]</f>
        <v>#VALUE!</v>
      </c>
      <c r="BQ215" s="16" t="e">
        <f aca="false">MatchData[[#this row],[auto reach flag]]*2+SUM(MatchData[[#this row],[portcullis auto crossings]:[low bar auto crossings]])*10+MatchData[[#this row],[auto low goals]]*5+MatchData[auto high goals]*10</f>
        <v>#VALUE!</v>
      </c>
      <c r="BR215" s="16" t="e">
        <f aca="false">SUM(MatchData[[#this row],[cheval teleop crossing score]:[low bar teleop crossing score]])</f>
        <v>#VALUE!</v>
      </c>
      <c r="BS215" s="16" t="e">
        <f aca="false">SUMIF(MatchData[team],MatchData[[#this row],[team]],MatchData[total auto score])/MatchData[match count]</f>
        <v>#VALUE!</v>
      </c>
      <c r="BT215" s="16" t="e">
        <f aca="false">MatchData[challenge flag]*5</f>
        <v>#VALUE!</v>
      </c>
      <c r="BU215" s="16" t="e">
        <f aca="false">MatchData[climb flag]*15</f>
        <v>#VALUE!</v>
      </c>
      <c r="BV215" s="16" t="e">
        <f aca="false">SUM(MatchData[[#this row],[total goal score]],MatchData[[#this row],[crossing score]],MatchData[[#this row],[challenge score]],MatchData[[#this row],[climb score]],MatchData[[#this row],[total auto score]])</f>
        <v>#VALUE!</v>
      </c>
      <c r="BW215" s="16" t="e">
        <f aca="false">ROUND(SUMIF(MatchData[team],MatchData[[#this row],[team]],MatchData[teleop low goals])/COUNTIF(MatchData[team],MatchData[[#this row],[team]]),2)</f>
        <v>#VALUE!</v>
      </c>
      <c r="BX215" s="16" t="e">
        <f aca="false">ROUND(SUMIF(MatchData[team],MatchData[[#this row],[team]],MatchData[teleop high goals])/COUNTIF(MatchData[team],MatchData[[#this row],[team]]),2)</f>
        <v>#VALUE!</v>
      </c>
      <c r="BY215" s="16" t="e">
        <f aca="false">COUNTIF(MatchData[team],MatchData[[#this row],[team]])</f>
        <v>#VALUE!</v>
      </c>
      <c r="BZ215" s="16" t="e">
        <f aca="false">SUMIF(MatchData[team],MatchData[[#this row],[team]],MatchData[portcullis available])</f>
        <v>#VALUE!</v>
      </c>
      <c r="CA215" s="16" t="e">
        <f aca="false">SUMIF(MatchData[team],MatchData[[#this row],[team]],MatchData[cheval available])</f>
        <v>#VALUE!</v>
      </c>
      <c r="CB215" s="16" t="e">
        <f aca="false">SUMIF(MatchData[team],MatchData[[#this row],[team]],MatchData[moat available])</f>
        <v>#VALUE!</v>
      </c>
      <c r="CC215" s="16" t="e">
        <f aca="false">SUMIF(MatchData[team],MatchData[[#this row],[team]],MatchData[ramparts available])</f>
        <v>#VALUE!</v>
      </c>
      <c r="CD215" s="16" t="e">
        <f aca="false">SUMIF(MatchData[team],MatchData[[#this row],[team]],MatchData[drawbridge available])</f>
        <v>#VALUE!</v>
      </c>
      <c r="CE215" s="16" t="e">
        <f aca="false">SUMIF(MatchData[team],MatchData[[#this row],[team]],MatchData[sally port available])</f>
        <v>#VALUE!</v>
      </c>
      <c r="CF215" s="16" t="e">
        <f aca="false">SUMIF(MatchData[team],MatchData[[#this row],[team]],MatchData[rock wall available])</f>
        <v>#VALUE!</v>
      </c>
      <c r="CG215" s="16" t="e">
        <f aca="false">SUMIF(MatchData[team],MatchData[[#this row],[team]],MatchData[rough terrain available])</f>
        <v>#VALUE!</v>
      </c>
      <c r="CH215" s="16" t="e">
        <f aca="false">SUMIF(MatchData[team],MatchData[[#this row],[team]],MatchData[low bar available])</f>
        <v>#VALUE!</v>
      </c>
      <c r="CI215" s="16" t="e">
        <f aca="false">SUMIF(MatchData[team],MatchData[[#this row],[team]],MatchData[portcullis teleop crossings]:MatchData[portcullis scored crossings])</f>
        <v>#VALUE!</v>
      </c>
      <c r="CJ215" s="16" t="e">
        <f aca="false">SUMIF(MatchData[team],MatchData[[#this row],[team]],MatchData[cheval teleop crossings])+SUMIF(MatchData[team],MatchData[[#this row],[team]],MatchData[cheval scored crossings])</f>
        <v>#VALUE!</v>
      </c>
      <c r="CK215" s="16" t="e">
        <f aca="false">SUMIF(MatchData[team],MatchData[[#this row],[team]],MatchData[moat teleop crossings])+SUMIF(MatchData[team],MatchData[[#this row],[team]],MatchData[moat scored crosings])</f>
        <v>#VALUE!</v>
      </c>
      <c r="CL215" s="16" t="e">
        <f aca="false">SUMIF(MatchData[team],MatchData[[#this row],[team]],MatchData[ramparts teleop crossings])+SUMIF(MatchData[team],MatchData[[#this row],[team]],MatchData[ramparts scored crossings])</f>
        <v>#VALUE!</v>
      </c>
      <c r="CM215" s="16" t="e">
        <f aca="false">SUMIF(MatchData[team],MatchData[[#this row],[team]],MatchData[drawbridge teleop crossings])+SUMIF(MatchData[team],MatchData[[#this row],[team]],MatchData[drawbridge scored crossings])</f>
        <v>#VALUE!</v>
      </c>
      <c r="CN215" s="16" t="e">
        <f aca="false">SUMIF(MatchData[team],MatchData[[#this row],[team]],MatchData[sally port teleop crossings])+SUMIF(MatchData[team],MatchData[[#this row],[team]],MatchData[sally port scored crossings])</f>
        <v>#VALUE!</v>
      </c>
      <c r="CO215" s="16" t="e">
        <f aca="false">SUMIF(MatchData[team],MatchData[[#this row],[team]],MatchData[rock wall teleop crossings])+SUMIF(MatchData[team],MatchData[[#this row],[team]],MatchData[rock wall scored crossings])</f>
        <v>#VALUE!</v>
      </c>
      <c r="CP215" s="16" t="e">
        <f aca="false">SUMIF(MatchData[team],MatchData[[#this row],[team]],MatchData[rough terrain teleop crossings])+SUMIF(MatchData[team],MatchData[[#this row],[team]],MatchData[rough terrain scored crossings])</f>
        <v>#VALUE!</v>
      </c>
      <c r="CQ215" s="16" t="e">
        <f aca="false">SUMIF(MatchData[team],MatchData[[#this row],[team]],MatchData[low bar teleop crossings])+SUMIF(MatchData[team],MatchData[[#this row],[team]],MatchData[low bar scored crossings])</f>
        <v>#VALUE!</v>
      </c>
      <c r="CR215" s="16" t="e">
        <f aca="false">IFERROR(ROUND(MatchData[[#this row],[portcullis sum]]/MatchData[[#this row],[portcullis avail count]],2),0)</f>
        <v>#VALUE!</v>
      </c>
      <c r="CS215" s="16" t="e">
        <f aca="false">IFERROR(ROUND(MatchData[[#this row],[cheval sum]]/MatchData[[#this row],[cheval avail count]],2),0)</f>
        <v>#VALUE!</v>
      </c>
      <c r="CT215" s="16" t="e">
        <f aca="false">IFERROR(ROUND(MatchData[[#this row],[moat sum]]/MatchData[[#this row],[moat avail count]],2),0)</f>
        <v>#VALUE!</v>
      </c>
      <c r="CU215" s="16" t="e">
        <f aca="false">IFERROR(ROUND(MatchData[[#this row],[ramparts sum]]/MatchData[[#this row],[ramparts avail count]],2),0)</f>
        <v>#VALUE!</v>
      </c>
      <c r="CV215" s="16" t="e">
        <f aca="false">IFERROR(ROUND(MatchData[[#this row],[drawbridge sum]]/MatchData[[#this row],[drawbridge avail countigh6]],2),0)</f>
        <v>#VALUE!</v>
      </c>
      <c r="CW215" s="16" t="e">
        <f aca="false">IFERROR(ROUND(MatchData[[#this row],[sally port sum]]/MatchData[[#this row],[sally port avail count]],2),0)</f>
        <v>#VALUE!</v>
      </c>
      <c r="CX215" s="5" t="e">
        <f aca="false">IFERROR(ROUND(MatchData[[#this row],[rock wall sum]]/MatchData[[#this row],[rock wall avail count]],2),0)</f>
        <v>#VALUE!</v>
      </c>
      <c r="CY215" s="5" t="e">
        <f aca="false">IFERROR(ROUND(MatchData[[#this row],[rough terrain sum]]/MatchData[[#this row],[rough terrain avail count]],2),0)</f>
        <v>#VALUE!</v>
      </c>
      <c r="CZ215" s="5" t="e">
        <f aca="false">IFERROR(ROUND(MatchData[[#this row],[low bar sum]]/MatchData[[#this row],[low bar avail count]],2),0)</f>
        <v>#VALUE!</v>
      </c>
      <c r="DA215" s="16" t="e">
        <f aca="false">SUM(MatchData[[#this row],[cheval sum]:[low bar sum]])/MatchData[match count]</f>
        <v>#VALUE!</v>
      </c>
      <c r="DB215" s="16" t="n">
        <f aca="false">MAX(IF(C$2:C$74=C215,BP$2:BP$74))</f>
        <v>-1.79769313486232E+308</v>
      </c>
      <c r="DC215" s="16" t="e">
        <f aca="false">AVERAGEIF(MatchData[team],MatchData[[#this row],[team]],MatchData[total score])</f>
        <v>#VALUE!</v>
      </c>
      <c r="DD215" s="16" t="e">
        <f aca="false">ROUND(AVERAGEIF(MatchData[team],MatchData[team],MatchData[climb or challenge flag]),2)</f>
        <v>#VALUE!</v>
      </c>
    </row>
    <row r="216" customFormat="false" ht="14.5" hidden="false" customHeight="false" outlineLevel="0" collapsed="false">
      <c r="A216" s="20" t="s">
        <v>108</v>
      </c>
      <c r="B216" s="21" t="n">
        <v>36</v>
      </c>
      <c r="C216" s="15" t="n">
        <v>5956</v>
      </c>
      <c r="D216" s="5" t="s">
        <v>113</v>
      </c>
      <c r="E216" s="5" t="s">
        <v>135</v>
      </c>
      <c r="G216" s="16"/>
      <c r="I216" s="16"/>
      <c r="J216" s="5" t="n">
        <v>1</v>
      </c>
      <c r="K216" s="16"/>
      <c r="L216" s="5" t="n">
        <v>1</v>
      </c>
      <c r="M216" s="5" t="n">
        <v>1</v>
      </c>
      <c r="N216" s="0"/>
      <c r="O216" s="0"/>
      <c r="P216" s="5" t="n">
        <v>1</v>
      </c>
      <c r="Q216" s="5" t="n">
        <v>1</v>
      </c>
      <c r="R216" s="0"/>
      <c r="S216" s="16"/>
      <c r="T216" s="0"/>
      <c r="U216" s="16"/>
      <c r="V216" s="16"/>
      <c r="W216" s="0"/>
      <c r="AC216" s="5" t="n">
        <v>1</v>
      </c>
      <c r="AD216" s="16" t="n">
        <v>2</v>
      </c>
      <c r="AE216" s="5"/>
      <c r="AF216" s="16"/>
      <c r="AG216" s="16"/>
      <c r="AH216" s="16"/>
      <c r="AJ216" s="16"/>
      <c r="AL216" s="16"/>
      <c r="AN216" s="16"/>
      <c r="AP216" s="16"/>
      <c r="AR216" s="16"/>
      <c r="AT216" s="16"/>
      <c r="AU216" s="16"/>
      <c r="AV216" s="16"/>
      <c r="AW216" s="16" t="n">
        <v>1</v>
      </c>
      <c r="AX216" s="16"/>
      <c r="AY216" s="16" t="n">
        <v>1</v>
      </c>
      <c r="AZ216" s="16"/>
      <c r="BB216" s="16" t="n">
        <v>1</v>
      </c>
      <c r="BC216" s="16" t="e">
        <f aca="false">MatchData[cheval scored crossings]*5</f>
        <v>#VALUE!</v>
      </c>
      <c r="BD216" s="16" t="e">
        <f aca="false">MatchData[moat scored crosings]*5</f>
        <v>#VALUE!</v>
      </c>
      <c r="BE216" s="16" t="e">
        <f aca="false">MatchData[ramparts scored crossings]*5</f>
        <v>#VALUE!</v>
      </c>
      <c r="BF216" s="16" t="e">
        <f aca="false">MatchData[drawbridge scored crossings]*5</f>
        <v>#VALUE!</v>
      </c>
      <c r="BG216" s="16" t="e">
        <f aca="false">MatchData[sally port scored crossings]*5</f>
        <v>#VALUE!</v>
      </c>
      <c r="BH216" s="16" t="e">
        <f aca="false">MatchData[rock wall scored crossings]*5</f>
        <v>#VALUE!</v>
      </c>
      <c r="BI216" s="16" t="e">
        <f aca="false">MatchData[rough terrain scored crossings]*5</f>
        <v>#VALUE!</v>
      </c>
      <c r="BJ216" s="16" t="e">
        <f aca="false">MatchData[low bar scored crossings]*5</f>
        <v>#VALUE!</v>
      </c>
      <c r="BK216" s="16" t="e">
        <f aca="false">SUM(MatchData[[#this row],[low bar teleop crossings]:[rough terrain scored crossings]])</f>
        <v>#VALUE!</v>
      </c>
      <c r="BL216" s="16" t="e">
        <f aca="false">IFERROR(IF(OR(MatchData[[#this row],[challenge flag]],MatchData[[#this row],[climb flag]]),1,0),0)</f>
        <v>#VALUE!</v>
      </c>
      <c r="BM216" s="16" t="e">
        <f aca="false">MatchData[auto high goals]*10+MatchData[teleop high goals]*5</f>
        <v>#VALUE!</v>
      </c>
      <c r="BN216" s="16" t="e">
        <f aca="false">MatchData[auto low goals]*5+MatchData[teleop low goals]*2</f>
        <v>#VALUE!</v>
      </c>
      <c r="BO216" s="16" t="e">
        <f aca="false">MatchData[high goal score]+MatchData[low goal score]</f>
        <v>#VALUE!</v>
      </c>
      <c r="BP216" s="16" t="e">
        <f aca="false">MatchData[teleop high goals]+MatchData[teleop low goals]</f>
        <v>#VALUE!</v>
      </c>
      <c r="BQ216" s="16" t="e">
        <f aca="false">MatchData[[#this row],[auto reach flag]]*2+SUM(MatchData[[#this row],[portcullis auto crossings]:[low bar auto crossings]])*10+MatchData[[#this row],[auto low goals]]*5+MatchData[auto high goals]*10</f>
        <v>#VALUE!</v>
      </c>
      <c r="BR216" s="16" t="e">
        <f aca="false">SUM(MatchData[[#this row],[cheval teleop crossing score]:[low bar teleop crossing score]])</f>
        <v>#VALUE!</v>
      </c>
      <c r="BS216" s="16" t="e">
        <f aca="false">SUMIF(MatchData[team],MatchData[[#this row],[team]],MatchData[total auto score])/MatchData[match count]</f>
        <v>#VALUE!</v>
      </c>
      <c r="BT216" s="16" t="e">
        <f aca="false">MatchData[challenge flag]*5</f>
        <v>#VALUE!</v>
      </c>
      <c r="BU216" s="16" t="e">
        <f aca="false">MatchData[climb flag]*15</f>
        <v>#VALUE!</v>
      </c>
      <c r="BV216" s="16" t="e">
        <f aca="false">SUM(MatchData[[#this row],[total goal score]],MatchData[[#this row],[crossing score]],MatchData[[#this row],[challenge score]],MatchData[[#this row],[climb score]],MatchData[[#this row],[total auto score]])</f>
        <v>#VALUE!</v>
      </c>
      <c r="BW216" s="16" t="e">
        <f aca="false">ROUND(SUMIF(MatchData[team],MatchData[[#this row],[team]],MatchData[teleop low goals])/COUNTIF(MatchData[team],MatchData[[#this row],[team]]),2)</f>
        <v>#VALUE!</v>
      </c>
      <c r="BX216" s="16" t="e">
        <f aca="false">ROUND(SUMIF(MatchData[team],MatchData[[#this row],[team]],MatchData[teleop high goals])/COUNTIF(MatchData[team],MatchData[[#this row],[team]]),2)</f>
        <v>#VALUE!</v>
      </c>
      <c r="BY216" s="16" t="e">
        <f aca="false">COUNTIF(MatchData[team],MatchData[[#this row],[team]])</f>
        <v>#VALUE!</v>
      </c>
      <c r="BZ216" s="16" t="e">
        <f aca="false">SUMIF(MatchData[team],MatchData[[#this row],[team]],MatchData[portcullis available])</f>
        <v>#VALUE!</v>
      </c>
      <c r="CA216" s="16" t="e">
        <f aca="false">SUMIF(MatchData[team],MatchData[[#this row],[team]],MatchData[cheval available])</f>
        <v>#VALUE!</v>
      </c>
      <c r="CB216" s="16" t="e">
        <f aca="false">SUMIF(MatchData[team],MatchData[[#this row],[team]],MatchData[moat available])</f>
        <v>#VALUE!</v>
      </c>
      <c r="CC216" s="16" t="e">
        <f aca="false">SUMIF(MatchData[team],MatchData[[#this row],[team]],MatchData[ramparts available])</f>
        <v>#VALUE!</v>
      </c>
      <c r="CD216" s="16" t="e">
        <f aca="false">SUMIF(MatchData[team],MatchData[[#this row],[team]],MatchData[drawbridge available])</f>
        <v>#VALUE!</v>
      </c>
      <c r="CE216" s="16" t="e">
        <f aca="false">SUMIF(MatchData[team],MatchData[[#this row],[team]],MatchData[sally port available])</f>
        <v>#VALUE!</v>
      </c>
      <c r="CF216" s="16" t="e">
        <f aca="false">SUMIF(MatchData[team],MatchData[[#this row],[team]],MatchData[rock wall available])</f>
        <v>#VALUE!</v>
      </c>
      <c r="CG216" s="16" t="e">
        <f aca="false">SUMIF(MatchData[team],MatchData[[#this row],[team]],MatchData[rough terrain available])</f>
        <v>#VALUE!</v>
      </c>
      <c r="CH216" s="16" t="e">
        <f aca="false">SUMIF(MatchData[team],MatchData[[#this row],[team]],MatchData[low bar available])</f>
        <v>#VALUE!</v>
      </c>
      <c r="CI216" s="16" t="e">
        <f aca="false">SUMIF(MatchData[team],MatchData[[#this row],[team]],MatchData[portcullis teleop crossings]:MatchData[portcullis scored crossings])</f>
        <v>#VALUE!</v>
      </c>
      <c r="CJ216" s="16" t="e">
        <f aca="false">SUMIF(MatchData[team],MatchData[[#this row],[team]],MatchData[cheval teleop crossings])+SUMIF(MatchData[team],MatchData[[#this row],[team]],MatchData[cheval scored crossings])</f>
        <v>#VALUE!</v>
      </c>
      <c r="CK216" s="16" t="e">
        <f aca="false">SUMIF(MatchData[team],MatchData[[#this row],[team]],MatchData[moat teleop crossings])+SUMIF(MatchData[team],MatchData[[#this row],[team]],MatchData[moat scored crosings])</f>
        <v>#VALUE!</v>
      </c>
      <c r="CL216" s="16" t="e">
        <f aca="false">SUMIF(MatchData[team],MatchData[[#this row],[team]],MatchData[ramparts teleop crossings])+SUMIF(MatchData[team],MatchData[[#this row],[team]],MatchData[ramparts scored crossings])</f>
        <v>#VALUE!</v>
      </c>
      <c r="CM216" s="16" t="e">
        <f aca="false">SUMIF(MatchData[team],MatchData[[#this row],[team]],MatchData[drawbridge teleop crossings])+SUMIF(MatchData[team],MatchData[[#this row],[team]],MatchData[drawbridge scored crossings])</f>
        <v>#VALUE!</v>
      </c>
      <c r="CN216" s="16" t="e">
        <f aca="false">SUMIF(MatchData[team],MatchData[[#this row],[team]],MatchData[sally port teleop crossings])+SUMIF(MatchData[team],MatchData[[#this row],[team]],MatchData[sally port scored crossings])</f>
        <v>#VALUE!</v>
      </c>
      <c r="CO216" s="16" t="e">
        <f aca="false">SUMIF(MatchData[team],MatchData[[#this row],[team]],MatchData[rock wall teleop crossings])+SUMIF(MatchData[team],MatchData[[#this row],[team]],MatchData[rock wall scored crossings])</f>
        <v>#VALUE!</v>
      </c>
      <c r="CP216" s="16" t="e">
        <f aca="false">SUMIF(MatchData[team],MatchData[[#this row],[team]],MatchData[rough terrain teleop crossings])+SUMIF(MatchData[team],MatchData[[#this row],[team]],MatchData[rough terrain scored crossings])</f>
        <v>#VALUE!</v>
      </c>
      <c r="CQ216" s="16" t="e">
        <f aca="false">SUMIF(MatchData[team],MatchData[[#this row],[team]],MatchData[low bar teleop crossings])+SUMIF(MatchData[team],MatchData[[#this row],[team]],MatchData[low bar scored crossings])</f>
        <v>#VALUE!</v>
      </c>
      <c r="CR216" s="16" t="e">
        <f aca="false">IFERROR(ROUND(MatchData[[#this row],[portcullis sum]]/MatchData[[#this row],[portcullis avail count]],2),0)</f>
        <v>#VALUE!</v>
      </c>
      <c r="CS216" s="16" t="e">
        <f aca="false">IFERROR(ROUND(MatchData[[#this row],[cheval sum]]/MatchData[[#this row],[cheval avail count]],2),0)</f>
        <v>#VALUE!</v>
      </c>
      <c r="CT216" s="16" t="e">
        <f aca="false">IFERROR(ROUND(MatchData[[#this row],[moat sum]]/MatchData[[#this row],[moat avail count]],2),0)</f>
        <v>#VALUE!</v>
      </c>
      <c r="CU216" s="16" t="e">
        <f aca="false">IFERROR(ROUND(MatchData[[#this row],[ramparts sum]]/MatchData[[#this row],[ramparts avail count]],2),0)</f>
        <v>#VALUE!</v>
      </c>
      <c r="CV216" s="16" t="e">
        <f aca="false">IFERROR(ROUND(MatchData[[#this row],[drawbridge sum]]/MatchData[[#this row],[drawbridge avail countigh6]],2),0)</f>
        <v>#VALUE!</v>
      </c>
      <c r="CW216" s="16" t="e">
        <f aca="false">IFERROR(ROUND(MatchData[[#this row],[sally port sum]]/MatchData[[#this row],[sally port avail count]],2),0)</f>
        <v>#VALUE!</v>
      </c>
      <c r="CX216" s="5" t="e">
        <f aca="false">IFERROR(ROUND(MatchData[[#this row],[rock wall sum]]/MatchData[[#this row],[rock wall avail count]],2),0)</f>
        <v>#VALUE!</v>
      </c>
      <c r="CY216" s="5" t="e">
        <f aca="false">IFERROR(ROUND(MatchData[[#this row],[rough terrain sum]]/MatchData[[#this row],[rough terrain avail count]],2),0)</f>
        <v>#VALUE!</v>
      </c>
      <c r="CZ216" s="5" t="e">
        <f aca="false">IFERROR(ROUND(MatchData[[#this row],[low bar sum]]/MatchData[[#this row],[low bar avail count]],2),0)</f>
        <v>#VALUE!</v>
      </c>
      <c r="DA216" s="16" t="e">
        <f aca="false">SUM(MatchData[[#this row],[cheval sum]:[low bar sum]])/MatchData[match count]</f>
        <v>#VALUE!</v>
      </c>
      <c r="DB216" s="16" t="n">
        <f aca="false">MAX(IF(C$2:C$74=C216,BP$2:BP$74))</f>
        <v>-1.79769313486232E+308</v>
      </c>
      <c r="DC216" s="16" t="e">
        <f aca="false">AVERAGEIF(MatchData[team],MatchData[[#this row],[team]],MatchData[total score])</f>
        <v>#VALUE!</v>
      </c>
      <c r="DD216" s="16" t="e">
        <f aca="false">ROUND(AVERAGEIF(MatchData[team],MatchData[team],MatchData[climb or challenge flag]),2)</f>
        <v>#VALUE!</v>
      </c>
    </row>
    <row r="217" customFormat="false" ht="14.5" hidden="false" customHeight="false" outlineLevel="0" collapsed="false">
      <c r="A217" s="20" t="s">
        <v>108</v>
      </c>
      <c r="B217" s="21" t="n">
        <v>36</v>
      </c>
      <c r="C217" s="15" t="n">
        <v>5977</v>
      </c>
      <c r="D217" s="5" t="s">
        <v>113</v>
      </c>
      <c r="E217" s="5" t="s">
        <v>147</v>
      </c>
      <c r="G217" s="16"/>
      <c r="I217" s="16"/>
      <c r="J217" s="5" t="n">
        <v>1</v>
      </c>
      <c r="K217" s="16"/>
      <c r="L217" s="5" t="n">
        <v>1</v>
      </c>
      <c r="M217" s="5" t="n">
        <v>1</v>
      </c>
      <c r="N217" s="0"/>
      <c r="O217" s="0"/>
      <c r="P217" s="5" t="n">
        <v>1</v>
      </c>
      <c r="Q217" s="5" t="n">
        <v>1</v>
      </c>
      <c r="R217" s="0"/>
      <c r="S217" s="16"/>
      <c r="T217" s="0"/>
      <c r="U217" s="16"/>
      <c r="V217" s="16"/>
      <c r="W217" s="0"/>
      <c r="AD217" s="16"/>
      <c r="AE217" s="5"/>
      <c r="AF217" s="16"/>
      <c r="AG217" s="16"/>
      <c r="AH217" s="16"/>
      <c r="AJ217" s="16"/>
      <c r="AL217" s="16"/>
      <c r="AN217" s="16"/>
      <c r="AP217" s="16" t="n">
        <v>1</v>
      </c>
      <c r="AR217" s="16"/>
      <c r="AT217" s="16"/>
      <c r="AU217" s="16"/>
      <c r="AV217" s="16" t="n">
        <v>1</v>
      </c>
      <c r="AW217" s="16"/>
      <c r="AX217" s="16"/>
      <c r="AY217" s="16"/>
      <c r="AZ217" s="16"/>
      <c r="BB217" s="16"/>
      <c r="BC217" s="16" t="e">
        <f aca="false">MatchData[cheval scored crossings]*5</f>
        <v>#VALUE!</v>
      </c>
      <c r="BD217" s="16" t="e">
        <f aca="false">MatchData[moat scored crosings]*5</f>
        <v>#VALUE!</v>
      </c>
      <c r="BE217" s="16" t="e">
        <f aca="false">MatchData[ramparts scored crossings]*5</f>
        <v>#VALUE!</v>
      </c>
      <c r="BF217" s="16" t="e">
        <f aca="false">MatchData[drawbridge scored crossings]*5</f>
        <v>#VALUE!</v>
      </c>
      <c r="BG217" s="16" t="e">
        <f aca="false">MatchData[sally port scored crossings]*5</f>
        <v>#VALUE!</v>
      </c>
      <c r="BH217" s="16" t="e">
        <f aca="false">MatchData[rock wall scored crossings]*5</f>
        <v>#VALUE!</v>
      </c>
      <c r="BI217" s="16" t="e">
        <f aca="false">MatchData[rough terrain scored crossings]*5</f>
        <v>#VALUE!</v>
      </c>
      <c r="BJ217" s="16" t="e">
        <f aca="false">MatchData[low bar scored crossings]*5</f>
        <v>#VALUE!</v>
      </c>
      <c r="BK217" s="16" t="e">
        <f aca="false">SUM(MatchData[[#this row],[low bar teleop crossings]:[rough terrain scored crossings]])</f>
        <v>#VALUE!</v>
      </c>
      <c r="BL217" s="16" t="e">
        <f aca="false">IFERROR(IF(OR(MatchData[[#this row],[challenge flag]],MatchData[[#this row],[climb flag]]),1,0),0)</f>
        <v>#VALUE!</v>
      </c>
      <c r="BM217" s="16" t="e">
        <f aca="false">MatchData[auto high goals]*10+MatchData[teleop high goals]*5</f>
        <v>#VALUE!</v>
      </c>
      <c r="BN217" s="16" t="e">
        <f aca="false">MatchData[auto low goals]*5+MatchData[teleop low goals]*2</f>
        <v>#VALUE!</v>
      </c>
      <c r="BO217" s="16" t="e">
        <f aca="false">MatchData[high goal score]+MatchData[low goal score]</f>
        <v>#VALUE!</v>
      </c>
      <c r="BP217" s="16" t="e">
        <f aca="false">MatchData[teleop high goals]+MatchData[teleop low goals]</f>
        <v>#VALUE!</v>
      </c>
      <c r="BQ217" s="16" t="e">
        <f aca="false">MatchData[[#this row],[auto reach flag]]*2+SUM(MatchData[[#this row],[portcullis auto crossings]:[low bar auto crossings]])*10+MatchData[[#this row],[auto low goals]]*5+MatchData[auto high goals]*10</f>
        <v>#VALUE!</v>
      </c>
      <c r="BR217" s="16" t="e">
        <f aca="false">SUM(MatchData[[#this row],[cheval teleop crossing score]:[low bar teleop crossing score]])</f>
        <v>#VALUE!</v>
      </c>
      <c r="BS217" s="16" t="e">
        <f aca="false">SUMIF(MatchData[team],MatchData[[#this row],[team]],MatchData[total auto score])/MatchData[match count]</f>
        <v>#VALUE!</v>
      </c>
      <c r="BT217" s="16" t="e">
        <f aca="false">MatchData[challenge flag]*5</f>
        <v>#VALUE!</v>
      </c>
      <c r="BU217" s="16" t="e">
        <f aca="false">MatchData[climb flag]*15</f>
        <v>#VALUE!</v>
      </c>
      <c r="BV217" s="16" t="e">
        <f aca="false">SUM(MatchData[[#this row],[total goal score]],MatchData[[#this row],[crossing score]],MatchData[[#this row],[challenge score]],MatchData[[#this row],[climb score]],MatchData[[#this row],[total auto score]])</f>
        <v>#VALUE!</v>
      </c>
      <c r="BW217" s="16" t="e">
        <f aca="false">ROUND(SUMIF(MatchData[team],MatchData[[#this row],[team]],MatchData[teleop low goals])/COUNTIF(MatchData[team],MatchData[[#this row],[team]]),2)</f>
        <v>#VALUE!</v>
      </c>
      <c r="BX217" s="16" t="e">
        <f aca="false">ROUND(SUMIF(MatchData[team],MatchData[[#this row],[team]],MatchData[teleop high goals])/COUNTIF(MatchData[team],MatchData[[#this row],[team]]),2)</f>
        <v>#VALUE!</v>
      </c>
      <c r="BY217" s="16" t="e">
        <f aca="false">COUNTIF(MatchData[team],MatchData[[#this row],[team]])</f>
        <v>#VALUE!</v>
      </c>
      <c r="BZ217" s="16" t="e">
        <f aca="false">SUMIF(MatchData[team],MatchData[[#this row],[team]],MatchData[portcullis available])</f>
        <v>#VALUE!</v>
      </c>
      <c r="CA217" s="16" t="e">
        <f aca="false">SUMIF(MatchData[team],MatchData[[#this row],[team]],MatchData[cheval available])</f>
        <v>#VALUE!</v>
      </c>
      <c r="CB217" s="16" t="e">
        <f aca="false">SUMIF(MatchData[team],MatchData[[#this row],[team]],MatchData[moat available])</f>
        <v>#VALUE!</v>
      </c>
      <c r="CC217" s="16" t="e">
        <f aca="false">SUMIF(MatchData[team],MatchData[[#this row],[team]],MatchData[ramparts available])</f>
        <v>#VALUE!</v>
      </c>
      <c r="CD217" s="16" t="e">
        <f aca="false">SUMIF(MatchData[team],MatchData[[#this row],[team]],MatchData[drawbridge available])</f>
        <v>#VALUE!</v>
      </c>
      <c r="CE217" s="16" t="e">
        <f aca="false">SUMIF(MatchData[team],MatchData[[#this row],[team]],MatchData[sally port available])</f>
        <v>#VALUE!</v>
      </c>
      <c r="CF217" s="16" t="e">
        <f aca="false">SUMIF(MatchData[team],MatchData[[#this row],[team]],MatchData[rock wall available])</f>
        <v>#VALUE!</v>
      </c>
      <c r="CG217" s="16" t="e">
        <f aca="false">SUMIF(MatchData[team],MatchData[[#this row],[team]],MatchData[rough terrain available])</f>
        <v>#VALUE!</v>
      </c>
      <c r="CH217" s="16" t="e">
        <f aca="false">SUMIF(MatchData[team],MatchData[[#this row],[team]],MatchData[low bar available])</f>
        <v>#VALUE!</v>
      </c>
      <c r="CI217" s="16" t="e">
        <f aca="false">SUMIF(MatchData[team],MatchData[[#this row],[team]],MatchData[portcullis teleop crossings]:MatchData[portcullis scored crossings])</f>
        <v>#VALUE!</v>
      </c>
      <c r="CJ217" s="16" t="e">
        <f aca="false">SUMIF(MatchData[team],MatchData[[#this row],[team]],MatchData[cheval teleop crossings])+SUMIF(MatchData[team],MatchData[[#this row],[team]],MatchData[cheval scored crossings])</f>
        <v>#VALUE!</v>
      </c>
      <c r="CK217" s="16" t="e">
        <f aca="false">SUMIF(MatchData[team],MatchData[[#this row],[team]],MatchData[moat teleop crossings])+SUMIF(MatchData[team],MatchData[[#this row],[team]],MatchData[moat scored crosings])</f>
        <v>#VALUE!</v>
      </c>
      <c r="CL217" s="16" t="e">
        <f aca="false">SUMIF(MatchData[team],MatchData[[#this row],[team]],MatchData[ramparts teleop crossings])+SUMIF(MatchData[team],MatchData[[#this row],[team]],MatchData[ramparts scored crossings])</f>
        <v>#VALUE!</v>
      </c>
      <c r="CM217" s="16" t="e">
        <f aca="false">SUMIF(MatchData[team],MatchData[[#this row],[team]],MatchData[drawbridge teleop crossings])+SUMIF(MatchData[team],MatchData[[#this row],[team]],MatchData[drawbridge scored crossings])</f>
        <v>#VALUE!</v>
      </c>
      <c r="CN217" s="16" t="e">
        <f aca="false">SUMIF(MatchData[team],MatchData[[#this row],[team]],MatchData[sally port teleop crossings])+SUMIF(MatchData[team],MatchData[[#this row],[team]],MatchData[sally port scored crossings])</f>
        <v>#VALUE!</v>
      </c>
      <c r="CO217" s="16" t="e">
        <f aca="false">SUMIF(MatchData[team],MatchData[[#this row],[team]],MatchData[rock wall teleop crossings])+SUMIF(MatchData[team],MatchData[[#this row],[team]],MatchData[rock wall scored crossings])</f>
        <v>#VALUE!</v>
      </c>
      <c r="CP217" s="16" t="e">
        <f aca="false">SUMIF(MatchData[team],MatchData[[#this row],[team]],MatchData[rough terrain teleop crossings])+SUMIF(MatchData[team],MatchData[[#this row],[team]],MatchData[rough terrain scored crossings])</f>
        <v>#VALUE!</v>
      </c>
      <c r="CQ217" s="16" t="e">
        <f aca="false">SUMIF(MatchData[team],MatchData[[#this row],[team]],MatchData[low bar teleop crossings])+SUMIF(MatchData[team],MatchData[[#this row],[team]],MatchData[low bar scored crossings])</f>
        <v>#VALUE!</v>
      </c>
      <c r="CR217" s="16" t="e">
        <f aca="false">IFERROR(ROUND(MatchData[[#this row],[portcullis sum]]/MatchData[[#this row],[portcullis avail count]],2),0)</f>
        <v>#VALUE!</v>
      </c>
      <c r="CS217" s="16" t="e">
        <f aca="false">IFERROR(ROUND(MatchData[[#this row],[cheval sum]]/MatchData[[#this row],[cheval avail count]],2),0)</f>
        <v>#VALUE!</v>
      </c>
      <c r="CT217" s="16" t="e">
        <f aca="false">IFERROR(ROUND(MatchData[[#this row],[moat sum]]/MatchData[[#this row],[moat avail count]],2),0)</f>
        <v>#VALUE!</v>
      </c>
      <c r="CU217" s="16" t="e">
        <f aca="false">IFERROR(ROUND(MatchData[[#this row],[ramparts sum]]/MatchData[[#this row],[ramparts avail count]],2),0)</f>
        <v>#VALUE!</v>
      </c>
      <c r="CV217" s="16" t="e">
        <f aca="false">IFERROR(ROUND(MatchData[[#this row],[drawbridge sum]]/MatchData[[#this row],[drawbridge avail countigh6]],2),0)</f>
        <v>#VALUE!</v>
      </c>
      <c r="CW217" s="16" t="e">
        <f aca="false">IFERROR(ROUND(MatchData[[#this row],[sally port sum]]/MatchData[[#this row],[sally port avail count]],2),0)</f>
        <v>#VALUE!</v>
      </c>
      <c r="CX217" s="5" t="e">
        <f aca="false">IFERROR(ROUND(MatchData[[#this row],[rock wall sum]]/MatchData[[#this row],[rock wall avail count]],2),0)</f>
        <v>#VALUE!</v>
      </c>
      <c r="CY217" s="5" t="e">
        <f aca="false">IFERROR(ROUND(MatchData[[#this row],[rough terrain sum]]/MatchData[[#this row],[rough terrain avail count]],2),0)</f>
        <v>#VALUE!</v>
      </c>
      <c r="CZ217" s="5" t="e">
        <f aca="false">IFERROR(ROUND(MatchData[[#this row],[low bar sum]]/MatchData[[#this row],[low bar avail count]],2),0)</f>
        <v>#VALUE!</v>
      </c>
      <c r="DA217" s="16" t="e">
        <f aca="false">SUM(MatchData[[#this row],[cheval sum]:[low bar sum]])/MatchData[match count]</f>
        <v>#VALUE!</v>
      </c>
      <c r="DB217" s="16" t="n">
        <f aca="false">MAX(IF(C$2:C$74=C217,BP$2:BP$74))</f>
        <v>-1.79769313486232E+308</v>
      </c>
      <c r="DC217" s="16" t="e">
        <f aca="false">AVERAGEIF(MatchData[team],MatchData[[#this row],[team]],MatchData[total score])</f>
        <v>#VALUE!</v>
      </c>
      <c r="DD217" s="16" t="e">
        <f aca="false">ROUND(AVERAGEIF(MatchData[team],MatchData[team],MatchData[climb or challenge flag]),2)</f>
        <v>#VALUE!</v>
      </c>
    </row>
    <row r="218" customFormat="false" ht="14.5" hidden="false" customHeight="false" outlineLevel="0" collapsed="false">
      <c r="A218" s="20" t="s">
        <v>108</v>
      </c>
      <c r="B218" s="21" t="n">
        <v>37</v>
      </c>
      <c r="C218" s="15" t="n">
        <v>2374</v>
      </c>
      <c r="D218" s="5" t="s">
        <v>109</v>
      </c>
      <c r="E218" s="5" t="s">
        <v>147</v>
      </c>
      <c r="G218" s="16"/>
      <c r="I218" s="16"/>
      <c r="J218" s="5" t="n">
        <v>1</v>
      </c>
      <c r="K218" s="16" t="n">
        <v>1</v>
      </c>
      <c r="M218" s="5" t="n">
        <v>1</v>
      </c>
      <c r="N218" s="0"/>
      <c r="O218" s="0"/>
      <c r="P218" s="5" t="n">
        <v>1</v>
      </c>
      <c r="Q218" s="5" t="n">
        <v>1</v>
      </c>
      <c r="R218" s="0"/>
      <c r="S218" s="16"/>
      <c r="T218" s="0"/>
      <c r="U218" s="16"/>
      <c r="V218" s="16"/>
      <c r="W218" s="0"/>
      <c r="AD218" s="16"/>
      <c r="AE218" s="5"/>
      <c r="AF218" s="16"/>
      <c r="AG218" s="16"/>
      <c r="AH218" s="16"/>
      <c r="AI218" s="5" t="n">
        <v>1</v>
      </c>
      <c r="AJ218" s="16"/>
      <c r="AL218" s="16"/>
      <c r="AN218" s="16"/>
      <c r="AP218" s="16"/>
      <c r="AR218" s="16" t="n">
        <v>2</v>
      </c>
      <c r="AT218" s="16"/>
      <c r="AU218" s="16"/>
      <c r="AV218" s="16"/>
      <c r="AW218" s="16"/>
      <c r="AX218" s="16"/>
      <c r="AY218" s="16"/>
      <c r="AZ218" s="16"/>
      <c r="BB218" s="16" t="n">
        <v>1</v>
      </c>
      <c r="BC218" s="16" t="e">
        <f aca="false">MatchData[cheval scored crossings]*5</f>
        <v>#VALUE!</v>
      </c>
      <c r="BD218" s="16" t="e">
        <f aca="false">MatchData[moat scored crosings]*5</f>
        <v>#VALUE!</v>
      </c>
      <c r="BE218" s="16" t="e">
        <f aca="false">MatchData[ramparts scored crossings]*5</f>
        <v>#VALUE!</v>
      </c>
      <c r="BF218" s="16" t="e">
        <f aca="false">MatchData[drawbridge scored crossings]*5</f>
        <v>#VALUE!</v>
      </c>
      <c r="BG218" s="16" t="e">
        <f aca="false">MatchData[sally port scored crossings]*5</f>
        <v>#VALUE!</v>
      </c>
      <c r="BH218" s="16" t="e">
        <f aca="false">MatchData[rock wall scored crossings]*5</f>
        <v>#VALUE!</v>
      </c>
      <c r="BI218" s="16" t="e">
        <f aca="false">MatchData[rough terrain scored crossings]*5</f>
        <v>#VALUE!</v>
      </c>
      <c r="BJ218" s="16" t="e">
        <f aca="false">MatchData[low bar scored crossings]*5</f>
        <v>#VALUE!</v>
      </c>
      <c r="BK218" s="16" t="e">
        <f aca="false">SUM(MatchData[[#this row],[low bar teleop crossings]:[rough terrain scored crossings]])</f>
        <v>#VALUE!</v>
      </c>
      <c r="BL218" s="16" t="e">
        <f aca="false">IFERROR(IF(OR(MatchData[[#this row],[challenge flag]],MatchData[[#this row],[climb flag]]),1,0),0)</f>
        <v>#VALUE!</v>
      </c>
      <c r="BM218" s="16" t="e">
        <f aca="false">MatchData[auto high goals]*10+MatchData[teleop high goals]*5</f>
        <v>#VALUE!</v>
      </c>
      <c r="BN218" s="16" t="e">
        <f aca="false">MatchData[auto low goals]*5+MatchData[teleop low goals]*2</f>
        <v>#VALUE!</v>
      </c>
      <c r="BO218" s="16" t="e">
        <f aca="false">MatchData[high goal score]+MatchData[low goal score]</f>
        <v>#VALUE!</v>
      </c>
      <c r="BP218" s="16" t="e">
        <f aca="false">MatchData[teleop high goals]+MatchData[teleop low goals]</f>
        <v>#VALUE!</v>
      </c>
      <c r="BQ218" s="16" t="e">
        <f aca="false">MatchData[[#this row],[auto reach flag]]*2+SUM(MatchData[[#this row],[portcullis auto crossings]:[low bar auto crossings]])*10+MatchData[[#this row],[auto low goals]]*5+MatchData[auto high goals]*10</f>
        <v>#VALUE!</v>
      </c>
      <c r="BR218" s="16" t="e">
        <f aca="false">SUM(MatchData[[#this row],[cheval teleop crossing score]:[low bar teleop crossing score]])</f>
        <v>#VALUE!</v>
      </c>
      <c r="BS218" s="16" t="e">
        <f aca="false">SUMIF(MatchData[team],MatchData[[#this row],[team]],MatchData[total auto score])/MatchData[match count]</f>
        <v>#VALUE!</v>
      </c>
      <c r="BT218" s="16" t="e">
        <f aca="false">MatchData[challenge flag]*5</f>
        <v>#VALUE!</v>
      </c>
      <c r="BU218" s="16" t="e">
        <f aca="false">MatchData[climb flag]*15</f>
        <v>#VALUE!</v>
      </c>
      <c r="BV218" s="16" t="e">
        <f aca="false">SUM(MatchData[[#this row],[total goal score]],MatchData[[#this row],[crossing score]],MatchData[[#this row],[challenge score]],MatchData[[#this row],[climb score]],MatchData[[#this row],[total auto score]])</f>
        <v>#VALUE!</v>
      </c>
      <c r="BW218" s="16" t="e">
        <f aca="false">ROUND(SUMIF(MatchData[team],MatchData[[#this row],[team]],MatchData[teleop low goals])/COUNTIF(MatchData[team],MatchData[[#this row],[team]]),2)</f>
        <v>#VALUE!</v>
      </c>
      <c r="BX218" s="16" t="e">
        <f aca="false">ROUND(SUMIF(MatchData[team],MatchData[[#this row],[team]],MatchData[teleop high goals])/COUNTIF(MatchData[team],MatchData[[#this row],[team]]),2)</f>
        <v>#VALUE!</v>
      </c>
      <c r="BY218" s="16" t="e">
        <f aca="false">COUNTIF(MatchData[team],MatchData[[#this row],[team]])</f>
        <v>#VALUE!</v>
      </c>
      <c r="BZ218" s="16" t="e">
        <f aca="false">SUMIF(MatchData[team],MatchData[[#this row],[team]],MatchData[portcullis available])</f>
        <v>#VALUE!</v>
      </c>
      <c r="CA218" s="16" t="e">
        <f aca="false">SUMIF(MatchData[team],MatchData[[#this row],[team]],MatchData[cheval available])</f>
        <v>#VALUE!</v>
      </c>
      <c r="CB218" s="16" t="e">
        <f aca="false">SUMIF(MatchData[team],MatchData[[#this row],[team]],MatchData[moat available])</f>
        <v>#VALUE!</v>
      </c>
      <c r="CC218" s="16" t="e">
        <f aca="false">SUMIF(MatchData[team],MatchData[[#this row],[team]],MatchData[ramparts available])</f>
        <v>#VALUE!</v>
      </c>
      <c r="CD218" s="16" t="e">
        <f aca="false">SUMIF(MatchData[team],MatchData[[#this row],[team]],MatchData[drawbridge available])</f>
        <v>#VALUE!</v>
      </c>
      <c r="CE218" s="16" t="e">
        <f aca="false">SUMIF(MatchData[team],MatchData[[#this row],[team]],MatchData[sally port available])</f>
        <v>#VALUE!</v>
      </c>
      <c r="CF218" s="16" t="e">
        <f aca="false">SUMIF(MatchData[team],MatchData[[#this row],[team]],MatchData[rock wall available])</f>
        <v>#VALUE!</v>
      </c>
      <c r="CG218" s="16" t="e">
        <f aca="false">SUMIF(MatchData[team],MatchData[[#this row],[team]],MatchData[rough terrain available])</f>
        <v>#VALUE!</v>
      </c>
      <c r="CH218" s="16" t="e">
        <f aca="false">SUMIF(MatchData[team],MatchData[[#this row],[team]],MatchData[low bar available])</f>
        <v>#VALUE!</v>
      </c>
      <c r="CI218" s="16" t="e">
        <f aca="false">SUMIF(MatchData[team],MatchData[[#this row],[team]],MatchData[portcullis teleop crossings]:MatchData[portcullis scored crossings])</f>
        <v>#VALUE!</v>
      </c>
      <c r="CJ218" s="16" t="e">
        <f aca="false">SUMIF(MatchData[team],MatchData[[#this row],[team]],MatchData[cheval teleop crossings])+SUMIF(MatchData[team],MatchData[[#this row],[team]],MatchData[cheval scored crossings])</f>
        <v>#VALUE!</v>
      </c>
      <c r="CK218" s="16" t="e">
        <f aca="false">SUMIF(MatchData[team],MatchData[[#this row],[team]],MatchData[moat teleop crossings])+SUMIF(MatchData[team],MatchData[[#this row],[team]],MatchData[moat scored crosings])</f>
        <v>#VALUE!</v>
      </c>
      <c r="CL218" s="16" t="e">
        <f aca="false">SUMIF(MatchData[team],MatchData[[#this row],[team]],MatchData[ramparts teleop crossings])+SUMIF(MatchData[team],MatchData[[#this row],[team]],MatchData[ramparts scored crossings])</f>
        <v>#VALUE!</v>
      </c>
      <c r="CM218" s="16" t="e">
        <f aca="false">SUMIF(MatchData[team],MatchData[[#this row],[team]],MatchData[drawbridge teleop crossings])+SUMIF(MatchData[team],MatchData[[#this row],[team]],MatchData[drawbridge scored crossings])</f>
        <v>#VALUE!</v>
      </c>
      <c r="CN218" s="16" t="e">
        <f aca="false">SUMIF(MatchData[team],MatchData[[#this row],[team]],MatchData[sally port teleop crossings])+SUMIF(MatchData[team],MatchData[[#this row],[team]],MatchData[sally port scored crossings])</f>
        <v>#VALUE!</v>
      </c>
      <c r="CO218" s="16" t="e">
        <f aca="false">SUMIF(MatchData[team],MatchData[[#this row],[team]],MatchData[rock wall teleop crossings])+SUMIF(MatchData[team],MatchData[[#this row],[team]],MatchData[rock wall scored crossings])</f>
        <v>#VALUE!</v>
      </c>
      <c r="CP218" s="16" t="e">
        <f aca="false">SUMIF(MatchData[team],MatchData[[#this row],[team]],MatchData[rough terrain teleop crossings])+SUMIF(MatchData[team],MatchData[[#this row],[team]],MatchData[rough terrain scored crossings])</f>
        <v>#VALUE!</v>
      </c>
      <c r="CQ218" s="16" t="e">
        <f aca="false">SUMIF(MatchData[team],MatchData[[#this row],[team]],MatchData[low bar teleop crossings])+SUMIF(MatchData[team],MatchData[[#this row],[team]],MatchData[low bar scored crossings])</f>
        <v>#VALUE!</v>
      </c>
      <c r="CR218" s="16" t="e">
        <f aca="false">IFERROR(ROUND(MatchData[[#this row],[portcullis sum]]/MatchData[[#this row],[portcullis avail count]],2),0)</f>
        <v>#VALUE!</v>
      </c>
      <c r="CS218" s="16" t="e">
        <f aca="false">IFERROR(ROUND(MatchData[[#this row],[cheval sum]]/MatchData[[#this row],[cheval avail count]],2),0)</f>
        <v>#VALUE!</v>
      </c>
      <c r="CT218" s="16" t="e">
        <f aca="false">IFERROR(ROUND(MatchData[[#this row],[moat sum]]/MatchData[[#this row],[moat avail count]],2),0)</f>
        <v>#VALUE!</v>
      </c>
      <c r="CU218" s="16" t="e">
        <f aca="false">IFERROR(ROUND(MatchData[[#this row],[ramparts sum]]/MatchData[[#this row],[ramparts avail count]],2),0)</f>
        <v>#VALUE!</v>
      </c>
      <c r="CV218" s="16" t="e">
        <f aca="false">IFERROR(ROUND(MatchData[[#this row],[drawbridge sum]]/MatchData[[#this row],[drawbridge avail countigh6]],2),0)</f>
        <v>#VALUE!</v>
      </c>
      <c r="CW218" s="16" t="e">
        <f aca="false">IFERROR(ROUND(MatchData[[#this row],[sally port sum]]/MatchData[[#this row],[sally port avail count]],2),0)</f>
        <v>#VALUE!</v>
      </c>
      <c r="CX218" s="5" t="e">
        <f aca="false">IFERROR(ROUND(MatchData[[#this row],[rock wall sum]]/MatchData[[#this row],[rock wall avail count]],2),0)</f>
        <v>#VALUE!</v>
      </c>
      <c r="CY218" s="5" t="e">
        <f aca="false">IFERROR(ROUND(MatchData[[#this row],[rough terrain sum]]/MatchData[[#this row],[rough terrain avail count]],2),0)</f>
        <v>#VALUE!</v>
      </c>
      <c r="CZ218" s="5" t="e">
        <f aca="false">IFERROR(ROUND(MatchData[[#this row],[low bar sum]]/MatchData[[#this row],[low bar avail count]],2),0)</f>
        <v>#VALUE!</v>
      </c>
      <c r="DA218" s="16" t="e">
        <f aca="false">SUM(MatchData[[#this row],[cheval sum]:[low bar sum]])/MatchData[match count]</f>
        <v>#VALUE!</v>
      </c>
      <c r="DB218" s="16" t="n">
        <f aca="false">MAX(IF(C$2:C$74=C218,BP$2:BP$74))</f>
        <v>-1.79769313486232E+308</v>
      </c>
      <c r="DC218" s="16" t="e">
        <f aca="false">AVERAGEIF(MatchData[team],MatchData[[#this row],[team]],MatchData[total score])</f>
        <v>#VALUE!</v>
      </c>
      <c r="DD218" s="16" t="e">
        <f aca="false">ROUND(AVERAGEIF(MatchData[team],MatchData[team],MatchData[climb or challenge flag]),2)</f>
        <v>#VALUE!</v>
      </c>
    </row>
    <row r="219" customFormat="false" ht="14.5" hidden="false" customHeight="false" outlineLevel="0" collapsed="false">
      <c r="A219" s="20" t="s">
        <v>108</v>
      </c>
      <c r="B219" s="21" t="n">
        <v>37</v>
      </c>
      <c r="C219" s="15" t="n">
        <v>3711</v>
      </c>
      <c r="D219" s="5" t="s">
        <v>109</v>
      </c>
      <c r="E219" s="5" t="s">
        <v>158</v>
      </c>
      <c r="G219" s="16"/>
      <c r="I219" s="16"/>
      <c r="J219" s="5" t="n">
        <v>1</v>
      </c>
      <c r="K219" s="16" t="n">
        <v>1</v>
      </c>
      <c r="M219" s="5" t="n">
        <v>1</v>
      </c>
      <c r="N219" s="0"/>
      <c r="O219" s="0"/>
      <c r="P219" s="5" t="n">
        <v>1</v>
      </c>
      <c r="Q219" s="5" t="n">
        <v>1</v>
      </c>
      <c r="R219" s="0"/>
      <c r="S219" s="16"/>
      <c r="T219" s="0"/>
      <c r="U219" s="16"/>
      <c r="V219" s="16"/>
      <c r="W219" s="0"/>
      <c r="AB219" s="5" t="n">
        <v>1</v>
      </c>
      <c r="AD219" s="16" t="n">
        <v>1</v>
      </c>
      <c r="AE219" s="5"/>
      <c r="AF219" s="16" t="n">
        <v>2</v>
      </c>
      <c r="AG219" s="16"/>
      <c r="AH219" s="16"/>
      <c r="AI219" s="5" t="n">
        <v>1</v>
      </c>
      <c r="AJ219" s="16" t="n">
        <v>1</v>
      </c>
      <c r="AL219" s="16"/>
      <c r="AN219" s="16"/>
      <c r="AP219" s="16"/>
      <c r="AR219" s="16"/>
      <c r="AT219" s="16"/>
      <c r="AU219" s="16"/>
      <c r="AV219" s="16"/>
      <c r="AW219" s="16" t="n">
        <v>1</v>
      </c>
      <c r="AX219" s="16"/>
      <c r="AY219" s="16"/>
      <c r="AZ219" s="16"/>
      <c r="BB219" s="16" t="n">
        <v>1</v>
      </c>
      <c r="BC219" s="16" t="e">
        <f aca="false">MatchData[cheval scored crossings]*5</f>
        <v>#VALUE!</v>
      </c>
      <c r="BD219" s="16" t="e">
        <f aca="false">MatchData[moat scored crosings]*5</f>
        <v>#VALUE!</v>
      </c>
      <c r="BE219" s="16" t="e">
        <f aca="false">MatchData[ramparts scored crossings]*5</f>
        <v>#VALUE!</v>
      </c>
      <c r="BF219" s="16" t="e">
        <f aca="false">MatchData[drawbridge scored crossings]*5</f>
        <v>#VALUE!</v>
      </c>
      <c r="BG219" s="16" t="e">
        <f aca="false">MatchData[sally port scored crossings]*5</f>
        <v>#VALUE!</v>
      </c>
      <c r="BH219" s="16" t="e">
        <f aca="false">MatchData[rock wall scored crossings]*5</f>
        <v>#VALUE!</v>
      </c>
      <c r="BI219" s="16" t="e">
        <f aca="false">MatchData[rough terrain scored crossings]*5</f>
        <v>#VALUE!</v>
      </c>
      <c r="BJ219" s="16" t="e">
        <f aca="false">MatchData[low bar scored crossings]*5</f>
        <v>#VALUE!</v>
      </c>
      <c r="BK219" s="16" t="e">
        <f aca="false">SUM(MatchData[[#this row],[low bar teleop crossings]:[rough terrain scored crossings]])</f>
        <v>#VALUE!</v>
      </c>
      <c r="BL219" s="16" t="e">
        <f aca="false">IFERROR(IF(OR(MatchData[[#this row],[challenge flag]],MatchData[[#this row],[climb flag]]),1,0),0)</f>
        <v>#VALUE!</v>
      </c>
      <c r="BM219" s="16" t="e">
        <f aca="false">MatchData[auto high goals]*10+MatchData[teleop high goals]*5</f>
        <v>#VALUE!</v>
      </c>
      <c r="BN219" s="16" t="e">
        <f aca="false">MatchData[auto low goals]*5+MatchData[teleop low goals]*2</f>
        <v>#VALUE!</v>
      </c>
      <c r="BO219" s="16" t="e">
        <f aca="false">MatchData[high goal score]+MatchData[low goal score]</f>
        <v>#VALUE!</v>
      </c>
      <c r="BP219" s="16" t="e">
        <f aca="false">MatchData[teleop high goals]+MatchData[teleop low goals]</f>
        <v>#VALUE!</v>
      </c>
      <c r="BQ219" s="16" t="e">
        <f aca="false">MatchData[[#this row],[auto reach flag]]*2+SUM(MatchData[[#this row],[portcullis auto crossings]:[low bar auto crossings]])*10+MatchData[[#this row],[auto low goals]]*5+MatchData[auto high goals]*10</f>
        <v>#VALUE!</v>
      </c>
      <c r="BR219" s="16" t="e">
        <f aca="false">SUM(MatchData[[#this row],[cheval teleop crossing score]:[low bar teleop crossing score]])</f>
        <v>#VALUE!</v>
      </c>
      <c r="BS219" s="16" t="e">
        <f aca="false">SUMIF(MatchData[team],MatchData[[#this row],[team]],MatchData[total auto score])/MatchData[match count]</f>
        <v>#VALUE!</v>
      </c>
      <c r="BT219" s="16" t="e">
        <f aca="false">MatchData[challenge flag]*5</f>
        <v>#VALUE!</v>
      </c>
      <c r="BU219" s="16" t="e">
        <f aca="false">MatchData[climb flag]*15</f>
        <v>#VALUE!</v>
      </c>
      <c r="BV219" s="16" t="e">
        <f aca="false">SUM(MatchData[[#this row],[total goal score]],MatchData[[#this row],[crossing score]],MatchData[[#this row],[challenge score]],MatchData[[#this row],[climb score]],MatchData[[#this row],[total auto score]])</f>
        <v>#VALUE!</v>
      </c>
      <c r="BW219" s="16" t="e">
        <f aca="false">ROUND(SUMIF(MatchData[team],MatchData[[#this row],[team]],MatchData[teleop low goals])/COUNTIF(MatchData[team],MatchData[[#this row],[team]]),2)</f>
        <v>#VALUE!</v>
      </c>
      <c r="BX219" s="16" t="e">
        <f aca="false">ROUND(SUMIF(MatchData[team],MatchData[[#this row],[team]],MatchData[teleop high goals])/COUNTIF(MatchData[team],MatchData[[#this row],[team]]),2)</f>
        <v>#VALUE!</v>
      </c>
      <c r="BY219" s="16" t="e">
        <f aca="false">COUNTIF(MatchData[team],MatchData[[#this row],[team]])</f>
        <v>#VALUE!</v>
      </c>
      <c r="BZ219" s="16" t="e">
        <f aca="false">SUMIF(MatchData[team],MatchData[[#this row],[team]],MatchData[portcullis available])</f>
        <v>#VALUE!</v>
      </c>
      <c r="CA219" s="16" t="e">
        <f aca="false">SUMIF(MatchData[team],MatchData[[#this row],[team]],MatchData[cheval available])</f>
        <v>#VALUE!</v>
      </c>
      <c r="CB219" s="16" t="e">
        <f aca="false">SUMIF(MatchData[team],MatchData[[#this row],[team]],MatchData[moat available])</f>
        <v>#VALUE!</v>
      </c>
      <c r="CC219" s="16" t="e">
        <f aca="false">SUMIF(MatchData[team],MatchData[[#this row],[team]],MatchData[ramparts available])</f>
        <v>#VALUE!</v>
      </c>
      <c r="CD219" s="16" t="e">
        <f aca="false">SUMIF(MatchData[team],MatchData[[#this row],[team]],MatchData[drawbridge available])</f>
        <v>#VALUE!</v>
      </c>
      <c r="CE219" s="16" t="e">
        <f aca="false">SUMIF(MatchData[team],MatchData[[#this row],[team]],MatchData[sally port available])</f>
        <v>#VALUE!</v>
      </c>
      <c r="CF219" s="16" t="e">
        <f aca="false">SUMIF(MatchData[team],MatchData[[#this row],[team]],MatchData[rock wall available])</f>
        <v>#VALUE!</v>
      </c>
      <c r="CG219" s="16" t="e">
        <f aca="false">SUMIF(MatchData[team],MatchData[[#this row],[team]],MatchData[rough terrain available])</f>
        <v>#VALUE!</v>
      </c>
      <c r="CH219" s="16" t="e">
        <f aca="false">SUMIF(MatchData[team],MatchData[[#this row],[team]],MatchData[low bar available])</f>
        <v>#VALUE!</v>
      </c>
      <c r="CI219" s="16" t="e">
        <f aca="false">SUMIF(MatchData[team],MatchData[[#this row],[team]],MatchData[portcullis teleop crossings]:MatchData[portcullis scored crossings])</f>
        <v>#VALUE!</v>
      </c>
      <c r="CJ219" s="16" t="e">
        <f aca="false">SUMIF(MatchData[team],MatchData[[#this row],[team]],MatchData[cheval teleop crossings])+SUMIF(MatchData[team],MatchData[[#this row],[team]],MatchData[cheval scored crossings])</f>
        <v>#VALUE!</v>
      </c>
      <c r="CK219" s="16" t="e">
        <f aca="false">SUMIF(MatchData[team],MatchData[[#this row],[team]],MatchData[moat teleop crossings])+SUMIF(MatchData[team],MatchData[[#this row],[team]],MatchData[moat scored crosings])</f>
        <v>#VALUE!</v>
      </c>
      <c r="CL219" s="16" t="e">
        <f aca="false">SUMIF(MatchData[team],MatchData[[#this row],[team]],MatchData[ramparts teleop crossings])+SUMIF(MatchData[team],MatchData[[#this row],[team]],MatchData[ramparts scored crossings])</f>
        <v>#VALUE!</v>
      </c>
      <c r="CM219" s="16" t="e">
        <f aca="false">SUMIF(MatchData[team],MatchData[[#this row],[team]],MatchData[drawbridge teleop crossings])+SUMIF(MatchData[team],MatchData[[#this row],[team]],MatchData[drawbridge scored crossings])</f>
        <v>#VALUE!</v>
      </c>
      <c r="CN219" s="16" t="e">
        <f aca="false">SUMIF(MatchData[team],MatchData[[#this row],[team]],MatchData[sally port teleop crossings])+SUMIF(MatchData[team],MatchData[[#this row],[team]],MatchData[sally port scored crossings])</f>
        <v>#VALUE!</v>
      </c>
      <c r="CO219" s="16" t="e">
        <f aca="false">SUMIF(MatchData[team],MatchData[[#this row],[team]],MatchData[rock wall teleop crossings])+SUMIF(MatchData[team],MatchData[[#this row],[team]],MatchData[rock wall scored crossings])</f>
        <v>#VALUE!</v>
      </c>
      <c r="CP219" s="16" t="e">
        <f aca="false">SUMIF(MatchData[team],MatchData[[#this row],[team]],MatchData[rough terrain teleop crossings])+SUMIF(MatchData[team],MatchData[[#this row],[team]],MatchData[rough terrain scored crossings])</f>
        <v>#VALUE!</v>
      </c>
      <c r="CQ219" s="16" t="e">
        <f aca="false">SUMIF(MatchData[team],MatchData[[#this row],[team]],MatchData[low bar teleop crossings])+SUMIF(MatchData[team],MatchData[[#this row],[team]],MatchData[low bar scored crossings])</f>
        <v>#VALUE!</v>
      </c>
      <c r="CR219" s="16" t="e">
        <f aca="false">IFERROR(ROUND(MatchData[[#this row],[portcullis sum]]/MatchData[[#this row],[portcullis avail count]],2),0)</f>
        <v>#VALUE!</v>
      </c>
      <c r="CS219" s="16" t="e">
        <f aca="false">IFERROR(ROUND(MatchData[[#this row],[cheval sum]]/MatchData[[#this row],[cheval avail count]],2),0)</f>
        <v>#VALUE!</v>
      </c>
      <c r="CT219" s="16" t="e">
        <f aca="false">IFERROR(ROUND(MatchData[[#this row],[moat sum]]/MatchData[[#this row],[moat avail count]],2),0)</f>
        <v>#VALUE!</v>
      </c>
      <c r="CU219" s="16" t="e">
        <f aca="false">IFERROR(ROUND(MatchData[[#this row],[ramparts sum]]/MatchData[[#this row],[ramparts avail count]],2),0)</f>
        <v>#VALUE!</v>
      </c>
      <c r="CV219" s="16" t="e">
        <f aca="false">IFERROR(ROUND(MatchData[[#this row],[drawbridge sum]]/MatchData[[#this row],[drawbridge avail countigh6]],2),0)</f>
        <v>#VALUE!</v>
      </c>
      <c r="CW219" s="16" t="e">
        <f aca="false">IFERROR(ROUND(MatchData[[#this row],[sally port sum]]/MatchData[[#this row],[sally port avail count]],2),0)</f>
        <v>#VALUE!</v>
      </c>
      <c r="CX219" s="5" t="e">
        <f aca="false">IFERROR(ROUND(MatchData[[#this row],[rock wall sum]]/MatchData[[#this row],[rock wall avail count]],2),0)</f>
        <v>#VALUE!</v>
      </c>
      <c r="CY219" s="5" t="e">
        <f aca="false">IFERROR(ROUND(MatchData[[#this row],[rough terrain sum]]/MatchData[[#this row],[rough terrain avail count]],2),0)</f>
        <v>#VALUE!</v>
      </c>
      <c r="CZ219" s="5" t="e">
        <f aca="false">IFERROR(ROUND(MatchData[[#this row],[low bar sum]]/MatchData[[#this row],[low bar avail count]],2),0)</f>
        <v>#VALUE!</v>
      </c>
      <c r="DA219" s="16" t="e">
        <f aca="false">SUM(MatchData[[#this row],[cheval sum]:[low bar sum]])/MatchData[match count]</f>
        <v>#VALUE!</v>
      </c>
      <c r="DB219" s="16" t="n">
        <f aca="false">MAX(IF(C$2:C$74=C219,BP$2:BP$74))</f>
        <v>-1.79769313486232E+308</v>
      </c>
      <c r="DC219" s="16" t="e">
        <f aca="false">AVERAGEIF(MatchData[team],MatchData[[#this row],[team]],MatchData[total score])</f>
        <v>#VALUE!</v>
      </c>
      <c r="DD219" s="16" t="e">
        <f aca="false">ROUND(AVERAGEIF(MatchData[team],MatchData[team],MatchData[climb or challenge flag]),2)</f>
        <v>#VALUE!</v>
      </c>
    </row>
    <row r="220" customFormat="false" ht="14.5" hidden="false" customHeight="false" outlineLevel="0" collapsed="false">
      <c r="A220" s="20" t="s">
        <v>108</v>
      </c>
      <c r="B220" s="22" t="n">
        <v>37</v>
      </c>
      <c r="C220" s="15" t="n">
        <v>5970</v>
      </c>
      <c r="D220" s="5" t="s">
        <v>109</v>
      </c>
      <c r="E220" s="5" t="s">
        <v>159</v>
      </c>
      <c r="G220" s="16"/>
      <c r="I220" s="16"/>
      <c r="J220" s="5" t="n">
        <v>1</v>
      </c>
      <c r="K220" s="16" t="n">
        <v>1</v>
      </c>
      <c r="M220" s="5" t="n">
        <v>1</v>
      </c>
      <c r="N220" s="0"/>
      <c r="O220" s="0"/>
      <c r="P220" s="5" t="n">
        <v>1</v>
      </c>
      <c r="Q220" s="5" t="n">
        <v>1</v>
      </c>
      <c r="R220" s="0"/>
      <c r="S220" s="16" t="n">
        <v>1</v>
      </c>
      <c r="T220" s="0"/>
      <c r="U220" s="16"/>
      <c r="V220" s="16"/>
      <c r="W220" s="0"/>
      <c r="AD220" s="16"/>
      <c r="AE220" s="5"/>
      <c r="AF220" s="16"/>
      <c r="AG220" s="16"/>
      <c r="AH220" s="16"/>
      <c r="AI220" s="5" t="n">
        <v>1</v>
      </c>
      <c r="AJ220" s="16" t="n">
        <v>2</v>
      </c>
      <c r="AL220" s="16"/>
      <c r="AN220" s="16"/>
      <c r="AP220" s="16"/>
      <c r="AR220" s="16"/>
      <c r="AT220" s="16"/>
      <c r="AU220" s="16"/>
      <c r="AV220" s="16"/>
      <c r="AW220" s="16"/>
      <c r="AX220" s="16"/>
      <c r="AY220" s="16"/>
      <c r="AZ220" s="16"/>
      <c r="BB220" s="16" t="n">
        <v>1</v>
      </c>
      <c r="BC220" s="16" t="e">
        <f aca="false">MatchData[cheval scored crossings]*5</f>
        <v>#VALUE!</v>
      </c>
      <c r="BD220" s="16" t="e">
        <f aca="false">MatchData[moat scored crosings]*5</f>
        <v>#VALUE!</v>
      </c>
      <c r="BE220" s="16" t="e">
        <f aca="false">MatchData[ramparts scored crossings]*5</f>
        <v>#VALUE!</v>
      </c>
      <c r="BF220" s="16" t="e">
        <f aca="false">MatchData[drawbridge scored crossings]*5</f>
        <v>#VALUE!</v>
      </c>
      <c r="BG220" s="16" t="e">
        <f aca="false">MatchData[sally port scored crossings]*5</f>
        <v>#VALUE!</v>
      </c>
      <c r="BH220" s="16" t="e">
        <f aca="false">MatchData[rock wall scored crossings]*5</f>
        <v>#VALUE!</v>
      </c>
      <c r="BI220" s="16" t="e">
        <f aca="false">MatchData[rough terrain scored crossings]*5</f>
        <v>#VALUE!</v>
      </c>
      <c r="BJ220" s="16" t="e">
        <f aca="false">MatchData[low bar scored crossings]*5</f>
        <v>#VALUE!</v>
      </c>
      <c r="BK220" s="16" t="e">
        <f aca="false">SUM(MatchData[[#this row],[low bar teleop crossings]:[rough terrain scored crossings]])</f>
        <v>#VALUE!</v>
      </c>
      <c r="BL220" s="16" t="e">
        <f aca="false">IFERROR(IF(OR(MatchData[[#this row],[challenge flag]],MatchData[[#this row],[climb flag]]),1,0),0)</f>
        <v>#VALUE!</v>
      </c>
      <c r="BM220" s="16" t="e">
        <f aca="false">MatchData[auto high goals]*10+MatchData[teleop high goals]*5</f>
        <v>#VALUE!</v>
      </c>
      <c r="BN220" s="16" t="e">
        <f aca="false">MatchData[auto low goals]*5+MatchData[teleop low goals]*2</f>
        <v>#VALUE!</v>
      </c>
      <c r="BO220" s="16" t="e">
        <f aca="false">MatchData[high goal score]+MatchData[low goal score]</f>
        <v>#VALUE!</v>
      </c>
      <c r="BP220" s="16" t="e">
        <f aca="false">MatchData[teleop high goals]+MatchData[teleop low goals]</f>
        <v>#VALUE!</v>
      </c>
      <c r="BQ220" s="16" t="e">
        <f aca="false">MatchData[[#this row],[auto reach flag]]*2+SUM(MatchData[[#this row],[portcullis auto crossings]:[low bar auto crossings]])*10+MatchData[[#this row],[auto low goals]]*5+MatchData[auto high goals]*10</f>
        <v>#VALUE!</v>
      </c>
      <c r="BR220" s="16" t="e">
        <f aca="false">SUM(MatchData[[#this row],[cheval teleop crossing score]:[low bar teleop crossing score]])</f>
        <v>#VALUE!</v>
      </c>
      <c r="BS220" s="16" t="e">
        <f aca="false">SUMIF(MatchData[team],MatchData[[#this row],[team]],MatchData[total auto score])/MatchData[match count]</f>
        <v>#VALUE!</v>
      </c>
      <c r="BT220" s="16" t="e">
        <f aca="false">MatchData[challenge flag]*5</f>
        <v>#VALUE!</v>
      </c>
      <c r="BU220" s="16" t="e">
        <f aca="false">MatchData[climb flag]*15</f>
        <v>#VALUE!</v>
      </c>
      <c r="BV220" s="16" t="e">
        <f aca="false">SUM(MatchData[[#this row],[total goal score]],MatchData[[#this row],[crossing score]],MatchData[[#this row],[challenge score]],MatchData[[#this row],[climb score]],MatchData[[#this row],[total auto score]])</f>
        <v>#VALUE!</v>
      </c>
      <c r="BW220" s="16" t="e">
        <f aca="false">ROUND(SUMIF(MatchData[team],MatchData[[#this row],[team]],MatchData[teleop low goals])/COUNTIF(MatchData[team],MatchData[[#this row],[team]]),2)</f>
        <v>#VALUE!</v>
      </c>
      <c r="BX220" s="16" t="e">
        <f aca="false">ROUND(SUMIF(MatchData[team],MatchData[[#this row],[team]],MatchData[teleop high goals])/COUNTIF(MatchData[team],MatchData[[#this row],[team]]),2)</f>
        <v>#VALUE!</v>
      </c>
      <c r="BY220" s="16" t="e">
        <f aca="false">COUNTIF(MatchData[team],MatchData[[#this row],[team]])</f>
        <v>#VALUE!</v>
      </c>
      <c r="BZ220" s="16" t="e">
        <f aca="false">SUMIF(MatchData[team],MatchData[[#this row],[team]],MatchData[portcullis available])</f>
        <v>#VALUE!</v>
      </c>
      <c r="CA220" s="16" t="e">
        <f aca="false">SUMIF(MatchData[team],MatchData[[#this row],[team]],MatchData[cheval available])</f>
        <v>#VALUE!</v>
      </c>
      <c r="CB220" s="16" t="e">
        <f aca="false">SUMIF(MatchData[team],MatchData[[#this row],[team]],MatchData[moat available])</f>
        <v>#VALUE!</v>
      </c>
      <c r="CC220" s="16" t="e">
        <f aca="false">SUMIF(MatchData[team],MatchData[[#this row],[team]],MatchData[ramparts available])</f>
        <v>#VALUE!</v>
      </c>
      <c r="CD220" s="16" t="e">
        <f aca="false">SUMIF(MatchData[team],MatchData[[#this row],[team]],MatchData[drawbridge available])</f>
        <v>#VALUE!</v>
      </c>
      <c r="CE220" s="16" t="e">
        <f aca="false">SUMIF(MatchData[team],MatchData[[#this row],[team]],MatchData[sally port available])</f>
        <v>#VALUE!</v>
      </c>
      <c r="CF220" s="16" t="e">
        <f aca="false">SUMIF(MatchData[team],MatchData[[#this row],[team]],MatchData[rock wall available])</f>
        <v>#VALUE!</v>
      </c>
      <c r="CG220" s="16" t="e">
        <f aca="false">SUMIF(MatchData[team],MatchData[[#this row],[team]],MatchData[rough terrain available])</f>
        <v>#VALUE!</v>
      </c>
      <c r="CH220" s="16" t="e">
        <f aca="false">SUMIF(MatchData[team],MatchData[[#this row],[team]],MatchData[low bar available])</f>
        <v>#VALUE!</v>
      </c>
      <c r="CI220" s="16" t="e">
        <f aca="false">SUMIF(MatchData[team],MatchData[[#this row],[team]],MatchData[portcullis teleop crossings]:MatchData[portcullis scored crossings])</f>
        <v>#VALUE!</v>
      </c>
      <c r="CJ220" s="16" t="e">
        <f aca="false">SUMIF(MatchData[team],MatchData[[#this row],[team]],MatchData[cheval teleop crossings])+SUMIF(MatchData[team],MatchData[[#this row],[team]],MatchData[cheval scored crossings])</f>
        <v>#VALUE!</v>
      </c>
      <c r="CK220" s="16" t="e">
        <f aca="false">SUMIF(MatchData[team],MatchData[[#this row],[team]],MatchData[moat teleop crossings])+SUMIF(MatchData[team],MatchData[[#this row],[team]],MatchData[moat scored crosings])</f>
        <v>#VALUE!</v>
      </c>
      <c r="CL220" s="16" t="e">
        <f aca="false">SUMIF(MatchData[team],MatchData[[#this row],[team]],MatchData[ramparts teleop crossings])+SUMIF(MatchData[team],MatchData[[#this row],[team]],MatchData[ramparts scored crossings])</f>
        <v>#VALUE!</v>
      </c>
      <c r="CM220" s="16" t="e">
        <f aca="false">SUMIF(MatchData[team],MatchData[[#this row],[team]],MatchData[drawbridge teleop crossings])+SUMIF(MatchData[team],MatchData[[#this row],[team]],MatchData[drawbridge scored crossings])</f>
        <v>#VALUE!</v>
      </c>
      <c r="CN220" s="16" t="e">
        <f aca="false">SUMIF(MatchData[team],MatchData[[#this row],[team]],MatchData[sally port teleop crossings])+SUMIF(MatchData[team],MatchData[[#this row],[team]],MatchData[sally port scored crossings])</f>
        <v>#VALUE!</v>
      </c>
      <c r="CO220" s="16" t="e">
        <f aca="false">SUMIF(MatchData[team],MatchData[[#this row],[team]],MatchData[rock wall teleop crossings])+SUMIF(MatchData[team],MatchData[[#this row],[team]],MatchData[rock wall scored crossings])</f>
        <v>#VALUE!</v>
      </c>
      <c r="CP220" s="16" t="e">
        <f aca="false">SUMIF(MatchData[team],MatchData[[#this row],[team]],MatchData[rough terrain teleop crossings])+SUMIF(MatchData[team],MatchData[[#this row],[team]],MatchData[rough terrain scored crossings])</f>
        <v>#VALUE!</v>
      </c>
      <c r="CQ220" s="16" t="e">
        <f aca="false">SUMIF(MatchData[team],MatchData[[#this row],[team]],MatchData[low bar teleop crossings])+SUMIF(MatchData[team],MatchData[[#this row],[team]],MatchData[low bar scored crossings])</f>
        <v>#VALUE!</v>
      </c>
      <c r="CR220" s="16" t="e">
        <f aca="false">IFERROR(ROUND(MatchData[[#this row],[portcullis sum]]/MatchData[[#this row],[portcullis avail count]],2),0)</f>
        <v>#VALUE!</v>
      </c>
      <c r="CS220" s="16" t="e">
        <f aca="false">IFERROR(ROUND(MatchData[[#this row],[cheval sum]]/MatchData[[#this row],[cheval avail count]],2),0)</f>
        <v>#VALUE!</v>
      </c>
      <c r="CT220" s="16" t="e">
        <f aca="false">IFERROR(ROUND(MatchData[[#this row],[moat sum]]/MatchData[[#this row],[moat avail count]],2),0)</f>
        <v>#VALUE!</v>
      </c>
      <c r="CU220" s="16" t="e">
        <f aca="false">IFERROR(ROUND(MatchData[[#this row],[ramparts sum]]/MatchData[[#this row],[ramparts avail count]],2),0)</f>
        <v>#VALUE!</v>
      </c>
      <c r="CV220" s="16" t="e">
        <f aca="false">IFERROR(ROUND(MatchData[[#this row],[drawbridge sum]]/MatchData[[#this row],[drawbridge avail countigh6]],2),0)</f>
        <v>#VALUE!</v>
      </c>
      <c r="CW220" s="16" t="e">
        <f aca="false">IFERROR(ROUND(MatchData[[#this row],[sally port sum]]/MatchData[[#this row],[sally port avail count]],2),0)</f>
        <v>#VALUE!</v>
      </c>
      <c r="CX220" s="5" t="e">
        <f aca="false">IFERROR(ROUND(MatchData[[#this row],[rock wall sum]]/MatchData[[#this row],[rock wall avail count]],2),0)</f>
        <v>#VALUE!</v>
      </c>
      <c r="CY220" s="5" t="e">
        <f aca="false">IFERROR(ROUND(MatchData[[#this row],[rough terrain sum]]/MatchData[[#this row],[rough terrain avail count]],2),0)</f>
        <v>#VALUE!</v>
      </c>
      <c r="CZ220" s="5" t="e">
        <f aca="false">IFERROR(ROUND(MatchData[[#this row],[low bar sum]]/MatchData[[#this row],[low bar avail count]],2),0)</f>
        <v>#VALUE!</v>
      </c>
      <c r="DA220" s="16" t="e">
        <f aca="false">SUM(MatchData[[#this row],[cheval sum]:[low bar sum]])/MatchData[match count]</f>
        <v>#VALUE!</v>
      </c>
      <c r="DB220" s="16" t="n">
        <f aca="false">MAX(IF(C$2:C$74=C220,BP$2:BP$74))</f>
        <v>-1.79769313486232E+308</v>
      </c>
      <c r="DC220" s="16" t="e">
        <f aca="false">AVERAGEIF(MatchData[team],MatchData[[#this row],[team]],MatchData[total score])</f>
        <v>#VALUE!</v>
      </c>
      <c r="DD220" s="16" t="e">
        <f aca="false">ROUND(AVERAGEIF(MatchData[team],MatchData[team],MatchData[climb or challenge flag]),2)</f>
        <v>#VALUE!</v>
      </c>
    </row>
    <row r="221" customFormat="false" ht="14.5" hidden="false" customHeight="false" outlineLevel="0" collapsed="false">
      <c r="A221" s="20" t="s">
        <v>108</v>
      </c>
      <c r="B221" s="21" t="n">
        <v>37</v>
      </c>
      <c r="C221" s="15" t="n">
        <v>1540</v>
      </c>
      <c r="D221" s="5" t="s">
        <v>113</v>
      </c>
      <c r="E221" s="5" t="s">
        <v>118</v>
      </c>
      <c r="G221" s="16"/>
      <c r="H221" s="5" t="n">
        <v>1</v>
      </c>
      <c r="I221" s="16"/>
      <c r="J221" s="5" t="n">
        <v>1</v>
      </c>
      <c r="K221" s="16"/>
      <c r="L221" s="5" t="n">
        <v>1</v>
      </c>
      <c r="N221" s="5" t="n">
        <v>1</v>
      </c>
      <c r="O221" s="0"/>
      <c r="P221" s="5" t="n">
        <v>1</v>
      </c>
      <c r="Q221" s="5" t="n">
        <v>1</v>
      </c>
      <c r="R221" s="0"/>
      <c r="S221" s="16"/>
      <c r="T221" s="0"/>
      <c r="U221" s="16"/>
      <c r="V221" s="16"/>
      <c r="W221" s="5" t="n">
        <v>1</v>
      </c>
      <c r="AD221" s="16" t="n">
        <v>1</v>
      </c>
      <c r="AE221" s="5"/>
      <c r="AF221" s="16"/>
      <c r="AG221" s="16"/>
      <c r="AH221" s="16" t="n">
        <v>2</v>
      </c>
      <c r="AJ221" s="16"/>
      <c r="AL221" s="16" t="n">
        <v>1</v>
      </c>
      <c r="AN221" s="16"/>
      <c r="AP221" s="16"/>
      <c r="AR221" s="16"/>
      <c r="AT221" s="16"/>
      <c r="AU221" s="16"/>
      <c r="AV221" s="16"/>
      <c r="AW221" s="16" t="n">
        <v>1</v>
      </c>
      <c r="AX221" s="16"/>
      <c r="AY221" s="16"/>
      <c r="AZ221" s="16"/>
      <c r="BB221" s="16" t="n">
        <v>1</v>
      </c>
      <c r="BC221" s="16" t="e">
        <f aca="false">MatchData[cheval scored crossings]*5</f>
        <v>#VALUE!</v>
      </c>
      <c r="BD221" s="16" t="e">
        <f aca="false">MatchData[moat scored crosings]*5</f>
        <v>#VALUE!</v>
      </c>
      <c r="BE221" s="16" t="e">
        <f aca="false">MatchData[ramparts scored crossings]*5</f>
        <v>#VALUE!</v>
      </c>
      <c r="BF221" s="16" t="e">
        <f aca="false">MatchData[drawbridge scored crossings]*5</f>
        <v>#VALUE!</v>
      </c>
      <c r="BG221" s="16" t="e">
        <f aca="false">MatchData[sally port scored crossings]*5</f>
        <v>#VALUE!</v>
      </c>
      <c r="BH221" s="16" t="e">
        <f aca="false">MatchData[rock wall scored crossings]*5</f>
        <v>#VALUE!</v>
      </c>
      <c r="BI221" s="16" t="e">
        <f aca="false">MatchData[rough terrain scored crossings]*5</f>
        <v>#VALUE!</v>
      </c>
      <c r="BJ221" s="16" t="e">
        <f aca="false">MatchData[low bar scored crossings]*5</f>
        <v>#VALUE!</v>
      </c>
      <c r="BK221" s="16" t="e">
        <f aca="false">SUM(MatchData[[#this row],[low bar teleop crossings]:[rough terrain scored crossings]])</f>
        <v>#VALUE!</v>
      </c>
      <c r="BL221" s="16" t="e">
        <f aca="false">IFERROR(IF(OR(MatchData[[#this row],[challenge flag]],MatchData[[#this row],[climb flag]]),1,0),0)</f>
        <v>#VALUE!</v>
      </c>
      <c r="BM221" s="16" t="e">
        <f aca="false">MatchData[auto high goals]*10+MatchData[teleop high goals]*5</f>
        <v>#VALUE!</v>
      </c>
      <c r="BN221" s="16" t="e">
        <f aca="false">MatchData[auto low goals]*5+MatchData[teleop low goals]*2</f>
        <v>#VALUE!</v>
      </c>
      <c r="BO221" s="16" t="e">
        <f aca="false">MatchData[high goal score]+MatchData[low goal score]</f>
        <v>#VALUE!</v>
      </c>
      <c r="BP221" s="16" t="e">
        <f aca="false">MatchData[teleop high goals]+MatchData[teleop low goals]</f>
        <v>#VALUE!</v>
      </c>
      <c r="BQ221" s="16" t="e">
        <f aca="false">MatchData[[#this row],[auto reach flag]]*2+SUM(MatchData[[#this row],[portcullis auto crossings]:[low bar auto crossings]])*10+MatchData[[#this row],[auto low goals]]*5+MatchData[auto high goals]*10</f>
        <v>#VALUE!</v>
      </c>
      <c r="BR221" s="16" t="e">
        <f aca="false">SUM(MatchData[[#this row],[cheval teleop crossing score]:[low bar teleop crossing score]])</f>
        <v>#VALUE!</v>
      </c>
      <c r="BS221" s="16" t="e">
        <f aca="false">SUMIF(MatchData[team],MatchData[[#this row],[team]],MatchData[total auto score])/MatchData[match count]</f>
        <v>#VALUE!</v>
      </c>
      <c r="BT221" s="16" t="e">
        <f aca="false">MatchData[challenge flag]*5</f>
        <v>#VALUE!</v>
      </c>
      <c r="BU221" s="16" t="e">
        <f aca="false">MatchData[climb flag]*15</f>
        <v>#VALUE!</v>
      </c>
      <c r="BV221" s="16" t="e">
        <f aca="false">SUM(MatchData[[#this row],[total goal score]],MatchData[[#this row],[crossing score]],MatchData[[#this row],[challenge score]],MatchData[[#this row],[climb score]],MatchData[[#this row],[total auto score]])</f>
        <v>#VALUE!</v>
      </c>
      <c r="BW221" s="16" t="e">
        <f aca="false">ROUND(SUMIF(MatchData[team],MatchData[[#this row],[team]],MatchData[teleop low goals])/COUNTIF(MatchData[team],MatchData[[#this row],[team]]),2)</f>
        <v>#VALUE!</v>
      </c>
      <c r="BX221" s="16" t="e">
        <f aca="false">ROUND(SUMIF(MatchData[team],MatchData[[#this row],[team]],MatchData[teleop high goals])/COUNTIF(MatchData[team],MatchData[[#this row],[team]]),2)</f>
        <v>#VALUE!</v>
      </c>
      <c r="BY221" s="16" t="e">
        <f aca="false">COUNTIF(MatchData[team],MatchData[[#this row],[team]])</f>
        <v>#VALUE!</v>
      </c>
      <c r="BZ221" s="16" t="e">
        <f aca="false">SUMIF(MatchData[team],MatchData[[#this row],[team]],MatchData[portcullis available])</f>
        <v>#VALUE!</v>
      </c>
      <c r="CA221" s="16" t="e">
        <f aca="false">SUMIF(MatchData[team],MatchData[[#this row],[team]],MatchData[cheval available])</f>
        <v>#VALUE!</v>
      </c>
      <c r="CB221" s="16" t="e">
        <f aca="false">SUMIF(MatchData[team],MatchData[[#this row],[team]],MatchData[moat available])</f>
        <v>#VALUE!</v>
      </c>
      <c r="CC221" s="16" t="e">
        <f aca="false">SUMIF(MatchData[team],MatchData[[#this row],[team]],MatchData[ramparts available])</f>
        <v>#VALUE!</v>
      </c>
      <c r="CD221" s="16" t="e">
        <f aca="false">SUMIF(MatchData[team],MatchData[[#this row],[team]],MatchData[drawbridge available])</f>
        <v>#VALUE!</v>
      </c>
      <c r="CE221" s="16" t="e">
        <f aca="false">SUMIF(MatchData[team],MatchData[[#this row],[team]],MatchData[sally port available])</f>
        <v>#VALUE!</v>
      </c>
      <c r="CF221" s="16" t="e">
        <f aca="false">SUMIF(MatchData[team],MatchData[[#this row],[team]],MatchData[rock wall available])</f>
        <v>#VALUE!</v>
      </c>
      <c r="CG221" s="16" t="e">
        <f aca="false">SUMIF(MatchData[team],MatchData[[#this row],[team]],MatchData[rough terrain available])</f>
        <v>#VALUE!</v>
      </c>
      <c r="CH221" s="16" t="e">
        <f aca="false">SUMIF(MatchData[team],MatchData[[#this row],[team]],MatchData[low bar available])</f>
        <v>#VALUE!</v>
      </c>
      <c r="CI221" s="16" t="e">
        <f aca="false">SUMIF(MatchData[team],MatchData[[#this row],[team]],MatchData[portcullis teleop crossings]:MatchData[portcullis scored crossings])</f>
        <v>#VALUE!</v>
      </c>
      <c r="CJ221" s="16" t="e">
        <f aca="false">SUMIF(MatchData[team],MatchData[[#this row],[team]],MatchData[cheval teleop crossings])+SUMIF(MatchData[team],MatchData[[#this row],[team]],MatchData[cheval scored crossings])</f>
        <v>#VALUE!</v>
      </c>
      <c r="CK221" s="16" t="e">
        <f aca="false">SUMIF(MatchData[team],MatchData[[#this row],[team]],MatchData[moat teleop crossings])+SUMIF(MatchData[team],MatchData[[#this row],[team]],MatchData[moat scored crosings])</f>
        <v>#VALUE!</v>
      </c>
      <c r="CL221" s="16" t="e">
        <f aca="false">SUMIF(MatchData[team],MatchData[[#this row],[team]],MatchData[ramparts teleop crossings])+SUMIF(MatchData[team],MatchData[[#this row],[team]],MatchData[ramparts scored crossings])</f>
        <v>#VALUE!</v>
      </c>
      <c r="CM221" s="16" t="e">
        <f aca="false">SUMIF(MatchData[team],MatchData[[#this row],[team]],MatchData[drawbridge teleop crossings])+SUMIF(MatchData[team],MatchData[[#this row],[team]],MatchData[drawbridge scored crossings])</f>
        <v>#VALUE!</v>
      </c>
      <c r="CN221" s="16" t="e">
        <f aca="false">SUMIF(MatchData[team],MatchData[[#this row],[team]],MatchData[sally port teleop crossings])+SUMIF(MatchData[team],MatchData[[#this row],[team]],MatchData[sally port scored crossings])</f>
        <v>#VALUE!</v>
      </c>
      <c r="CO221" s="16" t="e">
        <f aca="false">SUMIF(MatchData[team],MatchData[[#this row],[team]],MatchData[rock wall teleop crossings])+SUMIF(MatchData[team],MatchData[[#this row],[team]],MatchData[rock wall scored crossings])</f>
        <v>#VALUE!</v>
      </c>
      <c r="CP221" s="16" t="e">
        <f aca="false">SUMIF(MatchData[team],MatchData[[#this row],[team]],MatchData[rough terrain teleop crossings])+SUMIF(MatchData[team],MatchData[[#this row],[team]],MatchData[rough terrain scored crossings])</f>
        <v>#VALUE!</v>
      </c>
      <c r="CQ221" s="16" t="e">
        <f aca="false">SUMIF(MatchData[team],MatchData[[#this row],[team]],MatchData[low bar teleop crossings])+SUMIF(MatchData[team],MatchData[[#this row],[team]],MatchData[low bar scored crossings])</f>
        <v>#VALUE!</v>
      </c>
      <c r="CR221" s="16" t="e">
        <f aca="false">IFERROR(ROUND(MatchData[[#this row],[portcullis sum]]/MatchData[[#this row],[portcullis avail count]],2),0)</f>
        <v>#VALUE!</v>
      </c>
      <c r="CS221" s="16" t="e">
        <f aca="false">IFERROR(ROUND(MatchData[[#this row],[cheval sum]]/MatchData[[#this row],[cheval avail count]],2),0)</f>
        <v>#VALUE!</v>
      </c>
      <c r="CT221" s="16" t="e">
        <f aca="false">IFERROR(ROUND(MatchData[[#this row],[moat sum]]/MatchData[[#this row],[moat avail count]],2),0)</f>
        <v>#VALUE!</v>
      </c>
      <c r="CU221" s="16" t="e">
        <f aca="false">IFERROR(ROUND(MatchData[[#this row],[ramparts sum]]/MatchData[[#this row],[ramparts avail count]],2),0)</f>
        <v>#VALUE!</v>
      </c>
      <c r="CV221" s="16" t="e">
        <f aca="false">IFERROR(ROUND(MatchData[[#this row],[drawbridge sum]]/MatchData[[#this row],[drawbridge avail countigh6]],2),0)</f>
        <v>#VALUE!</v>
      </c>
      <c r="CW221" s="16" t="e">
        <f aca="false">IFERROR(ROUND(MatchData[[#this row],[sally port sum]]/MatchData[[#this row],[sally port avail count]],2),0)</f>
        <v>#VALUE!</v>
      </c>
      <c r="CX221" s="5" t="e">
        <f aca="false">IFERROR(ROUND(MatchData[[#this row],[rock wall sum]]/MatchData[[#this row],[rock wall avail count]],2),0)</f>
        <v>#VALUE!</v>
      </c>
      <c r="CY221" s="5" t="e">
        <f aca="false">IFERROR(ROUND(MatchData[[#this row],[rough terrain sum]]/MatchData[[#this row],[rough terrain avail count]],2),0)</f>
        <v>#VALUE!</v>
      </c>
      <c r="CZ221" s="5" t="e">
        <f aca="false">IFERROR(ROUND(MatchData[[#this row],[low bar sum]]/MatchData[[#this row],[low bar avail count]],2),0)</f>
        <v>#VALUE!</v>
      </c>
      <c r="DA221" s="16" t="e">
        <f aca="false">SUM(MatchData[[#this row],[cheval sum]:[low bar sum]])/MatchData[match count]</f>
        <v>#VALUE!</v>
      </c>
      <c r="DB221" s="16" t="n">
        <f aca="false">MAX(IF(C$2:C$74=C221,BP$2:BP$74))</f>
        <v>-1.79769313486232E+308</v>
      </c>
      <c r="DC221" s="16" t="e">
        <f aca="false">AVERAGEIF(MatchData[team],MatchData[[#this row],[team]],MatchData[total score])</f>
        <v>#VALUE!</v>
      </c>
      <c r="DD221" s="16" t="e">
        <f aca="false">ROUND(AVERAGEIF(MatchData[team],MatchData[team],MatchData[climb or challenge flag]),2)</f>
        <v>#VALUE!</v>
      </c>
    </row>
    <row r="222" customFormat="false" ht="14.5" hidden="false" customHeight="false" outlineLevel="0" collapsed="false">
      <c r="A222" s="20" t="s">
        <v>108</v>
      </c>
      <c r="B222" s="22" t="n">
        <v>37</v>
      </c>
      <c r="C222" s="15" t="n">
        <v>2635</v>
      </c>
      <c r="D222" s="5" t="s">
        <v>113</v>
      </c>
      <c r="E222" s="5" t="s">
        <v>110</v>
      </c>
      <c r="G222" s="16"/>
      <c r="I222" s="16"/>
      <c r="J222" s="5" t="n">
        <v>1</v>
      </c>
      <c r="K222" s="16"/>
      <c r="L222" s="5" t="n">
        <v>1</v>
      </c>
      <c r="N222" s="5" t="n">
        <v>1</v>
      </c>
      <c r="O222" s="0"/>
      <c r="P222" s="5" t="n">
        <v>1</v>
      </c>
      <c r="Q222" s="5" t="n">
        <v>1</v>
      </c>
      <c r="R222" s="0"/>
      <c r="S222" s="16"/>
      <c r="T222" s="0"/>
      <c r="U222" s="16"/>
      <c r="V222" s="16"/>
      <c r="W222" s="0"/>
      <c r="AD222" s="16" t="n">
        <v>1</v>
      </c>
      <c r="AE222" s="5"/>
      <c r="AF222" s="16"/>
      <c r="AG222" s="16"/>
      <c r="AH222" s="16"/>
      <c r="AJ222" s="16"/>
      <c r="AL222" s="16"/>
      <c r="AN222" s="16"/>
      <c r="AP222" s="16"/>
      <c r="AR222" s="16" t="n">
        <v>2</v>
      </c>
      <c r="AT222" s="16"/>
      <c r="AU222" s="16"/>
      <c r="AV222" s="16"/>
      <c r="AW222" s="16" t="n">
        <v>1</v>
      </c>
      <c r="AX222" s="16"/>
      <c r="AY222" s="16"/>
      <c r="AZ222" s="16"/>
      <c r="BB222" s="16"/>
      <c r="BC222" s="16" t="e">
        <f aca="false">MatchData[cheval scored crossings]*5</f>
        <v>#VALUE!</v>
      </c>
      <c r="BD222" s="16" t="e">
        <f aca="false">MatchData[moat scored crosings]*5</f>
        <v>#VALUE!</v>
      </c>
      <c r="BE222" s="16" t="e">
        <f aca="false">MatchData[ramparts scored crossings]*5</f>
        <v>#VALUE!</v>
      </c>
      <c r="BF222" s="16" t="e">
        <f aca="false">MatchData[drawbridge scored crossings]*5</f>
        <v>#VALUE!</v>
      </c>
      <c r="BG222" s="16" t="e">
        <f aca="false">MatchData[sally port scored crossings]*5</f>
        <v>#VALUE!</v>
      </c>
      <c r="BH222" s="16" t="e">
        <f aca="false">MatchData[rock wall scored crossings]*5</f>
        <v>#VALUE!</v>
      </c>
      <c r="BI222" s="16" t="e">
        <f aca="false">MatchData[rough terrain scored crossings]*5</f>
        <v>#VALUE!</v>
      </c>
      <c r="BJ222" s="16" t="e">
        <f aca="false">MatchData[low bar scored crossings]*5</f>
        <v>#VALUE!</v>
      </c>
      <c r="BK222" s="16" t="e">
        <f aca="false">SUM(MatchData[[#this row],[low bar teleop crossings]:[rough terrain scored crossings]])</f>
        <v>#VALUE!</v>
      </c>
      <c r="BL222" s="16" t="e">
        <f aca="false">IFERROR(IF(OR(MatchData[[#this row],[challenge flag]],MatchData[[#this row],[climb flag]]),1,0),0)</f>
        <v>#VALUE!</v>
      </c>
      <c r="BM222" s="16" t="e">
        <f aca="false">MatchData[auto high goals]*10+MatchData[teleop high goals]*5</f>
        <v>#VALUE!</v>
      </c>
      <c r="BN222" s="16" t="e">
        <f aca="false">MatchData[auto low goals]*5+MatchData[teleop low goals]*2</f>
        <v>#VALUE!</v>
      </c>
      <c r="BO222" s="16" t="e">
        <f aca="false">MatchData[high goal score]+MatchData[low goal score]</f>
        <v>#VALUE!</v>
      </c>
      <c r="BP222" s="16" t="e">
        <f aca="false">MatchData[teleop high goals]+MatchData[teleop low goals]</f>
        <v>#VALUE!</v>
      </c>
      <c r="BQ222" s="16" t="e">
        <f aca="false">MatchData[[#this row],[auto reach flag]]*2+SUM(MatchData[[#this row],[portcullis auto crossings]:[low bar auto crossings]])*10+MatchData[[#this row],[auto low goals]]*5+MatchData[auto high goals]*10</f>
        <v>#VALUE!</v>
      </c>
      <c r="BR222" s="16" t="e">
        <f aca="false">SUM(MatchData[[#this row],[cheval teleop crossing score]:[low bar teleop crossing score]])</f>
        <v>#VALUE!</v>
      </c>
      <c r="BS222" s="16" t="e">
        <f aca="false">SUMIF(MatchData[team],MatchData[[#this row],[team]],MatchData[total auto score])/MatchData[match count]</f>
        <v>#VALUE!</v>
      </c>
      <c r="BT222" s="16" t="e">
        <f aca="false">MatchData[challenge flag]*5</f>
        <v>#VALUE!</v>
      </c>
      <c r="BU222" s="16" t="e">
        <f aca="false">MatchData[climb flag]*15</f>
        <v>#VALUE!</v>
      </c>
      <c r="BV222" s="16" t="e">
        <f aca="false">SUM(MatchData[[#this row],[total goal score]],MatchData[[#this row],[crossing score]],MatchData[[#this row],[challenge score]],MatchData[[#this row],[climb score]],MatchData[[#this row],[total auto score]])</f>
        <v>#VALUE!</v>
      </c>
      <c r="BW222" s="16" t="e">
        <f aca="false">ROUND(SUMIF(MatchData[team],MatchData[[#this row],[team]],MatchData[teleop low goals])/COUNTIF(MatchData[team],MatchData[[#this row],[team]]),2)</f>
        <v>#VALUE!</v>
      </c>
      <c r="BX222" s="16" t="e">
        <f aca="false">ROUND(SUMIF(MatchData[team],MatchData[[#this row],[team]],MatchData[teleop high goals])/COUNTIF(MatchData[team],MatchData[[#this row],[team]]),2)</f>
        <v>#VALUE!</v>
      </c>
      <c r="BY222" s="16" t="e">
        <f aca="false">COUNTIF(MatchData[team],MatchData[[#this row],[team]])</f>
        <v>#VALUE!</v>
      </c>
      <c r="BZ222" s="16" t="e">
        <f aca="false">SUMIF(MatchData[team],MatchData[[#this row],[team]],MatchData[portcullis available])</f>
        <v>#VALUE!</v>
      </c>
      <c r="CA222" s="16" t="e">
        <f aca="false">SUMIF(MatchData[team],MatchData[[#this row],[team]],MatchData[cheval available])</f>
        <v>#VALUE!</v>
      </c>
      <c r="CB222" s="16" t="e">
        <f aca="false">SUMIF(MatchData[team],MatchData[[#this row],[team]],MatchData[moat available])</f>
        <v>#VALUE!</v>
      </c>
      <c r="CC222" s="16" t="e">
        <f aca="false">SUMIF(MatchData[team],MatchData[[#this row],[team]],MatchData[ramparts available])</f>
        <v>#VALUE!</v>
      </c>
      <c r="CD222" s="16" t="e">
        <f aca="false">SUMIF(MatchData[team],MatchData[[#this row],[team]],MatchData[drawbridge available])</f>
        <v>#VALUE!</v>
      </c>
      <c r="CE222" s="16" t="e">
        <f aca="false">SUMIF(MatchData[team],MatchData[[#this row],[team]],MatchData[sally port available])</f>
        <v>#VALUE!</v>
      </c>
      <c r="CF222" s="16" t="e">
        <f aca="false">SUMIF(MatchData[team],MatchData[[#this row],[team]],MatchData[rock wall available])</f>
        <v>#VALUE!</v>
      </c>
      <c r="CG222" s="16" t="e">
        <f aca="false">SUMIF(MatchData[team],MatchData[[#this row],[team]],MatchData[rough terrain available])</f>
        <v>#VALUE!</v>
      </c>
      <c r="CH222" s="16" t="e">
        <f aca="false">SUMIF(MatchData[team],MatchData[[#this row],[team]],MatchData[low bar available])</f>
        <v>#VALUE!</v>
      </c>
      <c r="CI222" s="16" t="e">
        <f aca="false">SUMIF(MatchData[team],MatchData[[#this row],[team]],MatchData[portcullis teleop crossings]:MatchData[portcullis scored crossings])</f>
        <v>#VALUE!</v>
      </c>
      <c r="CJ222" s="16" t="e">
        <f aca="false">SUMIF(MatchData[team],MatchData[[#this row],[team]],MatchData[cheval teleop crossings])+SUMIF(MatchData[team],MatchData[[#this row],[team]],MatchData[cheval scored crossings])</f>
        <v>#VALUE!</v>
      </c>
      <c r="CK222" s="16" t="e">
        <f aca="false">SUMIF(MatchData[team],MatchData[[#this row],[team]],MatchData[moat teleop crossings])+SUMIF(MatchData[team],MatchData[[#this row],[team]],MatchData[moat scored crosings])</f>
        <v>#VALUE!</v>
      </c>
      <c r="CL222" s="16" t="e">
        <f aca="false">SUMIF(MatchData[team],MatchData[[#this row],[team]],MatchData[ramparts teleop crossings])+SUMIF(MatchData[team],MatchData[[#this row],[team]],MatchData[ramparts scored crossings])</f>
        <v>#VALUE!</v>
      </c>
      <c r="CM222" s="16" t="e">
        <f aca="false">SUMIF(MatchData[team],MatchData[[#this row],[team]],MatchData[drawbridge teleop crossings])+SUMIF(MatchData[team],MatchData[[#this row],[team]],MatchData[drawbridge scored crossings])</f>
        <v>#VALUE!</v>
      </c>
      <c r="CN222" s="16" t="e">
        <f aca="false">SUMIF(MatchData[team],MatchData[[#this row],[team]],MatchData[sally port teleop crossings])+SUMIF(MatchData[team],MatchData[[#this row],[team]],MatchData[sally port scored crossings])</f>
        <v>#VALUE!</v>
      </c>
      <c r="CO222" s="16" t="e">
        <f aca="false">SUMIF(MatchData[team],MatchData[[#this row],[team]],MatchData[rock wall teleop crossings])+SUMIF(MatchData[team],MatchData[[#this row],[team]],MatchData[rock wall scored crossings])</f>
        <v>#VALUE!</v>
      </c>
      <c r="CP222" s="16" t="e">
        <f aca="false">SUMIF(MatchData[team],MatchData[[#this row],[team]],MatchData[rough terrain teleop crossings])+SUMIF(MatchData[team],MatchData[[#this row],[team]],MatchData[rough terrain scored crossings])</f>
        <v>#VALUE!</v>
      </c>
      <c r="CQ222" s="16" t="e">
        <f aca="false">SUMIF(MatchData[team],MatchData[[#this row],[team]],MatchData[low bar teleop crossings])+SUMIF(MatchData[team],MatchData[[#this row],[team]],MatchData[low bar scored crossings])</f>
        <v>#VALUE!</v>
      </c>
      <c r="CR222" s="16" t="e">
        <f aca="false">IFERROR(ROUND(MatchData[[#this row],[portcullis sum]]/MatchData[[#this row],[portcullis avail count]],2),0)</f>
        <v>#VALUE!</v>
      </c>
      <c r="CS222" s="16" t="e">
        <f aca="false">IFERROR(ROUND(MatchData[[#this row],[cheval sum]]/MatchData[[#this row],[cheval avail count]],2),0)</f>
        <v>#VALUE!</v>
      </c>
      <c r="CT222" s="16" t="e">
        <f aca="false">IFERROR(ROUND(MatchData[[#this row],[moat sum]]/MatchData[[#this row],[moat avail count]],2),0)</f>
        <v>#VALUE!</v>
      </c>
      <c r="CU222" s="16" t="e">
        <f aca="false">IFERROR(ROUND(MatchData[[#this row],[ramparts sum]]/MatchData[[#this row],[ramparts avail count]],2),0)</f>
        <v>#VALUE!</v>
      </c>
      <c r="CV222" s="16" t="e">
        <f aca="false">IFERROR(ROUND(MatchData[[#this row],[drawbridge sum]]/MatchData[[#this row],[drawbridge avail countigh6]],2),0)</f>
        <v>#VALUE!</v>
      </c>
      <c r="CW222" s="16" t="e">
        <f aca="false">IFERROR(ROUND(MatchData[[#this row],[sally port sum]]/MatchData[[#this row],[sally port avail count]],2),0)</f>
        <v>#VALUE!</v>
      </c>
      <c r="CX222" s="5" t="e">
        <f aca="false">IFERROR(ROUND(MatchData[[#this row],[rock wall sum]]/MatchData[[#this row],[rock wall avail count]],2),0)</f>
        <v>#VALUE!</v>
      </c>
      <c r="CY222" s="5" t="e">
        <f aca="false">IFERROR(ROUND(MatchData[[#this row],[rough terrain sum]]/MatchData[[#this row],[rough terrain avail count]],2),0)</f>
        <v>#VALUE!</v>
      </c>
      <c r="CZ222" s="5" t="e">
        <f aca="false">IFERROR(ROUND(MatchData[[#this row],[low bar sum]]/MatchData[[#this row],[low bar avail count]],2),0)</f>
        <v>#VALUE!</v>
      </c>
      <c r="DA222" s="16" t="e">
        <f aca="false">SUM(MatchData[[#this row],[cheval sum]:[low bar sum]])/MatchData[match count]</f>
        <v>#VALUE!</v>
      </c>
      <c r="DB222" s="16" t="n">
        <f aca="false">MAX(IF(C$2:C$74=C222,BP$2:BP$74))</f>
        <v>-1.79769313486232E+308</v>
      </c>
      <c r="DC222" s="16" t="e">
        <f aca="false">AVERAGEIF(MatchData[team],MatchData[[#this row],[team]],MatchData[total score])</f>
        <v>#VALUE!</v>
      </c>
      <c r="DD222" s="16" t="e">
        <f aca="false">ROUND(AVERAGEIF(MatchData[team],MatchData[team],MatchData[climb or challenge flag]),2)</f>
        <v>#VALUE!</v>
      </c>
    </row>
    <row r="223" customFormat="false" ht="14.5" hidden="false" customHeight="false" outlineLevel="0" collapsed="false">
      <c r="A223" s="20" t="s">
        <v>108</v>
      </c>
      <c r="B223" s="22" t="n">
        <v>37</v>
      </c>
      <c r="C223" s="15" t="n">
        <v>5975</v>
      </c>
      <c r="D223" s="5" t="s">
        <v>113</v>
      </c>
      <c r="E223" s="5" t="s">
        <v>160</v>
      </c>
      <c r="G223" s="16"/>
      <c r="I223" s="16"/>
      <c r="J223" s="5" t="n">
        <v>1</v>
      </c>
      <c r="K223" s="16" t="n">
        <v>1</v>
      </c>
      <c r="M223" s="5" t="n">
        <v>1</v>
      </c>
      <c r="N223" s="0"/>
      <c r="O223" s="0"/>
      <c r="P223" s="5" t="n">
        <v>1</v>
      </c>
      <c r="Q223" s="5" t="n">
        <v>1</v>
      </c>
      <c r="R223" s="0"/>
      <c r="S223" s="16"/>
      <c r="T223" s="0"/>
      <c r="U223" s="16"/>
      <c r="V223" s="16"/>
      <c r="W223" s="0"/>
      <c r="AC223" s="5" t="n">
        <v>1</v>
      </c>
      <c r="AD223" s="16"/>
      <c r="AE223" s="5"/>
      <c r="AF223" s="16"/>
      <c r="AG223" s="16"/>
      <c r="AH223" s="16"/>
      <c r="AJ223" s="16"/>
      <c r="AL223" s="16"/>
      <c r="AN223" s="16"/>
      <c r="AP223" s="16"/>
      <c r="AR223" s="16" t="n">
        <v>1</v>
      </c>
      <c r="AT223" s="16"/>
      <c r="AU223" s="16"/>
      <c r="AV223" s="16"/>
      <c r="AW223" s="16" t="n">
        <v>1</v>
      </c>
      <c r="AX223" s="16"/>
      <c r="AY223" s="16" t="n">
        <v>1</v>
      </c>
      <c r="AZ223" s="16"/>
      <c r="BA223" s="5" t="n">
        <v>1</v>
      </c>
      <c r="BB223" s="16" t="n">
        <v>1</v>
      </c>
      <c r="BC223" s="16" t="e">
        <f aca="false">MatchData[cheval scored crossings]*5</f>
        <v>#VALUE!</v>
      </c>
      <c r="BD223" s="16" t="e">
        <f aca="false">MatchData[moat scored crosings]*5</f>
        <v>#VALUE!</v>
      </c>
      <c r="BE223" s="16" t="e">
        <f aca="false">MatchData[ramparts scored crossings]*5</f>
        <v>#VALUE!</v>
      </c>
      <c r="BF223" s="16" t="e">
        <f aca="false">MatchData[drawbridge scored crossings]*5</f>
        <v>#VALUE!</v>
      </c>
      <c r="BG223" s="16" t="e">
        <f aca="false">MatchData[sally port scored crossings]*5</f>
        <v>#VALUE!</v>
      </c>
      <c r="BH223" s="16" t="e">
        <f aca="false">MatchData[rock wall scored crossings]*5</f>
        <v>#VALUE!</v>
      </c>
      <c r="BI223" s="16" t="e">
        <f aca="false">MatchData[rough terrain scored crossings]*5</f>
        <v>#VALUE!</v>
      </c>
      <c r="BJ223" s="16" t="e">
        <f aca="false">MatchData[low bar scored crossings]*5</f>
        <v>#VALUE!</v>
      </c>
      <c r="BK223" s="16" t="e">
        <f aca="false">SUM(MatchData[[#this row],[low bar teleop crossings]:[rough terrain scored crossings]])</f>
        <v>#VALUE!</v>
      </c>
      <c r="BL223" s="16" t="e">
        <f aca="false">IFERROR(IF(OR(MatchData[[#this row],[challenge flag]],MatchData[[#this row],[climb flag]]),1,0),0)</f>
        <v>#VALUE!</v>
      </c>
      <c r="BM223" s="16" t="e">
        <f aca="false">MatchData[auto high goals]*10+MatchData[teleop high goals]*5</f>
        <v>#VALUE!</v>
      </c>
      <c r="BN223" s="16" t="e">
        <f aca="false">MatchData[auto low goals]*5+MatchData[teleop low goals]*2</f>
        <v>#VALUE!</v>
      </c>
      <c r="BO223" s="16" t="e">
        <f aca="false">MatchData[high goal score]+MatchData[low goal score]</f>
        <v>#VALUE!</v>
      </c>
      <c r="BP223" s="16" t="e">
        <f aca="false">MatchData[teleop high goals]+MatchData[teleop low goals]</f>
        <v>#VALUE!</v>
      </c>
      <c r="BQ223" s="16" t="e">
        <f aca="false">MatchData[[#this row],[auto reach flag]]*2+SUM(MatchData[[#this row],[portcullis auto crossings]:[low bar auto crossings]])*10+MatchData[[#this row],[auto low goals]]*5+MatchData[auto high goals]*10</f>
        <v>#VALUE!</v>
      </c>
      <c r="BR223" s="16" t="e">
        <f aca="false">SUM(MatchData[[#this row],[cheval teleop crossing score]:[low bar teleop crossing score]])</f>
        <v>#VALUE!</v>
      </c>
      <c r="BS223" s="16" t="e">
        <f aca="false">SUMIF(MatchData[team],MatchData[[#this row],[team]],MatchData[total auto score])/MatchData[match count]</f>
        <v>#VALUE!</v>
      </c>
      <c r="BT223" s="16" t="e">
        <f aca="false">MatchData[challenge flag]*5</f>
        <v>#VALUE!</v>
      </c>
      <c r="BU223" s="16" t="e">
        <f aca="false">MatchData[climb flag]*15</f>
        <v>#VALUE!</v>
      </c>
      <c r="BV223" s="16" t="e">
        <f aca="false">SUM(MatchData[[#this row],[total goal score]],MatchData[[#this row],[crossing score]],MatchData[[#this row],[challenge score]],MatchData[[#this row],[climb score]],MatchData[[#this row],[total auto score]])</f>
        <v>#VALUE!</v>
      </c>
      <c r="BW223" s="16" t="e">
        <f aca="false">ROUND(SUMIF(MatchData[team],MatchData[[#this row],[team]],MatchData[teleop low goals])/COUNTIF(MatchData[team],MatchData[[#this row],[team]]),2)</f>
        <v>#VALUE!</v>
      </c>
      <c r="BX223" s="16" t="e">
        <f aca="false">ROUND(SUMIF(MatchData[team],MatchData[[#this row],[team]],MatchData[teleop high goals])/COUNTIF(MatchData[team],MatchData[[#this row],[team]]),2)</f>
        <v>#VALUE!</v>
      </c>
      <c r="BY223" s="16" t="e">
        <f aca="false">COUNTIF(MatchData[team],MatchData[[#this row],[team]])</f>
        <v>#VALUE!</v>
      </c>
      <c r="BZ223" s="16" t="e">
        <f aca="false">SUMIF(MatchData[team],MatchData[[#this row],[team]],MatchData[portcullis available])</f>
        <v>#VALUE!</v>
      </c>
      <c r="CA223" s="16" t="e">
        <f aca="false">SUMIF(MatchData[team],MatchData[[#this row],[team]],MatchData[cheval available])</f>
        <v>#VALUE!</v>
      </c>
      <c r="CB223" s="16" t="e">
        <f aca="false">SUMIF(MatchData[team],MatchData[[#this row],[team]],MatchData[moat available])</f>
        <v>#VALUE!</v>
      </c>
      <c r="CC223" s="16" t="e">
        <f aca="false">SUMIF(MatchData[team],MatchData[[#this row],[team]],MatchData[ramparts available])</f>
        <v>#VALUE!</v>
      </c>
      <c r="CD223" s="16" t="e">
        <f aca="false">SUMIF(MatchData[team],MatchData[[#this row],[team]],MatchData[drawbridge available])</f>
        <v>#VALUE!</v>
      </c>
      <c r="CE223" s="16" t="e">
        <f aca="false">SUMIF(MatchData[team],MatchData[[#this row],[team]],MatchData[sally port available])</f>
        <v>#VALUE!</v>
      </c>
      <c r="CF223" s="16" t="e">
        <f aca="false">SUMIF(MatchData[team],MatchData[[#this row],[team]],MatchData[rock wall available])</f>
        <v>#VALUE!</v>
      </c>
      <c r="CG223" s="16" t="e">
        <f aca="false">SUMIF(MatchData[team],MatchData[[#this row],[team]],MatchData[rough terrain available])</f>
        <v>#VALUE!</v>
      </c>
      <c r="CH223" s="16" t="e">
        <f aca="false">SUMIF(MatchData[team],MatchData[[#this row],[team]],MatchData[low bar available])</f>
        <v>#VALUE!</v>
      </c>
      <c r="CI223" s="16" t="e">
        <f aca="false">SUMIF(MatchData[team],MatchData[[#this row],[team]],MatchData[portcullis teleop crossings]:MatchData[portcullis scored crossings])</f>
        <v>#VALUE!</v>
      </c>
      <c r="CJ223" s="16" t="e">
        <f aca="false">SUMIF(MatchData[team],MatchData[[#this row],[team]],MatchData[cheval teleop crossings])+SUMIF(MatchData[team],MatchData[[#this row],[team]],MatchData[cheval scored crossings])</f>
        <v>#VALUE!</v>
      </c>
      <c r="CK223" s="16" t="e">
        <f aca="false">SUMIF(MatchData[team],MatchData[[#this row],[team]],MatchData[moat teleop crossings])+SUMIF(MatchData[team],MatchData[[#this row],[team]],MatchData[moat scored crosings])</f>
        <v>#VALUE!</v>
      </c>
      <c r="CL223" s="16" t="e">
        <f aca="false">SUMIF(MatchData[team],MatchData[[#this row],[team]],MatchData[ramparts teleop crossings])+SUMIF(MatchData[team],MatchData[[#this row],[team]],MatchData[ramparts scored crossings])</f>
        <v>#VALUE!</v>
      </c>
      <c r="CM223" s="16" t="e">
        <f aca="false">SUMIF(MatchData[team],MatchData[[#this row],[team]],MatchData[drawbridge teleop crossings])+SUMIF(MatchData[team],MatchData[[#this row],[team]],MatchData[drawbridge scored crossings])</f>
        <v>#VALUE!</v>
      </c>
      <c r="CN223" s="16" t="e">
        <f aca="false">SUMIF(MatchData[team],MatchData[[#this row],[team]],MatchData[sally port teleop crossings])+SUMIF(MatchData[team],MatchData[[#this row],[team]],MatchData[sally port scored crossings])</f>
        <v>#VALUE!</v>
      </c>
      <c r="CO223" s="16" t="e">
        <f aca="false">SUMIF(MatchData[team],MatchData[[#this row],[team]],MatchData[rock wall teleop crossings])+SUMIF(MatchData[team],MatchData[[#this row],[team]],MatchData[rock wall scored crossings])</f>
        <v>#VALUE!</v>
      </c>
      <c r="CP223" s="16" t="e">
        <f aca="false">SUMIF(MatchData[team],MatchData[[#this row],[team]],MatchData[rough terrain teleop crossings])+SUMIF(MatchData[team],MatchData[[#this row],[team]],MatchData[rough terrain scored crossings])</f>
        <v>#VALUE!</v>
      </c>
      <c r="CQ223" s="16" t="e">
        <f aca="false">SUMIF(MatchData[team],MatchData[[#this row],[team]],MatchData[low bar teleop crossings])+SUMIF(MatchData[team],MatchData[[#this row],[team]],MatchData[low bar scored crossings])</f>
        <v>#VALUE!</v>
      </c>
      <c r="CR223" s="16" t="e">
        <f aca="false">IFERROR(ROUND(MatchData[[#this row],[portcullis sum]]/MatchData[[#this row],[portcullis avail count]],2),0)</f>
        <v>#VALUE!</v>
      </c>
      <c r="CS223" s="16" t="e">
        <f aca="false">IFERROR(ROUND(MatchData[[#this row],[cheval sum]]/MatchData[[#this row],[cheval avail count]],2),0)</f>
        <v>#VALUE!</v>
      </c>
      <c r="CT223" s="16" t="e">
        <f aca="false">IFERROR(ROUND(MatchData[[#this row],[moat sum]]/MatchData[[#this row],[moat avail count]],2),0)</f>
        <v>#VALUE!</v>
      </c>
      <c r="CU223" s="16" t="e">
        <f aca="false">IFERROR(ROUND(MatchData[[#this row],[ramparts sum]]/MatchData[[#this row],[ramparts avail count]],2),0)</f>
        <v>#VALUE!</v>
      </c>
      <c r="CV223" s="16" t="e">
        <f aca="false">IFERROR(ROUND(MatchData[[#this row],[drawbridge sum]]/MatchData[[#this row],[drawbridge avail countigh6]],2),0)</f>
        <v>#VALUE!</v>
      </c>
      <c r="CW223" s="16" t="e">
        <f aca="false">IFERROR(ROUND(MatchData[[#this row],[sally port sum]]/MatchData[[#this row],[sally port avail count]],2),0)</f>
        <v>#VALUE!</v>
      </c>
      <c r="CX223" s="5" t="e">
        <f aca="false">IFERROR(ROUND(MatchData[[#this row],[rock wall sum]]/MatchData[[#this row],[rock wall avail count]],2),0)</f>
        <v>#VALUE!</v>
      </c>
      <c r="CY223" s="5" t="e">
        <f aca="false">IFERROR(ROUND(MatchData[[#this row],[rough terrain sum]]/MatchData[[#this row],[rough terrain avail count]],2),0)</f>
        <v>#VALUE!</v>
      </c>
      <c r="CZ223" s="5" t="e">
        <f aca="false">IFERROR(ROUND(MatchData[[#this row],[low bar sum]]/MatchData[[#this row],[low bar avail count]],2),0)</f>
        <v>#VALUE!</v>
      </c>
      <c r="DA223" s="16" t="e">
        <f aca="false">SUM(MatchData[[#this row],[cheval sum]:[low bar sum]])/MatchData[match count]</f>
        <v>#VALUE!</v>
      </c>
      <c r="DB223" s="16" t="n">
        <f aca="false">MAX(IF(C$2:C$74=C223,BP$2:BP$74))</f>
        <v>-1.79769313486232E+308</v>
      </c>
      <c r="DC223" s="16" t="e">
        <f aca="false">AVERAGEIF(MatchData[team],MatchData[[#this row],[team]],MatchData[total score])</f>
        <v>#VALUE!</v>
      </c>
      <c r="DD223" s="16" t="e">
        <f aca="false">ROUND(AVERAGEIF(MatchData[team],MatchData[team],MatchData[climb or challenge flag]),2)</f>
        <v>#VALUE!</v>
      </c>
    </row>
    <row r="224" customFormat="false" ht="14.5" hidden="false" customHeight="false" outlineLevel="0" collapsed="false">
      <c r="A224" s="20" t="s">
        <v>108</v>
      </c>
      <c r="B224" s="22" t="n">
        <v>38</v>
      </c>
      <c r="C224" s="15" t="n">
        <v>753</v>
      </c>
      <c r="D224" s="5" t="s">
        <v>109</v>
      </c>
      <c r="E224" s="5" t="s">
        <v>118</v>
      </c>
      <c r="G224" s="16"/>
      <c r="I224" s="16" t="n">
        <v>2</v>
      </c>
      <c r="J224" s="5" t="n">
        <v>1</v>
      </c>
      <c r="K224" s="16"/>
      <c r="L224" s="5" t="n">
        <v>1</v>
      </c>
      <c r="N224" s="5" t="n">
        <v>1</v>
      </c>
      <c r="O224" s="0"/>
      <c r="P224" s="5" t="n">
        <v>1</v>
      </c>
      <c r="Q224" s="5" t="n">
        <v>1</v>
      </c>
      <c r="R224" s="0"/>
      <c r="S224" s="16"/>
      <c r="T224" s="0"/>
      <c r="U224" s="16"/>
      <c r="V224" s="16"/>
      <c r="W224" s="0"/>
      <c r="AD224" s="16"/>
      <c r="AE224" s="5"/>
      <c r="AF224" s="16"/>
      <c r="AG224" s="16"/>
      <c r="AH224" s="16"/>
      <c r="AJ224" s="16"/>
      <c r="AL224" s="16"/>
      <c r="AN224" s="16"/>
      <c r="AO224" s="5" t="n">
        <v>1</v>
      </c>
      <c r="AP224" s="16" t="n">
        <v>2</v>
      </c>
      <c r="AR224" s="16" t="n">
        <v>1</v>
      </c>
      <c r="AT224" s="16"/>
      <c r="AU224" s="16"/>
      <c r="AV224" s="16" t="n">
        <v>1</v>
      </c>
      <c r="AW224" s="16" t="n">
        <v>1</v>
      </c>
      <c r="AX224" s="16"/>
      <c r="AY224" s="16"/>
      <c r="AZ224" s="16"/>
      <c r="BA224" s="5" t="n">
        <v>1</v>
      </c>
      <c r="BB224" s="16" t="n">
        <v>1</v>
      </c>
      <c r="BC224" s="16" t="e">
        <f aca="false">MatchData[cheval scored crossings]*5</f>
        <v>#VALUE!</v>
      </c>
      <c r="BD224" s="16" t="e">
        <f aca="false">MatchData[moat scored crosings]*5</f>
        <v>#VALUE!</v>
      </c>
      <c r="BE224" s="16" t="e">
        <f aca="false">MatchData[ramparts scored crossings]*5</f>
        <v>#VALUE!</v>
      </c>
      <c r="BF224" s="16" t="e">
        <f aca="false">MatchData[drawbridge scored crossings]*5</f>
        <v>#VALUE!</v>
      </c>
      <c r="BG224" s="16" t="e">
        <f aca="false">MatchData[sally port scored crossings]*5</f>
        <v>#VALUE!</v>
      </c>
      <c r="BH224" s="16" t="e">
        <f aca="false">MatchData[rock wall scored crossings]*5</f>
        <v>#VALUE!</v>
      </c>
      <c r="BI224" s="16" t="e">
        <f aca="false">MatchData[rough terrain scored crossings]*5</f>
        <v>#VALUE!</v>
      </c>
      <c r="BJ224" s="16" t="e">
        <f aca="false">MatchData[low bar scored crossings]*5</f>
        <v>#VALUE!</v>
      </c>
      <c r="BK224" s="16" t="e">
        <f aca="false">SUM(MatchData[[#this row],[low bar teleop crossings]:[rough terrain scored crossings]])</f>
        <v>#VALUE!</v>
      </c>
      <c r="BL224" s="16" t="e">
        <f aca="false">IFERROR(IF(OR(MatchData[[#this row],[challenge flag]],MatchData[[#this row],[climb flag]]),1,0),0)</f>
        <v>#VALUE!</v>
      </c>
      <c r="BM224" s="16" t="e">
        <f aca="false">MatchData[auto high goals]*10+MatchData[teleop high goals]*5</f>
        <v>#VALUE!</v>
      </c>
      <c r="BN224" s="16" t="e">
        <f aca="false">MatchData[auto low goals]*5+MatchData[teleop low goals]*2</f>
        <v>#VALUE!</v>
      </c>
      <c r="BO224" s="16" t="e">
        <f aca="false">MatchData[high goal score]+MatchData[low goal score]</f>
        <v>#VALUE!</v>
      </c>
      <c r="BP224" s="16" t="e">
        <f aca="false">MatchData[teleop high goals]+MatchData[teleop low goals]</f>
        <v>#VALUE!</v>
      </c>
      <c r="BQ224" s="16" t="e">
        <f aca="false">MatchData[[#this row],[auto reach flag]]*2+SUM(MatchData[[#this row],[portcullis auto crossings]:[low bar auto crossings]])*10+MatchData[[#this row],[auto low goals]]*5+MatchData[auto high goals]*10</f>
        <v>#VALUE!</v>
      </c>
      <c r="BR224" s="16" t="e">
        <f aca="false">SUM(MatchData[[#this row],[cheval teleop crossing score]:[low bar teleop crossing score]])</f>
        <v>#VALUE!</v>
      </c>
      <c r="BS224" s="16" t="e">
        <f aca="false">SUMIF(MatchData[team],MatchData[[#this row],[team]],MatchData[total auto score])/MatchData[match count]</f>
        <v>#VALUE!</v>
      </c>
      <c r="BT224" s="16" t="e">
        <f aca="false">MatchData[challenge flag]*5</f>
        <v>#VALUE!</v>
      </c>
      <c r="BU224" s="16" t="e">
        <f aca="false">MatchData[climb flag]*15</f>
        <v>#VALUE!</v>
      </c>
      <c r="BV224" s="16" t="e">
        <f aca="false">SUM(MatchData[[#this row],[total goal score]],MatchData[[#this row],[crossing score]],MatchData[[#this row],[challenge score]],MatchData[[#this row],[climb score]],MatchData[[#this row],[total auto score]])</f>
        <v>#VALUE!</v>
      </c>
      <c r="BW224" s="16" t="e">
        <f aca="false">ROUND(SUMIF(MatchData[team],MatchData[[#this row],[team]],MatchData[teleop low goals])/COUNTIF(MatchData[team],MatchData[[#this row],[team]]),2)</f>
        <v>#VALUE!</v>
      </c>
      <c r="BX224" s="16" t="e">
        <f aca="false">ROUND(SUMIF(MatchData[team],MatchData[[#this row],[team]],MatchData[teleop high goals])/COUNTIF(MatchData[team],MatchData[[#this row],[team]]),2)</f>
        <v>#VALUE!</v>
      </c>
      <c r="BY224" s="16" t="e">
        <f aca="false">COUNTIF(MatchData[team],MatchData[[#this row],[team]])</f>
        <v>#VALUE!</v>
      </c>
      <c r="BZ224" s="16" t="e">
        <f aca="false">SUMIF(MatchData[team],MatchData[[#this row],[team]],MatchData[portcullis available])</f>
        <v>#VALUE!</v>
      </c>
      <c r="CA224" s="16" t="e">
        <f aca="false">SUMIF(MatchData[team],MatchData[[#this row],[team]],MatchData[cheval available])</f>
        <v>#VALUE!</v>
      </c>
      <c r="CB224" s="16" t="e">
        <f aca="false">SUMIF(MatchData[team],MatchData[[#this row],[team]],MatchData[moat available])</f>
        <v>#VALUE!</v>
      </c>
      <c r="CC224" s="16" t="e">
        <f aca="false">SUMIF(MatchData[team],MatchData[[#this row],[team]],MatchData[ramparts available])</f>
        <v>#VALUE!</v>
      </c>
      <c r="CD224" s="16" t="e">
        <f aca="false">SUMIF(MatchData[team],MatchData[[#this row],[team]],MatchData[drawbridge available])</f>
        <v>#VALUE!</v>
      </c>
      <c r="CE224" s="16" t="e">
        <f aca="false">SUMIF(MatchData[team],MatchData[[#this row],[team]],MatchData[sally port available])</f>
        <v>#VALUE!</v>
      </c>
      <c r="CF224" s="16" t="e">
        <f aca="false">SUMIF(MatchData[team],MatchData[[#this row],[team]],MatchData[rock wall available])</f>
        <v>#VALUE!</v>
      </c>
      <c r="CG224" s="16" t="e">
        <f aca="false">SUMIF(MatchData[team],MatchData[[#this row],[team]],MatchData[rough terrain available])</f>
        <v>#VALUE!</v>
      </c>
      <c r="CH224" s="16" t="e">
        <f aca="false">SUMIF(MatchData[team],MatchData[[#this row],[team]],MatchData[low bar available])</f>
        <v>#VALUE!</v>
      </c>
      <c r="CI224" s="16" t="e">
        <f aca="false">SUMIF(MatchData[team],MatchData[[#this row],[team]],MatchData[portcullis teleop crossings]:MatchData[portcullis scored crossings])</f>
        <v>#VALUE!</v>
      </c>
      <c r="CJ224" s="16" t="e">
        <f aca="false">SUMIF(MatchData[team],MatchData[[#this row],[team]],MatchData[cheval teleop crossings])+SUMIF(MatchData[team],MatchData[[#this row],[team]],MatchData[cheval scored crossings])</f>
        <v>#VALUE!</v>
      </c>
      <c r="CK224" s="16" t="e">
        <f aca="false">SUMIF(MatchData[team],MatchData[[#this row],[team]],MatchData[moat teleop crossings])+SUMIF(MatchData[team],MatchData[[#this row],[team]],MatchData[moat scored crosings])</f>
        <v>#VALUE!</v>
      </c>
      <c r="CL224" s="16" t="e">
        <f aca="false">SUMIF(MatchData[team],MatchData[[#this row],[team]],MatchData[ramparts teleop crossings])+SUMIF(MatchData[team],MatchData[[#this row],[team]],MatchData[ramparts scored crossings])</f>
        <v>#VALUE!</v>
      </c>
      <c r="CM224" s="16" t="e">
        <f aca="false">SUMIF(MatchData[team],MatchData[[#this row],[team]],MatchData[drawbridge teleop crossings])+SUMIF(MatchData[team],MatchData[[#this row],[team]],MatchData[drawbridge scored crossings])</f>
        <v>#VALUE!</v>
      </c>
      <c r="CN224" s="16" t="e">
        <f aca="false">SUMIF(MatchData[team],MatchData[[#this row],[team]],MatchData[sally port teleop crossings])+SUMIF(MatchData[team],MatchData[[#this row],[team]],MatchData[sally port scored crossings])</f>
        <v>#VALUE!</v>
      </c>
      <c r="CO224" s="16" t="e">
        <f aca="false">SUMIF(MatchData[team],MatchData[[#this row],[team]],MatchData[rock wall teleop crossings])+SUMIF(MatchData[team],MatchData[[#this row],[team]],MatchData[rock wall scored crossings])</f>
        <v>#VALUE!</v>
      </c>
      <c r="CP224" s="16" t="e">
        <f aca="false">SUMIF(MatchData[team],MatchData[[#this row],[team]],MatchData[rough terrain teleop crossings])+SUMIF(MatchData[team],MatchData[[#this row],[team]],MatchData[rough terrain scored crossings])</f>
        <v>#VALUE!</v>
      </c>
      <c r="CQ224" s="16" t="e">
        <f aca="false">SUMIF(MatchData[team],MatchData[[#this row],[team]],MatchData[low bar teleop crossings])+SUMIF(MatchData[team],MatchData[[#this row],[team]],MatchData[low bar scored crossings])</f>
        <v>#VALUE!</v>
      </c>
      <c r="CR224" s="16" t="e">
        <f aca="false">IFERROR(ROUND(MatchData[[#this row],[portcullis sum]]/MatchData[[#this row],[portcullis avail count]],2),0)</f>
        <v>#VALUE!</v>
      </c>
      <c r="CS224" s="16" t="e">
        <f aca="false">IFERROR(ROUND(MatchData[[#this row],[cheval sum]]/MatchData[[#this row],[cheval avail count]],2),0)</f>
        <v>#VALUE!</v>
      </c>
      <c r="CT224" s="16" t="e">
        <f aca="false">IFERROR(ROUND(MatchData[[#this row],[moat sum]]/MatchData[[#this row],[moat avail count]],2),0)</f>
        <v>#VALUE!</v>
      </c>
      <c r="CU224" s="16" t="e">
        <f aca="false">IFERROR(ROUND(MatchData[[#this row],[ramparts sum]]/MatchData[[#this row],[ramparts avail count]],2),0)</f>
        <v>#VALUE!</v>
      </c>
      <c r="CV224" s="16" t="e">
        <f aca="false">IFERROR(ROUND(MatchData[[#this row],[drawbridge sum]]/MatchData[[#this row],[drawbridge avail countigh6]],2),0)</f>
        <v>#VALUE!</v>
      </c>
      <c r="CW224" s="16" t="e">
        <f aca="false">IFERROR(ROUND(MatchData[[#this row],[sally port sum]]/MatchData[[#this row],[sally port avail count]],2),0)</f>
        <v>#VALUE!</v>
      </c>
      <c r="CX224" s="5" t="e">
        <f aca="false">IFERROR(ROUND(MatchData[[#this row],[rock wall sum]]/MatchData[[#this row],[rock wall avail count]],2),0)</f>
        <v>#VALUE!</v>
      </c>
      <c r="CY224" s="5" t="e">
        <f aca="false">IFERROR(ROUND(MatchData[[#this row],[rough terrain sum]]/MatchData[[#this row],[rough terrain avail count]],2),0)</f>
        <v>#VALUE!</v>
      </c>
      <c r="CZ224" s="5" t="e">
        <f aca="false">IFERROR(ROUND(MatchData[[#this row],[low bar sum]]/MatchData[[#this row],[low bar avail count]],2),0)</f>
        <v>#VALUE!</v>
      </c>
      <c r="DA224" s="16" t="e">
        <f aca="false">SUM(MatchData[[#this row],[cheval sum]:[low bar sum]])/MatchData[match count]</f>
        <v>#VALUE!</v>
      </c>
      <c r="DB224" s="16" t="n">
        <f aca="false">MAX(IF(C$2:C$74=C224,BP$2:BP$74))</f>
        <v>-1.79769313486232E+308</v>
      </c>
      <c r="DC224" s="16" t="e">
        <f aca="false">AVERAGEIF(MatchData[team],MatchData[[#this row],[team]],MatchData[total score])</f>
        <v>#VALUE!</v>
      </c>
      <c r="DD224" s="16" t="e">
        <f aca="false">ROUND(AVERAGEIF(MatchData[team],MatchData[team],MatchData[climb or challenge flag]),2)</f>
        <v>#VALUE!</v>
      </c>
    </row>
    <row r="225" customFormat="false" ht="14.5" hidden="false" customHeight="false" outlineLevel="0" collapsed="false">
      <c r="A225" s="20" t="s">
        <v>108</v>
      </c>
      <c r="B225" s="21" t="n">
        <v>38</v>
      </c>
      <c r="C225" s="15" t="n">
        <v>4110</v>
      </c>
      <c r="D225" s="5" t="s">
        <v>109</v>
      </c>
      <c r="E225" s="5" t="s">
        <v>120</v>
      </c>
      <c r="G225" s="16"/>
      <c r="I225" s="16" t="n">
        <v>1</v>
      </c>
      <c r="J225" s="5" t="n">
        <v>1</v>
      </c>
      <c r="K225" s="16"/>
      <c r="L225" s="5" t="n">
        <v>1</v>
      </c>
      <c r="N225" s="5" t="n">
        <v>1</v>
      </c>
      <c r="O225" s="0"/>
      <c r="P225" s="5" t="n">
        <v>1</v>
      </c>
      <c r="Q225" s="5" t="n">
        <v>1</v>
      </c>
      <c r="R225" s="0"/>
      <c r="S225" s="16" t="n">
        <v>1</v>
      </c>
      <c r="T225" s="0"/>
      <c r="U225" s="16"/>
      <c r="V225" s="16"/>
      <c r="W225" s="0"/>
      <c r="AD225" s="16" t="n">
        <v>1</v>
      </c>
      <c r="AE225" s="5"/>
      <c r="AF225" s="16"/>
      <c r="AG225" s="16"/>
      <c r="AH225" s="16" t="n">
        <v>2</v>
      </c>
      <c r="AJ225" s="16"/>
      <c r="AL225" s="16" t="n">
        <v>2</v>
      </c>
      <c r="AN225" s="16"/>
      <c r="AP225" s="16"/>
      <c r="AR225" s="16"/>
      <c r="AT225" s="16"/>
      <c r="AU225" s="16"/>
      <c r="AV225" s="16" t="n">
        <v>1</v>
      </c>
      <c r="AW225" s="16" t="n">
        <v>1</v>
      </c>
      <c r="AX225" s="16"/>
      <c r="AY225" s="16"/>
      <c r="AZ225" s="16"/>
      <c r="BB225" s="16" t="n">
        <v>1</v>
      </c>
      <c r="BC225" s="16" t="e">
        <f aca="false">MatchData[cheval scored crossings]*5</f>
        <v>#VALUE!</v>
      </c>
      <c r="BD225" s="16" t="e">
        <f aca="false">MatchData[moat scored crosings]*5</f>
        <v>#VALUE!</v>
      </c>
      <c r="BE225" s="16" t="e">
        <f aca="false">MatchData[ramparts scored crossings]*5</f>
        <v>#VALUE!</v>
      </c>
      <c r="BF225" s="16" t="e">
        <f aca="false">MatchData[drawbridge scored crossings]*5</f>
        <v>#VALUE!</v>
      </c>
      <c r="BG225" s="16" t="e">
        <f aca="false">MatchData[sally port scored crossings]*5</f>
        <v>#VALUE!</v>
      </c>
      <c r="BH225" s="16" t="e">
        <f aca="false">MatchData[rock wall scored crossings]*5</f>
        <v>#VALUE!</v>
      </c>
      <c r="BI225" s="16" t="e">
        <f aca="false">MatchData[rough terrain scored crossings]*5</f>
        <v>#VALUE!</v>
      </c>
      <c r="BJ225" s="16" t="e">
        <f aca="false">MatchData[low bar scored crossings]*5</f>
        <v>#VALUE!</v>
      </c>
      <c r="BK225" s="16" t="e">
        <f aca="false">SUM(MatchData[[#this row],[low bar teleop crossings]:[rough terrain scored crossings]])</f>
        <v>#VALUE!</v>
      </c>
      <c r="BL225" s="16" t="e">
        <f aca="false">IFERROR(IF(OR(MatchData[[#this row],[challenge flag]],MatchData[[#this row],[climb flag]]),1,0),0)</f>
        <v>#VALUE!</v>
      </c>
      <c r="BM225" s="16" t="e">
        <f aca="false">MatchData[auto high goals]*10+MatchData[teleop high goals]*5</f>
        <v>#VALUE!</v>
      </c>
      <c r="BN225" s="16" t="e">
        <f aca="false">MatchData[auto low goals]*5+MatchData[teleop low goals]*2</f>
        <v>#VALUE!</v>
      </c>
      <c r="BO225" s="16" t="e">
        <f aca="false">MatchData[high goal score]+MatchData[low goal score]</f>
        <v>#VALUE!</v>
      </c>
      <c r="BP225" s="16" t="e">
        <f aca="false">MatchData[teleop high goals]+MatchData[teleop low goals]</f>
        <v>#VALUE!</v>
      </c>
      <c r="BQ225" s="16" t="e">
        <f aca="false">MatchData[[#this row],[auto reach flag]]*2+SUM(MatchData[[#this row],[portcullis auto crossings]:[low bar auto crossings]])*10+MatchData[[#this row],[auto low goals]]*5+MatchData[auto high goals]*10</f>
        <v>#VALUE!</v>
      </c>
      <c r="BR225" s="16" t="e">
        <f aca="false">SUM(MatchData[[#this row],[cheval teleop crossing score]:[low bar teleop crossing score]])</f>
        <v>#VALUE!</v>
      </c>
      <c r="BS225" s="16" t="e">
        <f aca="false">SUMIF(MatchData[team],MatchData[[#this row],[team]],MatchData[total auto score])/MatchData[match count]</f>
        <v>#VALUE!</v>
      </c>
      <c r="BT225" s="16" t="e">
        <f aca="false">MatchData[challenge flag]*5</f>
        <v>#VALUE!</v>
      </c>
      <c r="BU225" s="16" t="e">
        <f aca="false">MatchData[climb flag]*15</f>
        <v>#VALUE!</v>
      </c>
      <c r="BV225" s="16" t="e">
        <f aca="false">SUM(MatchData[[#this row],[total goal score]],MatchData[[#this row],[crossing score]],MatchData[[#this row],[challenge score]],MatchData[[#this row],[climb score]],MatchData[[#this row],[total auto score]])</f>
        <v>#VALUE!</v>
      </c>
      <c r="BW225" s="16" t="e">
        <f aca="false">ROUND(SUMIF(MatchData[team],MatchData[[#this row],[team]],MatchData[teleop low goals])/COUNTIF(MatchData[team],MatchData[[#this row],[team]]),2)</f>
        <v>#VALUE!</v>
      </c>
      <c r="BX225" s="16" t="e">
        <f aca="false">ROUND(SUMIF(MatchData[team],MatchData[[#this row],[team]],MatchData[teleop high goals])/COUNTIF(MatchData[team],MatchData[[#this row],[team]]),2)</f>
        <v>#VALUE!</v>
      </c>
      <c r="BY225" s="16" t="e">
        <f aca="false">COUNTIF(MatchData[team],MatchData[[#this row],[team]])</f>
        <v>#VALUE!</v>
      </c>
      <c r="BZ225" s="16" t="e">
        <f aca="false">SUMIF(MatchData[team],MatchData[[#this row],[team]],MatchData[portcullis available])</f>
        <v>#VALUE!</v>
      </c>
      <c r="CA225" s="16" t="e">
        <f aca="false">SUMIF(MatchData[team],MatchData[[#this row],[team]],MatchData[cheval available])</f>
        <v>#VALUE!</v>
      </c>
      <c r="CB225" s="16" t="e">
        <f aca="false">SUMIF(MatchData[team],MatchData[[#this row],[team]],MatchData[moat available])</f>
        <v>#VALUE!</v>
      </c>
      <c r="CC225" s="16" t="e">
        <f aca="false">SUMIF(MatchData[team],MatchData[[#this row],[team]],MatchData[ramparts available])</f>
        <v>#VALUE!</v>
      </c>
      <c r="CD225" s="16" t="e">
        <f aca="false">SUMIF(MatchData[team],MatchData[[#this row],[team]],MatchData[drawbridge available])</f>
        <v>#VALUE!</v>
      </c>
      <c r="CE225" s="16" t="e">
        <f aca="false">SUMIF(MatchData[team],MatchData[[#this row],[team]],MatchData[sally port available])</f>
        <v>#VALUE!</v>
      </c>
      <c r="CF225" s="16" t="e">
        <f aca="false">SUMIF(MatchData[team],MatchData[[#this row],[team]],MatchData[rock wall available])</f>
        <v>#VALUE!</v>
      </c>
      <c r="CG225" s="16" t="e">
        <f aca="false">SUMIF(MatchData[team],MatchData[[#this row],[team]],MatchData[rough terrain available])</f>
        <v>#VALUE!</v>
      </c>
      <c r="CH225" s="16" t="e">
        <f aca="false">SUMIF(MatchData[team],MatchData[[#this row],[team]],MatchData[low bar available])</f>
        <v>#VALUE!</v>
      </c>
      <c r="CI225" s="16" t="e">
        <f aca="false">SUMIF(MatchData[team],MatchData[[#this row],[team]],MatchData[portcullis teleop crossings]:MatchData[portcullis scored crossings])</f>
        <v>#VALUE!</v>
      </c>
      <c r="CJ225" s="16" t="e">
        <f aca="false">SUMIF(MatchData[team],MatchData[[#this row],[team]],MatchData[cheval teleop crossings])+SUMIF(MatchData[team],MatchData[[#this row],[team]],MatchData[cheval scored crossings])</f>
        <v>#VALUE!</v>
      </c>
      <c r="CK225" s="16" t="e">
        <f aca="false">SUMIF(MatchData[team],MatchData[[#this row],[team]],MatchData[moat teleop crossings])+SUMIF(MatchData[team],MatchData[[#this row],[team]],MatchData[moat scored crosings])</f>
        <v>#VALUE!</v>
      </c>
      <c r="CL225" s="16" t="e">
        <f aca="false">SUMIF(MatchData[team],MatchData[[#this row],[team]],MatchData[ramparts teleop crossings])+SUMIF(MatchData[team],MatchData[[#this row],[team]],MatchData[ramparts scored crossings])</f>
        <v>#VALUE!</v>
      </c>
      <c r="CM225" s="16" t="e">
        <f aca="false">SUMIF(MatchData[team],MatchData[[#this row],[team]],MatchData[drawbridge teleop crossings])+SUMIF(MatchData[team],MatchData[[#this row],[team]],MatchData[drawbridge scored crossings])</f>
        <v>#VALUE!</v>
      </c>
      <c r="CN225" s="16" t="e">
        <f aca="false">SUMIF(MatchData[team],MatchData[[#this row],[team]],MatchData[sally port teleop crossings])+SUMIF(MatchData[team],MatchData[[#this row],[team]],MatchData[sally port scored crossings])</f>
        <v>#VALUE!</v>
      </c>
      <c r="CO225" s="16" t="e">
        <f aca="false">SUMIF(MatchData[team],MatchData[[#this row],[team]],MatchData[rock wall teleop crossings])+SUMIF(MatchData[team],MatchData[[#this row],[team]],MatchData[rock wall scored crossings])</f>
        <v>#VALUE!</v>
      </c>
      <c r="CP225" s="16" t="e">
        <f aca="false">SUMIF(MatchData[team],MatchData[[#this row],[team]],MatchData[rough terrain teleop crossings])+SUMIF(MatchData[team],MatchData[[#this row],[team]],MatchData[rough terrain scored crossings])</f>
        <v>#VALUE!</v>
      </c>
      <c r="CQ225" s="16" t="e">
        <f aca="false">SUMIF(MatchData[team],MatchData[[#this row],[team]],MatchData[low bar teleop crossings])+SUMIF(MatchData[team],MatchData[[#this row],[team]],MatchData[low bar scored crossings])</f>
        <v>#VALUE!</v>
      </c>
      <c r="CR225" s="16" t="e">
        <f aca="false">IFERROR(ROUND(MatchData[[#this row],[portcullis sum]]/MatchData[[#this row],[portcullis avail count]],2),0)</f>
        <v>#VALUE!</v>
      </c>
      <c r="CS225" s="16" t="e">
        <f aca="false">IFERROR(ROUND(MatchData[[#this row],[cheval sum]]/MatchData[[#this row],[cheval avail count]],2),0)</f>
        <v>#VALUE!</v>
      </c>
      <c r="CT225" s="16" t="e">
        <f aca="false">IFERROR(ROUND(MatchData[[#this row],[moat sum]]/MatchData[[#this row],[moat avail count]],2),0)</f>
        <v>#VALUE!</v>
      </c>
      <c r="CU225" s="16" t="e">
        <f aca="false">IFERROR(ROUND(MatchData[[#this row],[ramparts sum]]/MatchData[[#this row],[ramparts avail count]],2),0)</f>
        <v>#VALUE!</v>
      </c>
      <c r="CV225" s="16" t="e">
        <f aca="false">IFERROR(ROUND(MatchData[[#this row],[drawbridge sum]]/MatchData[[#this row],[drawbridge avail countigh6]],2),0)</f>
        <v>#VALUE!</v>
      </c>
      <c r="CW225" s="16" t="e">
        <f aca="false">IFERROR(ROUND(MatchData[[#this row],[sally port sum]]/MatchData[[#this row],[sally port avail count]],2),0)</f>
        <v>#VALUE!</v>
      </c>
      <c r="CX225" s="5" t="e">
        <f aca="false">IFERROR(ROUND(MatchData[[#this row],[rock wall sum]]/MatchData[[#this row],[rock wall avail count]],2),0)</f>
        <v>#VALUE!</v>
      </c>
      <c r="CY225" s="5" t="e">
        <f aca="false">IFERROR(ROUND(MatchData[[#this row],[rough terrain sum]]/MatchData[[#this row],[rough terrain avail count]],2),0)</f>
        <v>#VALUE!</v>
      </c>
      <c r="CZ225" s="5" t="e">
        <f aca="false">IFERROR(ROUND(MatchData[[#this row],[low bar sum]]/MatchData[[#this row],[low bar avail count]],2),0)</f>
        <v>#VALUE!</v>
      </c>
      <c r="DA225" s="16" t="e">
        <f aca="false">SUM(MatchData[[#this row],[cheval sum]:[low bar sum]])/MatchData[match count]</f>
        <v>#VALUE!</v>
      </c>
      <c r="DB225" s="16" t="n">
        <f aca="false">MAX(IF(C$2:C$74=C225,BP$2:BP$74))</f>
        <v>-1.79769313486232E+308</v>
      </c>
      <c r="DC225" s="16" t="e">
        <f aca="false">AVERAGEIF(MatchData[team],MatchData[[#this row],[team]],MatchData[total score])</f>
        <v>#VALUE!</v>
      </c>
      <c r="DD225" s="16" t="e">
        <f aca="false">ROUND(AVERAGEIF(MatchData[team],MatchData[team],MatchData[climb or challenge flag]),2)</f>
        <v>#VALUE!</v>
      </c>
    </row>
    <row r="226" customFormat="false" ht="14.5" hidden="false" customHeight="false" outlineLevel="0" collapsed="false">
      <c r="A226" s="20" t="s">
        <v>108</v>
      </c>
      <c r="B226" s="22" t="n">
        <v>38</v>
      </c>
      <c r="C226" s="15" t="n">
        <v>5085</v>
      </c>
      <c r="D226" s="5" t="s">
        <v>109</v>
      </c>
      <c r="E226" s="5" t="s">
        <v>152</v>
      </c>
      <c r="G226" s="16"/>
      <c r="I226" s="16" t="n">
        <v>2</v>
      </c>
      <c r="J226" s="5" t="n">
        <v>1</v>
      </c>
      <c r="K226" s="16"/>
      <c r="L226" s="5" t="n">
        <v>1</v>
      </c>
      <c r="N226" s="5" t="n">
        <v>1</v>
      </c>
      <c r="O226" s="0"/>
      <c r="P226" s="5" t="n">
        <v>1</v>
      </c>
      <c r="Q226" s="5" t="n">
        <v>1</v>
      </c>
      <c r="R226" s="0"/>
      <c r="S226" s="16"/>
      <c r="T226" s="0"/>
      <c r="U226" s="16"/>
      <c r="V226" s="16"/>
      <c r="W226" s="0"/>
      <c r="AB226" s="5" t="n">
        <v>1</v>
      </c>
      <c r="AC226" s="5" t="n">
        <v>1</v>
      </c>
      <c r="AD226" s="16" t="n">
        <v>1</v>
      </c>
      <c r="AE226" s="5"/>
      <c r="AF226" s="16"/>
      <c r="AG226" s="16"/>
      <c r="AH226" s="16"/>
      <c r="AJ226" s="16"/>
      <c r="AL226" s="16"/>
      <c r="AN226" s="16"/>
      <c r="AP226" s="16"/>
      <c r="AR226" s="16" t="n">
        <v>1</v>
      </c>
      <c r="AT226" s="16"/>
      <c r="AU226" s="16"/>
      <c r="AV226" s="16"/>
      <c r="AW226" s="16" t="n">
        <v>1</v>
      </c>
      <c r="AX226" s="16"/>
      <c r="AY226" s="16"/>
      <c r="AZ226" s="16"/>
      <c r="BB226" s="16" t="n">
        <v>1</v>
      </c>
      <c r="BC226" s="16" t="e">
        <f aca="false">MatchData[cheval scored crossings]*5</f>
        <v>#VALUE!</v>
      </c>
      <c r="BD226" s="16" t="e">
        <f aca="false">MatchData[moat scored crosings]*5</f>
        <v>#VALUE!</v>
      </c>
      <c r="BE226" s="16" t="e">
        <f aca="false">MatchData[ramparts scored crossings]*5</f>
        <v>#VALUE!</v>
      </c>
      <c r="BF226" s="16" t="e">
        <f aca="false">MatchData[drawbridge scored crossings]*5</f>
        <v>#VALUE!</v>
      </c>
      <c r="BG226" s="16" t="e">
        <f aca="false">MatchData[sally port scored crossings]*5</f>
        <v>#VALUE!</v>
      </c>
      <c r="BH226" s="16" t="e">
        <f aca="false">MatchData[rock wall scored crossings]*5</f>
        <v>#VALUE!</v>
      </c>
      <c r="BI226" s="16" t="e">
        <f aca="false">MatchData[rough terrain scored crossings]*5</f>
        <v>#VALUE!</v>
      </c>
      <c r="BJ226" s="16" t="e">
        <f aca="false">MatchData[low bar scored crossings]*5</f>
        <v>#VALUE!</v>
      </c>
      <c r="BK226" s="16" t="e">
        <f aca="false">SUM(MatchData[[#this row],[low bar teleop crossings]:[rough terrain scored crossings]])</f>
        <v>#VALUE!</v>
      </c>
      <c r="BL226" s="16" t="e">
        <f aca="false">IFERROR(IF(OR(MatchData[[#this row],[challenge flag]],MatchData[[#this row],[climb flag]]),1,0),0)</f>
        <v>#VALUE!</v>
      </c>
      <c r="BM226" s="16" t="e">
        <f aca="false">MatchData[auto high goals]*10+MatchData[teleop high goals]*5</f>
        <v>#VALUE!</v>
      </c>
      <c r="BN226" s="16" t="e">
        <f aca="false">MatchData[auto low goals]*5+MatchData[teleop low goals]*2</f>
        <v>#VALUE!</v>
      </c>
      <c r="BO226" s="16" t="e">
        <f aca="false">MatchData[high goal score]+MatchData[low goal score]</f>
        <v>#VALUE!</v>
      </c>
      <c r="BP226" s="16" t="e">
        <f aca="false">MatchData[teleop high goals]+MatchData[teleop low goals]</f>
        <v>#VALUE!</v>
      </c>
      <c r="BQ226" s="16" t="e">
        <f aca="false">MatchData[[#this row],[auto reach flag]]*2+SUM(MatchData[[#this row],[portcullis auto crossings]:[low bar auto crossings]])*10+MatchData[[#this row],[auto low goals]]*5+MatchData[auto high goals]*10</f>
        <v>#VALUE!</v>
      </c>
      <c r="BR226" s="16" t="e">
        <f aca="false">SUM(MatchData[[#this row],[cheval teleop crossing score]:[low bar teleop crossing score]])</f>
        <v>#VALUE!</v>
      </c>
      <c r="BS226" s="16" t="e">
        <f aca="false">SUMIF(MatchData[team],MatchData[[#this row],[team]],MatchData[total auto score])/MatchData[match count]</f>
        <v>#VALUE!</v>
      </c>
      <c r="BT226" s="16" t="e">
        <f aca="false">MatchData[challenge flag]*5</f>
        <v>#VALUE!</v>
      </c>
      <c r="BU226" s="16" t="e">
        <f aca="false">MatchData[climb flag]*15</f>
        <v>#VALUE!</v>
      </c>
      <c r="BV226" s="16" t="e">
        <f aca="false">SUM(MatchData[[#this row],[total goal score]],MatchData[[#this row],[crossing score]],MatchData[[#this row],[challenge score]],MatchData[[#this row],[climb score]],MatchData[[#this row],[total auto score]])</f>
        <v>#VALUE!</v>
      </c>
      <c r="BW226" s="16" t="e">
        <f aca="false">ROUND(SUMIF(MatchData[team],MatchData[[#this row],[team]],MatchData[teleop low goals])/COUNTIF(MatchData[team],MatchData[[#this row],[team]]),2)</f>
        <v>#VALUE!</v>
      </c>
      <c r="BX226" s="16" t="e">
        <f aca="false">ROUND(SUMIF(MatchData[team],MatchData[[#this row],[team]],MatchData[teleop high goals])/COUNTIF(MatchData[team],MatchData[[#this row],[team]]),2)</f>
        <v>#VALUE!</v>
      </c>
      <c r="BY226" s="16" t="e">
        <f aca="false">COUNTIF(MatchData[team],MatchData[[#this row],[team]])</f>
        <v>#VALUE!</v>
      </c>
      <c r="BZ226" s="16" t="e">
        <f aca="false">SUMIF(MatchData[team],MatchData[[#this row],[team]],MatchData[portcullis available])</f>
        <v>#VALUE!</v>
      </c>
      <c r="CA226" s="16" t="e">
        <f aca="false">SUMIF(MatchData[team],MatchData[[#this row],[team]],MatchData[cheval available])</f>
        <v>#VALUE!</v>
      </c>
      <c r="CB226" s="16" t="e">
        <f aca="false">SUMIF(MatchData[team],MatchData[[#this row],[team]],MatchData[moat available])</f>
        <v>#VALUE!</v>
      </c>
      <c r="CC226" s="16" t="e">
        <f aca="false">SUMIF(MatchData[team],MatchData[[#this row],[team]],MatchData[ramparts available])</f>
        <v>#VALUE!</v>
      </c>
      <c r="CD226" s="16" t="e">
        <f aca="false">SUMIF(MatchData[team],MatchData[[#this row],[team]],MatchData[drawbridge available])</f>
        <v>#VALUE!</v>
      </c>
      <c r="CE226" s="16" t="e">
        <f aca="false">SUMIF(MatchData[team],MatchData[[#this row],[team]],MatchData[sally port available])</f>
        <v>#VALUE!</v>
      </c>
      <c r="CF226" s="16" t="e">
        <f aca="false">SUMIF(MatchData[team],MatchData[[#this row],[team]],MatchData[rock wall available])</f>
        <v>#VALUE!</v>
      </c>
      <c r="CG226" s="16" t="e">
        <f aca="false">SUMIF(MatchData[team],MatchData[[#this row],[team]],MatchData[rough terrain available])</f>
        <v>#VALUE!</v>
      </c>
      <c r="CH226" s="16" t="e">
        <f aca="false">SUMIF(MatchData[team],MatchData[[#this row],[team]],MatchData[low bar available])</f>
        <v>#VALUE!</v>
      </c>
      <c r="CI226" s="16" t="e">
        <f aca="false">SUMIF(MatchData[team],MatchData[[#this row],[team]],MatchData[portcullis teleop crossings]:MatchData[portcullis scored crossings])</f>
        <v>#VALUE!</v>
      </c>
      <c r="CJ226" s="16" t="e">
        <f aca="false">SUMIF(MatchData[team],MatchData[[#this row],[team]],MatchData[cheval teleop crossings])+SUMIF(MatchData[team],MatchData[[#this row],[team]],MatchData[cheval scored crossings])</f>
        <v>#VALUE!</v>
      </c>
      <c r="CK226" s="16" t="e">
        <f aca="false">SUMIF(MatchData[team],MatchData[[#this row],[team]],MatchData[moat teleop crossings])+SUMIF(MatchData[team],MatchData[[#this row],[team]],MatchData[moat scored crosings])</f>
        <v>#VALUE!</v>
      </c>
      <c r="CL226" s="16" t="e">
        <f aca="false">SUMIF(MatchData[team],MatchData[[#this row],[team]],MatchData[ramparts teleop crossings])+SUMIF(MatchData[team],MatchData[[#this row],[team]],MatchData[ramparts scored crossings])</f>
        <v>#VALUE!</v>
      </c>
      <c r="CM226" s="16" t="e">
        <f aca="false">SUMIF(MatchData[team],MatchData[[#this row],[team]],MatchData[drawbridge teleop crossings])+SUMIF(MatchData[team],MatchData[[#this row],[team]],MatchData[drawbridge scored crossings])</f>
        <v>#VALUE!</v>
      </c>
      <c r="CN226" s="16" t="e">
        <f aca="false">SUMIF(MatchData[team],MatchData[[#this row],[team]],MatchData[sally port teleop crossings])+SUMIF(MatchData[team],MatchData[[#this row],[team]],MatchData[sally port scored crossings])</f>
        <v>#VALUE!</v>
      </c>
      <c r="CO226" s="16" t="e">
        <f aca="false">SUMIF(MatchData[team],MatchData[[#this row],[team]],MatchData[rock wall teleop crossings])+SUMIF(MatchData[team],MatchData[[#this row],[team]],MatchData[rock wall scored crossings])</f>
        <v>#VALUE!</v>
      </c>
      <c r="CP226" s="16" t="e">
        <f aca="false">SUMIF(MatchData[team],MatchData[[#this row],[team]],MatchData[rough terrain teleop crossings])+SUMIF(MatchData[team],MatchData[[#this row],[team]],MatchData[rough terrain scored crossings])</f>
        <v>#VALUE!</v>
      </c>
      <c r="CQ226" s="16" t="e">
        <f aca="false">SUMIF(MatchData[team],MatchData[[#this row],[team]],MatchData[low bar teleop crossings])+SUMIF(MatchData[team],MatchData[[#this row],[team]],MatchData[low bar scored crossings])</f>
        <v>#VALUE!</v>
      </c>
      <c r="CR226" s="16" t="e">
        <f aca="false">IFERROR(ROUND(MatchData[[#this row],[portcullis sum]]/MatchData[[#this row],[portcullis avail count]],2),0)</f>
        <v>#VALUE!</v>
      </c>
      <c r="CS226" s="16" t="e">
        <f aca="false">IFERROR(ROUND(MatchData[[#this row],[cheval sum]]/MatchData[[#this row],[cheval avail count]],2),0)</f>
        <v>#VALUE!</v>
      </c>
      <c r="CT226" s="16" t="e">
        <f aca="false">IFERROR(ROUND(MatchData[[#this row],[moat sum]]/MatchData[[#this row],[moat avail count]],2),0)</f>
        <v>#VALUE!</v>
      </c>
      <c r="CU226" s="16" t="e">
        <f aca="false">IFERROR(ROUND(MatchData[[#this row],[ramparts sum]]/MatchData[[#this row],[ramparts avail count]],2),0)</f>
        <v>#VALUE!</v>
      </c>
      <c r="CV226" s="16" t="e">
        <f aca="false">IFERROR(ROUND(MatchData[[#this row],[drawbridge sum]]/MatchData[[#this row],[drawbridge avail countigh6]],2),0)</f>
        <v>#VALUE!</v>
      </c>
      <c r="CW226" s="16" t="e">
        <f aca="false">IFERROR(ROUND(MatchData[[#this row],[sally port sum]]/MatchData[[#this row],[sally port avail count]],2),0)</f>
        <v>#VALUE!</v>
      </c>
      <c r="CX226" s="5" t="e">
        <f aca="false">IFERROR(ROUND(MatchData[[#this row],[rock wall sum]]/MatchData[[#this row],[rock wall avail count]],2),0)</f>
        <v>#VALUE!</v>
      </c>
      <c r="CY226" s="5" t="e">
        <f aca="false">IFERROR(ROUND(MatchData[[#this row],[rough terrain sum]]/MatchData[[#this row],[rough terrain avail count]],2),0)</f>
        <v>#VALUE!</v>
      </c>
      <c r="CZ226" s="5" t="e">
        <f aca="false">IFERROR(ROUND(MatchData[[#this row],[low bar sum]]/MatchData[[#this row],[low bar avail count]],2),0)</f>
        <v>#VALUE!</v>
      </c>
      <c r="DA226" s="16" t="e">
        <f aca="false">SUM(MatchData[[#this row],[cheval sum]:[low bar sum]])/MatchData[match count]</f>
        <v>#VALUE!</v>
      </c>
      <c r="DB226" s="16" t="n">
        <f aca="false">MAX(IF(C$2:C$74=C226,BP$2:BP$74))</f>
        <v>-1.79769313486232E+308</v>
      </c>
      <c r="DC226" s="16" t="e">
        <f aca="false">AVERAGEIF(MatchData[team],MatchData[[#this row],[team]],MatchData[total score])</f>
        <v>#VALUE!</v>
      </c>
      <c r="DD226" s="16" t="e">
        <f aca="false">ROUND(AVERAGEIF(MatchData[team],MatchData[team],MatchData[climb or challenge flag]),2)</f>
        <v>#VALUE!</v>
      </c>
    </row>
    <row r="227" customFormat="false" ht="14.5" hidden="false" customHeight="false" outlineLevel="0" collapsed="false">
      <c r="A227" s="20" t="s">
        <v>108</v>
      </c>
      <c r="B227" s="21" t="n">
        <v>38</v>
      </c>
      <c r="C227" s="15" t="n">
        <v>2002</v>
      </c>
      <c r="D227" s="5" t="s">
        <v>113</v>
      </c>
      <c r="E227" s="5" t="s">
        <v>125</v>
      </c>
      <c r="G227" s="16"/>
      <c r="I227" s="16" t="n">
        <v>1</v>
      </c>
      <c r="J227" s="5" t="n">
        <v>1</v>
      </c>
      <c r="K227" s="16"/>
      <c r="L227" s="5" t="n">
        <v>1</v>
      </c>
      <c r="M227" s="5" t="n">
        <v>1</v>
      </c>
      <c r="N227" s="0"/>
      <c r="O227" s="0"/>
      <c r="P227" s="5" t="n">
        <v>1</v>
      </c>
      <c r="Q227" s="5" t="n">
        <v>1</v>
      </c>
      <c r="R227" s="0"/>
      <c r="S227" s="16"/>
      <c r="T227" s="0"/>
      <c r="U227" s="16"/>
      <c r="V227" s="16" t="n">
        <v>1</v>
      </c>
      <c r="W227" s="0"/>
      <c r="AD227" s="16"/>
      <c r="AE227" s="5"/>
      <c r="AF227" s="16"/>
      <c r="AG227" s="16"/>
      <c r="AH227" s="16"/>
      <c r="AI227" s="5" t="n">
        <v>1</v>
      </c>
      <c r="AJ227" s="16"/>
      <c r="AL227" s="16"/>
      <c r="AN227" s="16"/>
      <c r="AP227" s="16"/>
      <c r="AR227" s="16"/>
      <c r="AT227" s="16"/>
      <c r="AU227" s="16"/>
      <c r="AV227" s="16"/>
      <c r="AW227" s="16" t="n">
        <v>1</v>
      </c>
      <c r="AX227" s="16"/>
      <c r="AY227" s="16"/>
      <c r="AZ227" s="16"/>
      <c r="BA227" s="5" t="n">
        <v>1</v>
      </c>
      <c r="BB227" s="16"/>
      <c r="BC227" s="16" t="e">
        <f aca="false">MatchData[cheval scored crossings]*5</f>
        <v>#VALUE!</v>
      </c>
      <c r="BD227" s="16" t="e">
        <f aca="false">MatchData[moat scored crosings]*5</f>
        <v>#VALUE!</v>
      </c>
      <c r="BE227" s="16" t="e">
        <f aca="false">MatchData[ramparts scored crossings]*5</f>
        <v>#VALUE!</v>
      </c>
      <c r="BF227" s="16" t="e">
        <f aca="false">MatchData[drawbridge scored crossings]*5</f>
        <v>#VALUE!</v>
      </c>
      <c r="BG227" s="16" t="e">
        <f aca="false">MatchData[sally port scored crossings]*5</f>
        <v>#VALUE!</v>
      </c>
      <c r="BH227" s="16" t="e">
        <f aca="false">MatchData[rock wall scored crossings]*5</f>
        <v>#VALUE!</v>
      </c>
      <c r="BI227" s="16" t="e">
        <f aca="false">MatchData[rough terrain scored crossings]*5</f>
        <v>#VALUE!</v>
      </c>
      <c r="BJ227" s="16" t="e">
        <f aca="false">MatchData[low bar scored crossings]*5</f>
        <v>#VALUE!</v>
      </c>
      <c r="BK227" s="16" t="e">
        <f aca="false">SUM(MatchData[[#this row],[low bar teleop crossings]:[rough terrain scored crossings]])</f>
        <v>#VALUE!</v>
      </c>
      <c r="BL227" s="16" t="e">
        <f aca="false">IFERROR(IF(OR(MatchData[[#this row],[challenge flag]],MatchData[[#this row],[climb flag]]),1,0),0)</f>
        <v>#VALUE!</v>
      </c>
      <c r="BM227" s="16" t="e">
        <f aca="false">MatchData[auto high goals]*10+MatchData[teleop high goals]*5</f>
        <v>#VALUE!</v>
      </c>
      <c r="BN227" s="16" t="e">
        <f aca="false">MatchData[auto low goals]*5+MatchData[teleop low goals]*2</f>
        <v>#VALUE!</v>
      </c>
      <c r="BO227" s="16" t="e">
        <f aca="false">MatchData[high goal score]+MatchData[low goal score]</f>
        <v>#VALUE!</v>
      </c>
      <c r="BP227" s="16" t="e">
        <f aca="false">MatchData[teleop high goals]+MatchData[teleop low goals]</f>
        <v>#VALUE!</v>
      </c>
      <c r="BQ227" s="16" t="e">
        <f aca="false">MatchData[[#this row],[auto reach flag]]*2+SUM(MatchData[[#this row],[portcullis auto crossings]:[low bar auto crossings]])*10+MatchData[[#this row],[auto low goals]]*5+MatchData[auto high goals]*10</f>
        <v>#VALUE!</v>
      </c>
      <c r="BR227" s="16" t="e">
        <f aca="false">SUM(MatchData[[#this row],[cheval teleop crossing score]:[low bar teleop crossing score]])</f>
        <v>#VALUE!</v>
      </c>
      <c r="BS227" s="16" t="e">
        <f aca="false">SUMIF(MatchData[team],MatchData[[#this row],[team]],MatchData[total auto score])/MatchData[match count]</f>
        <v>#VALUE!</v>
      </c>
      <c r="BT227" s="16" t="e">
        <f aca="false">MatchData[challenge flag]*5</f>
        <v>#VALUE!</v>
      </c>
      <c r="BU227" s="16" t="e">
        <f aca="false">MatchData[climb flag]*15</f>
        <v>#VALUE!</v>
      </c>
      <c r="BV227" s="16" t="e">
        <f aca="false">SUM(MatchData[[#this row],[total goal score]],MatchData[[#this row],[crossing score]],MatchData[[#this row],[challenge score]],MatchData[[#this row],[climb score]],MatchData[[#this row],[total auto score]])</f>
        <v>#VALUE!</v>
      </c>
      <c r="BW227" s="16" t="e">
        <f aca="false">ROUND(SUMIF(MatchData[team],MatchData[[#this row],[team]],MatchData[teleop low goals])/COUNTIF(MatchData[team],MatchData[[#this row],[team]]),2)</f>
        <v>#VALUE!</v>
      </c>
      <c r="BX227" s="16" t="e">
        <f aca="false">ROUND(SUMIF(MatchData[team],MatchData[[#this row],[team]],MatchData[teleop high goals])/COUNTIF(MatchData[team],MatchData[[#this row],[team]]),2)</f>
        <v>#VALUE!</v>
      </c>
      <c r="BY227" s="16" t="e">
        <f aca="false">COUNTIF(MatchData[team],MatchData[[#this row],[team]])</f>
        <v>#VALUE!</v>
      </c>
      <c r="BZ227" s="16" t="e">
        <f aca="false">SUMIF(MatchData[team],MatchData[[#this row],[team]],MatchData[portcullis available])</f>
        <v>#VALUE!</v>
      </c>
      <c r="CA227" s="16" t="e">
        <f aca="false">SUMIF(MatchData[team],MatchData[[#this row],[team]],MatchData[cheval available])</f>
        <v>#VALUE!</v>
      </c>
      <c r="CB227" s="16" t="e">
        <f aca="false">SUMIF(MatchData[team],MatchData[[#this row],[team]],MatchData[moat available])</f>
        <v>#VALUE!</v>
      </c>
      <c r="CC227" s="16" t="e">
        <f aca="false">SUMIF(MatchData[team],MatchData[[#this row],[team]],MatchData[ramparts available])</f>
        <v>#VALUE!</v>
      </c>
      <c r="CD227" s="16" t="e">
        <f aca="false">SUMIF(MatchData[team],MatchData[[#this row],[team]],MatchData[drawbridge available])</f>
        <v>#VALUE!</v>
      </c>
      <c r="CE227" s="16" t="e">
        <f aca="false">SUMIF(MatchData[team],MatchData[[#this row],[team]],MatchData[sally port available])</f>
        <v>#VALUE!</v>
      </c>
      <c r="CF227" s="16" t="e">
        <f aca="false">SUMIF(MatchData[team],MatchData[[#this row],[team]],MatchData[rock wall available])</f>
        <v>#VALUE!</v>
      </c>
      <c r="CG227" s="16" t="e">
        <f aca="false">SUMIF(MatchData[team],MatchData[[#this row],[team]],MatchData[rough terrain available])</f>
        <v>#VALUE!</v>
      </c>
      <c r="CH227" s="16" t="e">
        <f aca="false">SUMIF(MatchData[team],MatchData[[#this row],[team]],MatchData[low bar available])</f>
        <v>#VALUE!</v>
      </c>
      <c r="CI227" s="16" t="e">
        <f aca="false">SUMIF(MatchData[team],MatchData[[#this row],[team]],MatchData[portcullis teleop crossings]:MatchData[portcullis scored crossings])</f>
        <v>#VALUE!</v>
      </c>
      <c r="CJ227" s="16" t="e">
        <f aca="false">SUMIF(MatchData[team],MatchData[[#this row],[team]],MatchData[cheval teleop crossings])+SUMIF(MatchData[team],MatchData[[#this row],[team]],MatchData[cheval scored crossings])</f>
        <v>#VALUE!</v>
      </c>
      <c r="CK227" s="16" t="e">
        <f aca="false">SUMIF(MatchData[team],MatchData[[#this row],[team]],MatchData[moat teleop crossings])+SUMIF(MatchData[team],MatchData[[#this row],[team]],MatchData[moat scored crosings])</f>
        <v>#VALUE!</v>
      </c>
      <c r="CL227" s="16" t="e">
        <f aca="false">SUMIF(MatchData[team],MatchData[[#this row],[team]],MatchData[ramparts teleop crossings])+SUMIF(MatchData[team],MatchData[[#this row],[team]],MatchData[ramparts scored crossings])</f>
        <v>#VALUE!</v>
      </c>
      <c r="CM227" s="16" t="e">
        <f aca="false">SUMIF(MatchData[team],MatchData[[#this row],[team]],MatchData[drawbridge teleop crossings])+SUMIF(MatchData[team],MatchData[[#this row],[team]],MatchData[drawbridge scored crossings])</f>
        <v>#VALUE!</v>
      </c>
      <c r="CN227" s="16" t="e">
        <f aca="false">SUMIF(MatchData[team],MatchData[[#this row],[team]],MatchData[sally port teleop crossings])+SUMIF(MatchData[team],MatchData[[#this row],[team]],MatchData[sally port scored crossings])</f>
        <v>#VALUE!</v>
      </c>
      <c r="CO227" s="16" t="e">
        <f aca="false">SUMIF(MatchData[team],MatchData[[#this row],[team]],MatchData[rock wall teleop crossings])+SUMIF(MatchData[team],MatchData[[#this row],[team]],MatchData[rock wall scored crossings])</f>
        <v>#VALUE!</v>
      </c>
      <c r="CP227" s="16" t="e">
        <f aca="false">SUMIF(MatchData[team],MatchData[[#this row],[team]],MatchData[rough terrain teleop crossings])+SUMIF(MatchData[team],MatchData[[#this row],[team]],MatchData[rough terrain scored crossings])</f>
        <v>#VALUE!</v>
      </c>
      <c r="CQ227" s="16" t="e">
        <f aca="false">SUMIF(MatchData[team],MatchData[[#this row],[team]],MatchData[low bar teleop crossings])+SUMIF(MatchData[team],MatchData[[#this row],[team]],MatchData[low bar scored crossings])</f>
        <v>#VALUE!</v>
      </c>
      <c r="CR227" s="16" t="e">
        <f aca="false">IFERROR(ROUND(MatchData[[#this row],[portcullis sum]]/MatchData[[#this row],[portcullis avail count]],2),0)</f>
        <v>#VALUE!</v>
      </c>
      <c r="CS227" s="16" t="e">
        <f aca="false">IFERROR(ROUND(MatchData[[#this row],[cheval sum]]/MatchData[[#this row],[cheval avail count]],2),0)</f>
        <v>#VALUE!</v>
      </c>
      <c r="CT227" s="16" t="e">
        <f aca="false">IFERROR(ROUND(MatchData[[#this row],[moat sum]]/MatchData[[#this row],[moat avail count]],2),0)</f>
        <v>#VALUE!</v>
      </c>
      <c r="CU227" s="16" t="e">
        <f aca="false">IFERROR(ROUND(MatchData[[#this row],[ramparts sum]]/MatchData[[#this row],[ramparts avail count]],2),0)</f>
        <v>#VALUE!</v>
      </c>
      <c r="CV227" s="16" t="e">
        <f aca="false">IFERROR(ROUND(MatchData[[#this row],[drawbridge sum]]/MatchData[[#this row],[drawbridge avail countigh6]],2),0)</f>
        <v>#VALUE!</v>
      </c>
      <c r="CW227" s="16" t="e">
        <f aca="false">IFERROR(ROUND(MatchData[[#this row],[sally port sum]]/MatchData[[#this row],[sally port avail count]],2),0)</f>
        <v>#VALUE!</v>
      </c>
      <c r="CX227" s="5" t="e">
        <f aca="false">IFERROR(ROUND(MatchData[[#this row],[rock wall sum]]/MatchData[[#this row],[rock wall avail count]],2),0)</f>
        <v>#VALUE!</v>
      </c>
      <c r="CY227" s="5" t="e">
        <f aca="false">IFERROR(ROUND(MatchData[[#this row],[rough terrain sum]]/MatchData[[#this row],[rough terrain avail count]],2),0)</f>
        <v>#VALUE!</v>
      </c>
      <c r="CZ227" s="5" t="e">
        <f aca="false">IFERROR(ROUND(MatchData[[#this row],[low bar sum]]/MatchData[[#this row],[low bar avail count]],2),0)</f>
        <v>#VALUE!</v>
      </c>
      <c r="DA227" s="16" t="e">
        <f aca="false">SUM(MatchData[[#this row],[cheval sum]:[low bar sum]])/MatchData[match count]</f>
        <v>#VALUE!</v>
      </c>
      <c r="DB227" s="16" t="n">
        <f aca="false">MAX(IF(C$2:C$74=C227,BP$2:BP$74))</f>
        <v>-1.79769313486232E+308</v>
      </c>
      <c r="DC227" s="16" t="e">
        <f aca="false">AVERAGEIF(MatchData[team],MatchData[[#this row],[team]],MatchData[total score])</f>
        <v>#VALUE!</v>
      </c>
      <c r="DD227" s="16" t="e">
        <f aca="false">ROUND(AVERAGEIF(MatchData[team],MatchData[team],MatchData[climb or challenge flag]),2)</f>
        <v>#VALUE!</v>
      </c>
    </row>
    <row r="228" customFormat="false" ht="14.5" hidden="false" customHeight="false" outlineLevel="0" collapsed="false">
      <c r="A228" s="20" t="s">
        <v>108</v>
      </c>
      <c r="B228" s="21" t="n">
        <v>38</v>
      </c>
      <c r="C228" s="15" t="n">
        <v>2811</v>
      </c>
      <c r="D228" s="5" t="s">
        <v>113</v>
      </c>
      <c r="E228" s="5" t="s">
        <v>147</v>
      </c>
      <c r="G228" s="16"/>
      <c r="I228" s="16"/>
      <c r="J228" s="5" t="n">
        <v>1</v>
      </c>
      <c r="K228" s="16"/>
      <c r="L228" s="5" t="n">
        <v>1</v>
      </c>
      <c r="M228" s="5" t="n">
        <v>1</v>
      </c>
      <c r="N228" s="0"/>
      <c r="O228" s="0"/>
      <c r="P228" s="5" t="n">
        <v>1</v>
      </c>
      <c r="Q228" s="5" t="n">
        <v>1</v>
      </c>
      <c r="R228" s="0"/>
      <c r="S228" s="16"/>
      <c r="T228" s="0"/>
      <c r="U228" s="16"/>
      <c r="V228" s="16"/>
      <c r="W228" s="0"/>
      <c r="AB228" s="5" t="n">
        <v>1</v>
      </c>
      <c r="AC228" s="5" t="n">
        <v>1</v>
      </c>
      <c r="AD228" s="16" t="n">
        <v>1</v>
      </c>
      <c r="AE228" s="5"/>
      <c r="AF228" s="16"/>
      <c r="AG228" s="16"/>
      <c r="AH228" s="16"/>
      <c r="AJ228" s="16" t="n">
        <v>1</v>
      </c>
      <c r="AL228" s="16"/>
      <c r="AN228" s="16"/>
      <c r="AP228" s="16"/>
      <c r="AR228" s="16"/>
      <c r="AT228" s="16"/>
      <c r="AU228" s="16"/>
      <c r="AV228" s="16"/>
      <c r="AW228" s="16" t="n">
        <v>1</v>
      </c>
      <c r="AX228" s="16"/>
      <c r="AY228" s="16"/>
      <c r="AZ228" s="16"/>
      <c r="BB228" s="16"/>
      <c r="BC228" s="16" t="e">
        <f aca="false">MatchData[cheval scored crossings]*5</f>
        <v>#VALUE!</v>
      </c>
      <c r="BD228" s="16" t="e">
        <f aca="false">MatchData[moat scored crosings]*5</f>
        <v>#VALUE!</v>
      </c>
      <c r="BE228" s="16" t="e">
        <f aca="false">MatchData[ramparts scored crossings]*5</f>
        <v>#VALUE!</v>
      </c>
      <c r="BF228" s="16" t="e">
        <f aca="false">MatchData[drawbridge scored crossings]*5</f>
        <v>#VALUE!</v>
      </c>
      <c r="BG228" s="16" t="e">
        <f aca="false">MatchData[sally port scored crossings]*5</f>
        <v>#VALUE!</v>
      </c>
      <c r="BH228" s="16" t="e">
        <f aca="false">MatchData[rock wall scored crossings]*5</f>
        <v>#VALUE!</v>
      </c>
      <c r="BI228" s="16" t="e">
        <f aca="false">MatchData[rough terrain scored crossings]*5</f>
        <v>#VALUE!</v>
      </c>
      <c r="BJ228" s="16" t="e">
        <f aca="false">MatchData[low bar scored crossings]*5</f>
        <v>#VALUE!</v>
      </c>
      <c r="BK228" s="16" t="e">
        <f aca="false">SUM(MatchData[[#this row],[low bar teleop crossings]:[rough terrain scored crossings]])</f>
        <v>#VALUE!</v>
      </c>
      <c r="BL228" s="16" t="e">
        <f aca="false">IFERROR(IF(OR(MatchData[[#this row],[challenge flag]],MatchData[[#this row],[climb flag]]),1,0),0)</f>
        <v>#VALUE!</v>
      </c>
      <c r="BM228" s="16" t="e">
        <f aca="false">MatchData[auto high goals]*10+MatchData[teleop high goals]*5</f>
        <v>#VALUE!</v>
      </c>
      <c r="BN228" s="16" t="e">
        <f aca="false">MatchData[auto low goals]*5+MatchData[teleop low goals]*2</f>
        <v>#VALUE!</v>
      </c>
      <c r="BO228" s="16" t="e">
        <f aca="false">MatchData[high goal score]+MatchData[low goal score]</f>
        <v>#VALUE!</v>
      </c>
      <c r="BP228" s="16" t="e">
        <f aca="false">MatchData[teleop high goals]+MatchData[teleop low goals]</f>
        <v>#VALUE!</v>
      </c>
      <c r="BQ228" s="16" t="e">
        <f aca="false">MatchData[[#this row],[auto reach flag]]*2+SUM(MatchData[[#this row],[portcullis auto crossings]:[low bar auto crossings]])*10+MatchData[[#this row],[auto low goals]]*5+MatchData[auto high goals]*10</f>
        <v>#VALUE!</v>
      </c>
      <c r="BR228" s="16" t="e">
        <f aca="false">SUM(MatchData[[#this row],[cheval teleop crossing score]:[low bar teleop crossing score]])</f>
        <v>#VALUE!</v>
      </c>
      <c r="BS228" s="16" t="e">
        <f aca="false">SUMIF(MatchData[team],MatchData[[#this row],[team]],MatchData[total auto score])/MatchData[match count]</f>
        <v>#VALUE!</v>
      </c>
      <c r="BT228" s="16" t="e">
        <f aca="false">MatchData[challenge flag]*5</f>
        <v>#VALUE!</v>
      </c>
      <c r="BU228" s="16" t="e">
        <f aca="false">MatchData[climb flag]*15</f>
        <v>#VALUE!</v>
      </c>
      <c r="BV228" s="16" t="e">
        <f aca="false">SUM(MatchData[[#this row],[total goal score]],MatchData[[#this row],[crossing score]],MatchData[[#this row],[challenge score]],MatchData[[#this row],[climb score]],MatchData[[#this row],[total auto score]])</f>
        <v>#VALUE!</v>
      </c>
      <c r="BW228" s="16" t="e">
        <f aca="false">ROUND(SUMIF(MatchData[team],MatchData[[#this row],[team]],MatchData[teleop low goals])/COUNTIF(MatchData[team],MatchData[[#this row],[team]]),2)</f>
        <v>#VALUE!</v>
      </c>
      <c r="BX228" s="16" t="e">
        <f aca="false">ROUND(SUMIF(MatchData[team],MatchData[[#this row],[team]],MatchData[teleop high goals])/COUNTIF(MatchData[team],MatchData[[#this row],[team]]),2)</f>
        <v>#VALUE!</v>
      </c>
      <c r="BY228" s="16" t="e">
        <f aca="false">COUNTIF(MatchData[team],MatchData[[#this row],[team]])</f>
        <v>#VALUE!</v>
      </c>
      <c r="BZ228" s="16" t="e">
        <f aca="false">SUMIF(MatchData[team],MatchData[[#this row],[team]],MatchData[portcullis available])</f>
        <v>#VALUE!</v>
      </c>
      <c r="CA228" s="16" t="e">
        <f aca="false">SUMIF(MatchData[team],MatchData[[#this row],[team]],MatchData[cheval available])</f>
        <v>#VALUE!</v>
      </c>
      <c r="CB228" s="16" t="e">
        <f aca="false">SUMIF(MatchData[team],MatchData[[#this row],[team]],MatchData[moat available])</f>
        <v>#VALUE!</v>
      </c>
      <c r="CC228" s="16" t="e">
        <f aca="false">SUMIF(MatchData[team],MatchData[[#this row],[team]],MatchData[ramparts available])</f>
        <v>#VALUE!</v>
      </c>
      <c r="CD228" s="16" t="e">
        <f aca="false">SUMIF(MatchData[team],MatchData[[#this row],[team]],MatchData[drawbridge available])</f>
        <v>#VALUE!</v>
      </c>
      <c r="CE228" s="16" t="e">
        <f aca="false">SUMIF(MatchData[team],MatchData[[#this row],[team]],MatchData[sally port available])</f>
        <v>#VALUE!</v>
      </c>
      <c r="CF228" s="16" t="e">
        <f aca="false">SUMIF(MatchData[team],MatchData[[#this row],[team]],MatchData[rock wall available])</f>
        <v>#VALUE!</v>
      </c>
      <c r="CG228" s="16" t="e">
        <f aca="false">SUMIF(MatchData[team],MatchData[[#this row],[team]],MatchData[rough terrain available])</f>
        <v>#VALUE!</v>
      </c>
      <c r="CH228" s="16" t="e">
        <f aca="false">SUMIF(MatchData[team],MatchData[[#this row],[team]],MatchData[low bar available])</f>
        <v>#VALUE!</v>
      </c>
      <c r="CI228" s="16" t="e">
        <f aca="false">SUMIF(MatchData[team],MatchData[[#this row],[team]],MatchData[portcullis teleop crossings]:MatchData[portcullis scored crossings])</f>
        <v>#VALUE!</v>
      </c>
      <c r="CJ228" s="16" t="e">
        <f aca="false">SUMIF(MatchData[team],MatchData[[#this row],[team]],MatchData[cheval teleop crossings])+SUMIF(MatchData[team],MatchData[[#this row],[team]],MatchData[cheval scored crossings])</f>
        <v>#VALUE!</v>
      </c>
      <c r="CK228" s="16" t="e">
        <f aca="false">SUMIF(MatchData[team],MatchData[[#this row],[team]],MatchData[moat teleop crossings])+SUMIF(MatchData[team],MatchData[[#this row],[team]],MatchData[moat scored crosings])</f>
        <v>#VALUE!</v>
      </c>
      <c r="CL228" s="16" t="e">
        <f aca="false">SUMIF(MatchData[team],MatchData[[#this row],[team]],MatchData[ramparts teleop crossings])+SUMIF(MatchData[team],MatchData[[#this row],[team]],MatchData[ramparts scored crossings])</f>
        <v>#VALUE!</v>
      </c>
      <c r="CM228" s="16" t="e">
        <f aca="false">SUMIF(MatchData[team],MatchData[[#this row],[team]],MatchData[drawbridge teleop crossings])+SUMIF(MatchData[team],MatchData[[#this row],[team]],MatchData[drawbridge scored crossings])</f>
        <v>#VALUE!</v>
      </c>
      <c r="CN228" s="16" t="e">
        <f aca="false">SUMIF(MatchData[team],MatchData[[#this row],[team]],MatchData[sally port teleop crossings])+SUMIF(MatchData[team],MatchData[[#this row],[team]],MatchData[sally port scored crossings])</f>
        <v>#VALUE!</v>
      </c>
      <c r="CO228" s="16" t="e">
        <f aca="false">SUMIF(MatchData[team],MatchData[[#this row],[team]],MatchData[rock wall teleop crossings])+SUMIF(MatchData[team],MatchData[[#this row],[team]],MatchData[rock wall scored crossings])</f>
        <v>#VALUE!</v>
      </c>
      <c r="CP228" s="16" t="e">
        <f aca="false">SUMIF(MatchData[team],MatchData[[#this row],[team]],MatchData[rough terrain teleop crossings])+SUMIF(MatchData[team],MatchData[[#this row],[team]],MatchData[rough terrain scored crossings])</f>
        <v>#VALUE!</v>
      </c>
      <c r="CQ228" s="16" t="e">
        <f aca="false">SUMIF(MatchData[team],MatchData[[#this row],[team]],MatchData[low bar teleop crossings])+SUMIF(MatchData[team],MatchData[[#this row],[team]],MatchData[low bar scored crossings])</f>
        <v>#VALUE!</v>
      </c>
      <c r="CR228" s="16" t="e">
        <f aca="false">IFERROR(ROUND(MatchData[[#this row],[portcullis sum]]/MatchData[[#this row],[portcullis avail count]],2),0)</f>
        <v>#VALUE!</v>
      </c>
      <c r="CS228" s="16" t="e">
        <f aca="false">IFERROR(ROUND(MatchData[[#this row],[cheval sum]]/MatchData[[#this row],[cheval avail count]],2),0)</f>
        <v>#VALUE!</v>
      </c>
      <c r="CT228" s="16" t="e">
        <f aca="false">IFERROR(ROUND(MatchData[[#this row],[moat sum]]/MatchData[[#this row],[moat avail count]],2),0)</f>
        <v>#VALUE!</v>
      </c>
      <c r="CU228" s="16" t="e">
        <f aca="false">IFERROR(ROUND(MatchData[[#this row],[ramparts sum]]/MatchData[[#this row],[ramparts avail count]],2),0)</f>
        <v>#VALUE!</v>
      </c>
      <c r="CV228" s="16" t="e">
        <f aca="false">IFERROR(ROUND(MatchData[[#this row],[drawbridge sum]]/MatchData[[#this row],[drawbridge avail countigh6]],2),0)</f>
        <v>#VALUE!</v>
      </c>
      <c r="CW228" s="16" t="e">
        <f aca="false">IFERROR(ROUND(MatchData[[#this row],[sally port sum]]/MatchData[[#this row],[sally port avail count]],2),0)</f>
        <v>#VALUE!</v>
      </c>
      <c r="CX228" s="5" t="e">
        <f aca="false">IFERROR(ROUND(MatchData[[#this row],[rock wall sum]]/MatchData[[#this row],[rock wall avail count]],2),0)</f>
        <v>#VALUE!</v>
      </c>
      <c r="CY228" s="5" t="e">
        <f aca="false">IFERROR(ROUND(MatchData[[#this row],[rough terrain sum]]/MatchData[[#this row],[rough terrain avail count]],2),0)</f>
        <v>#VALUE!</v>
      </c>
      <c r="CZ228" s="5" t="e">
        <f aca="false">IFERROR(ROUND(MatchData[[#this row],[low bar sum]]/MatchData[[#this row],[low bar avail count]],2),0)</f>
        <v>#VALUE!</v>
      </c>
      <c r="DA228" s="16" t="e">
        <f aca="false">SUM(MatchData[[#this row],[cheval sum]:[low bar sum]])/MatchData[match count]</f>
        <v>#VALUE!</v>
      </c>
      <c r="DB228" s="16" t="n">
        <f aca="false">MAX(IF(C$2:C$74=C228,BP$2:BP$74))</f>
        <v>-1.79769313486232E+308</v>
      </c>
      <c r="DC228" s="16" t="e">
        <f aca="false">AVERAGEIF(MatchData[team],MatchData[[#this row],[team]],MatchData[total score])</f>
        <v>#VALUE!</v>
      </c>
      <c r="DD228" s="16" t="e">
        <f aca="false">ROUND(AVERAGEIF(MatchData[team],MatchData[team],MatchData[climb or challenge flag]),2)</f>
        <v>#VALUE!</v>
      </c>
    </row>
    <row r="229" customFormat="false" ht="14.5" hidden="false" customHeight="false" outlineLevel="0" collapsed="false">
      <c r="A229" s="20" t="s">
        <v>108</v>
      </c>
      <c r="B229" s="22" t="n">
        <v>38</v>
      </c>
      <c r="C229" s="15" t="n">
        <v>3673</v>
      </c>
      <c r="D229" s="5" t="s">
        <v>113</v>
      </c>
      <c r="E229" s="5" t="s">
        <v>110</v>
      </c>
      <c r="G229" s="16" t="n">
        <v>1</v>
      </c>
      <c r="I229" s="16"/>
      <c r="J229" s="5" t="n">
        <v>1</v>
      </c>
      <c r="K229" s="16"/>
      <c r="L229" s="5" t="n">
        <v>1</v>
      </c>
      <c r="M229" s="5" t="n">
        <v>1</v>
      </c>
      <c r="N229" s="0"/>
      <c r="O229" s="0"/>
      <c r="P229" s="5" t="n">
        <v>1</v>
      </c>
      <c r="Q229" s="5" t="n">
        <v>1</v>
      </c>
      <c r="R229" s="0"/>
      <c r="S229" s="16" t="n">
        <v>1</v>
      </c>
      <c r="T229" s="0"/>
      <c r="U229" s="16"/>
      <c r="V229" s="16"/>
      <c r="W229" s="0"/>
      <c r="AD229" s="16"/>
      <c r="AE229" s="5"/>
      <c r="AF229" s="16"/>
      <c r="AG229" s="16"/>
      <c r="AH229" s="16"/>
      <c r="AJ229" s="16"/>
      <c r="AL229" s="16"/>
      <c r="AN229" s="16"/>
      <c r="AP229" s="16"/>
      <c r="AR229" s="16" t="n">
        <v>1</v>
      </c>
      <c r="AT229" s="16"/>
      <c r="AU229" s="16"/>
      <c r="AV229" s="16"/>
      <c r="AW229" s="16" t="n">
        <v>1</v>
      </c>
      <c r="AX229" s="16"/>
      <c r="AY229" s="16"/>
      <c r="AZ229" s="16"/>
      <c r="BB229" s="16"/>
      <c r="BC229" s="16" t="e">
        <f aca="false">MatchData[cheval scored crossings]*5</f>
        <v>#VALUE!</v>
      </c>
      <c r="BD229" s="16" t="e">
        <f aca="false">MatchData[moat scored crosings]*5</f>
        <v>#VALUE!</v>
      </c>
      <c r="BE229" s="16" t="e">
        <f aca="false">MatchData[ramparts scored crossings]*5</f>
        <v>#VALUE!</v>
      </c>
      <c r="BF229" s="16" t="e">
        <f aca="false">MatchData[drawbridge scored crossings]*5</f>
        <v>#VALUE!</v>
      </c>
      <c r="BG229" s="16" t="e">
        <f aca="false">MatchData[sally port scored crossings]*5</f>
        <v>#VALUE!</v>
      </c>
      <c r="BH229" s="16" t="e">
        <f aca="false">MatchData[rock wall scored crossings]*5</f>
        <v>#VALUE!</v>
      </c>
      <c r="BI229" s="16" t="e">
        <f aca="false">MatchData[rough terrain scored crossings]*5</f>
        <v>#VALUE!</v>
      </c>
      <c r="BJ229" s="16" t="e">
        <f aca="false">MatchData[low bar scored crossings]*5</f>
        <v>#VALUE!</v>
      </c>
      <c r="BK229" s="16" t="e">
        <f aca="false">SUM(MatchData[[#this row],[low bar teleop crossings]:[rough terrain scored crossings]])</f>
        <v>#VALUE!</v>
      </c>
      <c r="BL229" s="16" t="e">
        <f aca="false">IFERROR(IF(OR(MatchData[[#this row],[challenge flag]],MatchData[[#this row],[climb flag]]),1,0),0)</f>
        <v>#VALUE!</v>
      </c>
      <c r="BM229" s="16" t="e">
        <f aca="false">MatchData[auto high goals]*10+MatchData[teleop high goals]*5</f>
        <v>#VALUE!</v>
      </c>
      <c r="BN229" s="16" t="e">
        <f aca="false">MatchData[auto low goals]*5+MatchData[teleop low goals]*2</f>
        <v>#VALUE!</v>
      </c>
      <c r="BO229" s="16" t="e">
        <f aca="false">MatchData[high goal score]+MatchData[low goal score]</f>
        <v>#VALUE!</v>
      </c>
      <c r="BP229" s="16" t="e">
        <f aca="false">MatchData[teleop high goals]+MatchData[teleop low goals]</f>
        <v>#VALUE!</v>
      </c>
      <c r="BQ229" s="16" t="e">
        <f aca="false">MatchData[[#this row],[auto reach flag]]*2+SUM(MatchData[[#this row],[portcullis auto crossings]:[low bar auto crossings]])*10+MatchData[[#this row],[auto low goals]]*5+MatchData[auto high goals]*10</f>
        <v>#VALUE!</v>
      </c>
      <c r="BR229" s="16" t="e">
        <f aca="false">SUM(MatchData[[#this row],[cheval teleop crossing score]:[low bar teleop crossing score]])</f>
        <v>#VALUE!</v>
      </c>
      <c r="BS229" s="16" t="e">
        <f aca="false">SUMIF(MatchData[team],MatchData[[#this row],[team]],MatchData[total auto score])/MatchData[match count]</f>
        <v>#VALUE!</v>
      </c>
      <c r="BT229" s="16" t="e">
        <f aca="false">MatchData[challenge flag]*5</f>
        <v>#VALUE!</v>
      </c>
      <c r="BU229" s="16" t="e">
        <f aca="false">MatchData[climb flag]*15</f>
        <v>#VALUE!</v>
      </c>
      <c r="BV229" s="16" t="e">
        <f aca="false">SUM(MatchData[[#this row],[total goal score]],MatchData[[#this row],[crossing score]],MatchData[[#this row],[challenge score]],MatchData[[#this row],[climb score]],MatchData[[#this row],[total auto score]])</f>
        <v>#VALUE!</v>
      </c>
      <c r="BW229" s="16" t="e">
        <f aca="false">ROUND(SUMIF(MatchData[team],MatchData[[#this row],[team]],MatchData[teleop low goals])/COUNTIF(MatchData[team],MatchData[[#this row],[team]]),2)</f>
        <v>#VALUE!</v>
      </c>
      <c r="BX229" s="16" t="e">
        <f aca="false">ROUND(SUMIF(MatchData[team],MatchData[[#this row],[team]],MatchData[teleop high goals])/COUNTIF(MatchData[team],MatchData[[#this row],[team]]),2)</f>
        <v>#VALUE!</v>
      </c>
      <c r="BY229" s="16" t="e">
        <f aca="false">COUNTIF(MatchData[team],MatchData[[#this row],[team]])</f>
        <v>#VALUE!</v>
      </c>
      <c r="BZ229" s="16" t="e">
        <f aca="false">SUMIF(MatchData[team],MatchData[[#this row],[team]],MatchData[portcullis available])</f>
        <v>#VALUE!</v>
      </c>
      <c r="CA229" s="16" t="e">
        <f aca="false">SUMIF(MatchData[team],MatchData[[#this row],[team]],MatchData[cheval available])</f>
        <v>#VALUE!</v>
      </c>
      <c r="CB229" s="16" t="e">
        <f aca="false">SUMIF(MatchData[team],MatchData[[#this row],[team]],MatchData[moat available])</f>
        <v>#VALUE!</v>
      </c>
      <c r="CC229" s="16" t="e">
        <f aca="false">SUMIF(MatchData[team],MatchData[[#this row],[team]],MatchData[ramparts available])</f>
        <v>#VALUE!</v>
      </c>
      <c r="CD229" s="16" t="e">
        <f aca="false">SUMIF(MatchData[team],MatchData[[#this row],[team]],MatchData[drawbridge available])</f>
        <v>#VALUE!</v>
      </c>
      <c r="CE229" s="16" t="e">
        <f aca="false">SUMIF(MatchData[team],MatchData[[#this row],[team]],MatchData[sally port available])</f>
        <v>#VALUE!</v>
      </c>
      <c r="CF229" s="16" t="e">
        <f aca="false">SUMIF(MatchData[team],MatchData[[#this row],[team]],MatchData[rock wall available])</f>
        <v>#VALUE!</v>
      </c>
      <c r="CG229" s="16" t="e">
        <f aca="false">SUMIF(MatchData[team],MatchData[[#this row],[team]],MatchData[rough terrain available])</f>
        <v>#VALUE!</v>
      </c>
      <c r="CH229" s="16" t="e">
        <f aca="false">SUMIF(MatchData[team],MatchData[[#this row],[team]],MatchData[low bar available])</f>
        <v>#VALUE!</v>
      </c>
      <c r="CI229" s="16" t="e">
        <f aca="false">SUMIF(MatchData[team],MatchData[[#this row],[team]],MatchData[portcullis teleop crossings]:MatchData[portcullis scored crossings])</f>
        <v>#VALUE!</v>
      </c>
      <c r="CJ229" s="16" t="e">
        <f aca="false">SUMIF(MatchData[team],MatchData[[#this row],[team]],MatchData[cheval teleop crossings])+SUMIF(MatchData[team],MatchData[[#this row],[team]],MatchData[cheval scored crossings])</f>
        <v>#VALUE!</v>
      </c>
      <c r="CK229" s="16" t="e">
        <f aca="false">SUMIF(MatchData[team],MatchData[[#this row],[team]],MatchData[moat teleop crossings])+SUMIF(MatchData[team],MatchData[[#this row],[team]],MatchData[moat scored crosings])</f>
        <v>#VALUE!</v>
      </c>
      <c r="CL229" s="16" t="e">
        <f aca="false">SUMIF(MatchData[team],MatchData[[#this row],[team]],MatchData[ramparts teleop crossings])+SUMIF(MatchData[team],MatchData[[#this row],[team]],MatchData[ramparts scored crossings])</f>
        <v>#VALUE!</v>
      </c>
      <c r="CM229" s="16" t="e">
        <f aca="false">SUMIF(MatchData[team],MatchData[[#this row],[team]],MatchData[drawbridge teleop crossings])+SUMIF(MatchData[team],MatchData[[#this row],[team]],MatchData[drawbridge scored crossings])</f>
        <v>#VALUE!</v>
      </c>
      <c r="CN229" s="16" t="e">
        <f aca="false">SUMIF(MatchData[team],MatchData[[#this row],[team]],MatchData[sally port teleop crossings])+SUMIF(MatchData[team],MatchData[[#this row],[team]],MatchData[sally port scored crossings])</f>
        <v>#VALUE!</v>
      </c>
      <c r="CO229" s="16" t="e">
        <f aca="false">SUMIF(MatchData[team],MatchData[[#this row],[team]],MatchData[rock wall teleop crossings])+SUMIF(MatchData[team],MatchData[[#this row],[team]],MatchData[rock wall scored crossings])</f>
        <v>#VALUE!</v>
      </c>
      <c r="CP229" s="16" t="e">
        <f aca="false">SUMIF(MatchData[team],MatchData[[#this row],[team]],MatchData[rough terrain teleop crossings])+SUMIF(MatchData[team],MatchData[[#this row],[team]],MatchData[rough terrain scored crossings])</f>
        <v>#VALUE!</v>
      </c>
      <c r="CQ229" s="16" t="e">
        <f aca="false">SUMIF(MatchData[team],MatchData[[#this row],[team]],MatchData[low bar teleop crossings])+SUMIF(MatchData[team],MatchData[[#this row],[team]],MatchData[low bar scored crossings])</f>
        <v>#VALUE!</v>
      </c>
      <c r="CR229" s="16" t="e">
        <f aca="false">IFERROR(ROUND(MatchData[[#this row],[portcullis sum]]/MatchData[[#this row],[portcullis avail count]],2),0)</f>
        <v>#VALUE!</v>
      </c>
      <c r="CS229" s="16" t="e">
        <f aca="false">IFERROR(ROUND(MatchData[[#this row],[cheval sum]]/MatchData[[#this row],[cheval avail count]],2),0)</f>
        <v>#VALUE!</v>
      </c>
      <c r="CT229" s="16" t="e">
        <f aca="false">IFERROR(ROUND(MatchData[[#this row],[moat sum]]/MatchData[[#this row],[moat avail count]],2),0)</f>
        <v>#VALUE!</v>
      </c>
      <c r="CU229" s="16" t="e">
        <f aca="false">IFERROR(ROUND(MatchData[[#this row],[ramparts sum]]/MatchData[[#this row],[ramparts avail count]],2),0)</f>
        <v>#VALUE!</v>
      </c>
      <c r="CV229" s="16" t="e">
        <f aca="false">IFERROR(ROUND(MatchData[[#this row],[drawbridge sum]]/MatchData[[#this row],[drawbridge avail countigh6]],2),0)</f>
        <v>#VALUE!</v>
      </c>
      <c r="CW229" s="16" t="e">
        <f aca="false">IFERROR(ROUND(MatchData[[#this row],[sally port sum]]/MatchData[[#this row],[sally port avail count]],2),0)</f>
        <v>#VALUE!</v>
      </c>
      <c r="CX229" s="5" t="e">
        <f aca="false">IFERROR(ROUND(MatchData[[#this row],[rock wall sum]]/MatchData[[#this row],[rock wall avail count]],2),0)</f>
        <v>#VALUE!</v>
      </c>
      <c r="CY229" s="5" t="e">
        <f aca="false">IFERROR(ROUND(MatchData[[#this row],[rough terrain sum]]/MatchData[[#this row],[rough terrain avail count]],2),0)</f>
        <v>#VALUE!</v>
      </c>
      <c r="CZ229" s="5" t="e">
        <f aca="false">IFERROR(ROUND(MatchData[[#this row],[low bar sum]]/MatchData[[#this row],[low bar avail count]],2),0)</f>
        <v>#VALUE!</v>
      </c>
      <c r="DA229" s="16" t="e">
        <f aca="false">SUM(MatchData[[#this row],[cheval sum]:[low bar sum]])/MatchData[match count]</f>
        <v>#VALUE!</v>
      </c>
      <c r="DB229" s="16" t="n">
        <f aca="false">MAX(IF(C$2:C$74=C229,BP$2:BP$74))</f>
        <v>-1.79769313486232E+308</v>
      </c>
      <c r="DC229" s="16" t="e">
        <f aca="false">AVERAGEIF(MatchData[team],MatchData[[#this row],[team]],MatchData[total score])</f>
        <v>#VALUE!</v>
      </c>
      <c r="DD229" s="16" t="e">
        <f aca="false">ROUND(AVERAGEIF(MatchData[team],MatchData[team],MatchData[climb or challenge flag]),2)</f>
        <v>#VALUE!</v>
      </c>
    </row>
    <row r="230" customFormat="false" ht="14.5" hidden="false" customHeight="false" outlineLevel="0" collapsed="false">
      <c r="A230" s="20" t="s">
        <v>108</v>
      </c>
      <c r="B230" s="22" t="n">
        <v>39</v>
      </c>
      <c r="C230" s="15" t="n">
        <v>4043</v>
      </c>
      <c r="D230" s="5" t="s">
        <v>109</v>
      </c>
      <c r="E230" s="5" t="s">
        <v>120</v>
      </c>
      <c r="G230" s="16"/>
      <c r="I230" s="16" t="n">
        <v>2</v>
      </c>
      <c r="J230" s="5" t="n">
        <v>1</v>
      </c>
      <c r="K230" s="16" t="n">
        <v>1</v>
      </c>
      <c r="M230" s="5" t="n">
        <v>1</v>
      </c>
      <c r="N230" s="0"/>
      <c r="O230" s="0"/>
      <c r="P230" s="5" t="n">
        <v>1</v>
      </c>
      <c r="Q230" s="0"/>
      <c r="R230" s="5" t="n">
        <v>1</v>
      </c>
      <c r="S230" s="16"/>
      <c r="T230" s="0"/>
      <c r="U230" s="16"/>
      <c r="V230" s="16"/>
      <c r="W230" s="0"/>
      <c r="AB230" s="5" t="n">
        <v>1</v>
      </c>
      <c r="AD230" s="16" t="n">
        <v>1</v>
      </c>
      <c r="AE230" s="5"/>
      <c r="AF230" s="16"/>
      <c r="AG230" s="16"/>
      <c r="AH230" s="16"/>
      <c r="AJ230" s="16"/>
      <c r="AL230" s="16"/>
      <c r="AN230" s="16"/>
      <c r="AP230" s="16"/>
      <c r="AR230" s="16"/>
      <c r="AS230" s="5" t="n">
        <v>1</v>
      </c>
      <c r="AT230" s="16" t="n">
        <v>1</v>
      </c>
      <c r="AU230" s="16"/>
      <c r="AV230" s="16"/>
      <c r="AW230" s="16" t="n">
        <v>1</v>
      </c>
      <c r="AX230" s="16"/>
      <c r="AY230" s="16"/>
      <c r="AZ230" s="16"/>
      <c r="BB230" s="16" t="n">
        <v>1</v>
      </c>
      <c r="BC230" s="16" t="e">
        <f aca="false">MatchData[cheval scored crossings]*5</f>
        <v>#VALUE!</v>
      </c>
      <c r="BD230" s="16" t="e">
        <f aca="false">MatchData[moat scored crosings]*5</f>
        <v>#VALUE!</v>
      </c>
      <c r="BE230" s="16" t="e">
        <f aca="false">MatchData[ramparts scored crossings]*5</f>
        <v>#VALUE!</v>
      </c>
      <c r="BF230" s="16" t="e">
        <f aca="false">MatchData[drawbridge scored crossings]*5</f>
        <v>#VALUE!</v>
      </c>
      <c r="BG230" s="16" t="e">
        <f aca="false">MatchData[sally port scored crossings]*5</f>
        <v>#VALUE!</v>
      </c>
      <c r="BH230" s="16" t="e">
        <f aca="false">MatchData[rock wall scored crossings]*5</f>
        <v>#VALUE!</v>
      </c>
      <c r="BI230" s="16" t="e">
        <f aca="false">MatchData[rough terrain scored crossings]*5</f>
        <v>#VALUE!</v>
      </c>
      <c r="BJ230" s="16" t="e">
        <f aca="false">MatchData[low bar scored crossings]*5</f>
        <v>#VALUE!</v>
      </c>
      <c r="BK230" s="16" t="e">
        <f aca="false">SUM(MatchData[[#this row],[low bar teleop crossings]:[rough terrain scored crossings]])</f>
        <v>#VALUE!</v>
      </c>
      <c r="BL230" s="16" t="e">
        <f aca="false">IFERROR(IF(OR(MatchData[[#this row],[challenge flag]],MatchData[[#this row],[climb flag]]),1,0),0)</f>
        <v>#VALUE!</v>
      </c>
      <c r="BM230" s="16" t="e">
        <f aca="false">MatchData[auto high goals]*10+MatchData[teleop high goals]*5</f>
        <v>#VALUE!</v>
      </c>
      <c r="BN230" s="16" t="e">
        <f aca="false">MatchData[auto low goals]*5+MatchData[teleop low goals]*2</f>
        <v>#VALUE!</v>
      </c>
      <c r="BO230" s="16" t="e">
        <f aca="false">MatchData[high goal score]+MatchData[low goal score]</f>
        <v>#VALUE!</v>
      </c>
      <c r="BP230" s="16" t="e">
        <f aca="false">MatchData[teleop high goals]+MatchData[teleop low goals]</f>
        <v>#VALUE!</v>
      </c>
      <c r="BQ230" s="16" t="e">
        <f aca="false">MatchData[[#this row],[auto reach flag]]*2+SUM(MatchData[[#this row],[portcullis auto crossings]:[low bar auto crossings]])*10+MatchData[[#this row],[auto low goals]]*5+MatchData[auto high goals]*10</f>
        <v>#VALUE!</v>
      </c>
      <c r="BR230" s="16" t="e">
        <f aca="false">SUM(MatchData[[#this row],[cheval teleop crossing score]:[low bar teleop crossing score]])</f>
        <v>#VALUE!</v>
      </c>
      <c r="BS230" s="16" t="e">
        <f aca="false">SUMIF(MatchData[team],MatchData[[#this row],[team]],MatchData[total auto score])/MatchData[match count]</f>
        <v>#VALUE!</v>
      </c>
      <c r="BT230" s="16" t="e">
        <f aca="false">MatchData[challenge flag]*5</f>
        <v>#VALUE!</v>
      </c>
      <c r="BU230" s="16" t="e">
        <f aca="false">MatchData[climb flag]*15</f>
        <v>#VALUE!</v>
      </c>
      <c r="BV230" s="16" t="e">
        <f aca="false">SUM(MatchData[[#this row],[total goal score]],MatchData[[#this row],[crossing score]],MatchData[[#this row],[challenge score]],MatchData[[#this row],[climb score]],MatchData[[#this row],[total auto score]])</f>
        <v>#VALUE!</v>
      </c>
      <c r="BW230" s="16" t="e">
        <f aca="false">ROUND(SUMIF(MatchData[team],MatchData[[#this row],[team]],MatchData[teleop low goals])/COUNTIF(MatchData[team],MatchData[[#this row],[team]]),2)</f>
        <v>#VALUE!</v>
      </c>
      <c r="BX230" s="16" t="e">
        <f aca="false">ROUND(SUMIF(MatchData[team],MatchData[[#this row],[team]],MatchData[teleop high goals])/COUNTIF(MatchData[team],MatchData[[#this row],[team]]),2)</f>
        <v>#VALUE!</v>
      </c>
      <c r="BY230" s="16" t="e">
        <f aca="false">COUNTIF(MatchData[team],MatchData[[#this row],[team]])</f>
        <v>#VALUE!</v>
      </c>
      <c r="BZ230" s="16" t="e">
        <f aca="false">SUMIF(MatchData[team],MatchData[[#this row],[team]],MatchData[portcullis available])</f>
        <v>#VALUE!</v>
      </c>
      <c r="CA230" s="16" t="e">
        <f aca="false">SUMIF(MatchData[team],MatchData[[#this row],[team]],MatchData[cheval available])</f>
        <v>#VALUE!</v>
      </c>
      <c r="CB230" s="16" t="e">
        <f aca="false">SUMIF(MatchData[team],MatchData[[#this row],[team]],MatchData[moat available])</f>
        <v>#VALUE!</v>
      </c>
      <c r="CC230" s="16" t="e">
        <f aca="false">SUMIF(MatchData[team],MatchData[[#this row],[team]],MatchData[ramparts available])</f>
        <v>#VALUE!</v>
      </c>
      <c r="CD230" s="16" t="e">
        <f aca="false">SUMIF(MatchData[team],MatchData[[#this row],[team]],MatchData[drawbridge available])</f>
        <v>#VALUE!</v>
      </c>
      <c r="CE230" s="16" t="e">
        <f aca="false">SUMIF(MatchData[team],MatchData[[#this row],[team]],MatchData[sally port available])</f>
        <v>#VALUE!</v>
      </c>
      <c r="CF230" s="16" t="e">
        <f aca="false">SUMIF(MatchData[team],MatchData[[#this row],[team]],MatchData[rock wall available])</f>
        <v>#VALUE!</v>
      </c>
      <c r="CG230" s="16" t="e">
        <f aca="false">SUMIF(MatchData[team],MatchData[[#this row],[team]],MatchData[rough terrain available])</f>
        <v>#VALUE!</v>
      </c>
      <c r="CH230" s="16" t="e">
        <f aca="false">SUMIF(MatchData[team],MatchData[[#this row],[team]],MatchData[low bar available])</f>
        <v>#VALUE!</v>
      </c>
      <c r="CI230" s="16" t="e">
        <f aca="false">SUMIF(MatchData[team],MatchData[[#this row],[team]],MatchData[portcullis teleop crossings]:MatchData[portcullis scored crossings])</f>
        <v>#VALUE!</v>
      </c>
      <c r="CJ230" s="16" t="e">
        <f aca="false">SUMIF(MatchData[team],MatchData[[#this row],[team]],MatchData[cheval teleop crossings])+SUMIF(MatchData[team],MatchData[[#this row],[team]],MatchData[cheval scored crossings])</f>
        <v>#VALUE!</v>
      </c>
      <c r="CK230" s="16" t="e">
        <f aca="false">SUMIF(MatchData[team],MatchData[[#this row],[team]],MatchData[moat teleop crossings])+SUMIF(MatchData[team],MatchData[[#this row],[team]],MatchData[moat scored crosings])</f>
        <v>#VALUE!</v>
      </c>
      <c r="CL230" s="16" t="e">
        <f aca="false">SUMIF(MatchData[team],MatchData[[#this row],[team]],MatchData[ramparts teleop crossings])+SUMIF(MatchData[team],MatchData[[#this row],[team]],MatchData[ramparts scored crossings])</f>
        <v>#VALUE!</v>
      </c>
      <c r="CM230" s="16" t="e">
        <f aca="false">SUMIF(MatchData[team],MatchData[[#this row],[team]],MatchData[drawbridge teleop crossings])+SUMIF(MatchData[team],MatchData[[#this row],[team]],MatchData[drawbridge scored crossings])</f>
        <v>#VALUE!</v>
      </c>
      <c r="CN230" s="16" t="e">
        <f aca="false">SUMIF(MatchData[team],MatchData[[#this row],[team]],MatchData[sally port teleop crossings])+SUMIF(MatchData[team],MatchData[[#this row],[team]],MatchData[sally port scored crossings])</f>
        <v>#VALUE!</v>
      </c>
      <c r="CO230" s="16" t="e">
        <f aca="false">SUMIF(MatchData[team],MatchData[[#this row],[team]],MatchData[rock wall teleop crossings])+SUMIF(MatchData[team],MatchData[[#this row],[team]],MatchData[rock wall scored crossings])</f>
        <v>#VALUE!</v>
      </c>
      <c r="CP230" s="16" t="e">
        <f aca="false">SUMIF(MatchData[team],MatchData[[#this row],[team]],MatchData[rough terrain teleop crossings])+SUMIF(MatchData[team],MatchData[[#this row],[team]],MatchData[rough terrain scored crossings])</f>
        <v>#VALUE!</v>
      </c>
      <c r="CQ230" s="16" t="e">
        <f aca="false">SUMIF(MatchData[team],MatchData[[#this row],[team]],MatchData[low bar teleop crossings])+SUMIF(MatchData[team],MatchData[[#this row],[team]],MatchData[low bar scored crossings])</f>
        <v>#VALUE!</v>
      </c>
      <c r="CR230" s="16" t="e">
        <f aca="false">IFERROR(ROUND(MatchData[[#this row],[portcullis sum]]/MatchData[[#this row],[portcullis avail count]],2),0)</f>
        <v>#VALUE!</v>
      </c>
      <c r="CS230" s="16" t="e">
        <f aca="false">IFERROR(ROUND(MatchData[[#this row],[cheval sum]]/MatchData[[#this row],[cheval avail count]],2),0)</f>
        <v>#VALUE!</v>
      </c>
      <c r="CT230" s="16" t="e">
        <f aca="false">IFERROR(ROUND(MatchData[[#this row],[moat sum]]/MatchData[[#this row],[moat avail count]],2),0)</f>
        <v>#VALUE!</v>
      </c>
      <c r="CU230" s="16" t="e">
        <f aca="false">IFERROR(ROUND(MatchData[[#this row],[ramparts sum]]/MatchData[[#this row],[ramparts avail count]],2),0)</f>
        <v>#VALUE!</v>
      </c>
      <c r="CV230" s="16" t="e">
        <f aca="false">IFERROR(ROUND(MatchData[[#this row],[drawbridge sum]]/MatchData[[#this row],[drawbridge avail countigh6]],2),0)</f>
        <v>#VALUE!</v>
      </c>
      <c r="CW230" s="16" t="e">
        <f aca="false">IFERROR(ROUND(MatchData[[#this row],[sally port sum]]/MatchData[[#this row],[sally port avail count]],2),0)</f>
        <v>#VALUE!</v>
      </c>
      <c r="CX230" s="5" t="e">
        <f aca="false">IFERROR(ROUND(MatchData[[#this row],[rock wall sum]]/MatchData[[#this row],[rock wall avail count]],2),0)</f>
        <v>#VALUE!</v>
      </c>
      <c r="CY230" s="5" t="e">
        <f aca="false">IFERROR(ROUND(MatchData[[#this row],[rough terrain sum]]/MatchData[[#this row],[rough terrain avail count]],2),0)</f>
        <v>#VALUE!</v>
      </c>
      <c r="CZ230" s="5" t="e">
        <f aca="false">IFERROR(ROUND(MatchData[[#this row],[low bar sum]]/MatchData[[#this row],[low bar avail count]],2),0)</f>
        <v>#VALUE!</v>
      </c>
      <c r="DA230" s="16" t="e">
        <f aca="false">SUM(MatchData[[#this row],[cheval sum]:[low bar sum]])/MatchData[match count]</f>
        <v>#VALUE!</v>
      </c>
      <c r="DB230" s="16" t="n">
        <f aca="false">MAX(IF(C$2:C$74=C230,BP$2:BP$74))</f>
        <v>-1.79769313486232E+308</v>
      </c>
      <c r="DC230" s="16" t="e">
        <f aca="false">AVERAGEIF(MatchData[team],MatchData[[#this row],[team]],MatchData[total score])</f>
        <v>#VALUE!</v>
      </c>
      <c r="DD230" s="16" t="e">
        <f aca="false">ROUND(AVERAGEIF(MatchData[team],MatchData[team],MatchData[climb or challenge flag]),2)</f>
        <v>#VALUE!</v>
      </c>
    </row>
    <row r="231" customFormat="false" ht="14.5" hidden="false" customHeight="false" outlineLevel="0" collapsed="false">
      <c r="A231" s="20" t="s">
        <v>108</v>
      </c>
      <c r="B231" s="21" t="n">
        <v>39</v>
      </c>
      <c r="C231" s="15" t="n">
        <v>4051</v>
      </c>
      <c r="D231" s="5" t="s">
        <v>109</v>
      </c>
      <c r="E231" s="5" t="s">
        <v>125</v>
      </c>
      <c r="G231" s="16"/>
      <c r="I231" s="16"/>
      <c r="J231" s="5" t="n">
        <v>1</v>
      </c>
      <c r="K231" s="16" t="n">
        <v>1</v>
      </c>
      <c r="M231" s="5" t="n">
        <v>1</v>
      </c>
      <c r="N231" s="0"/>
      <c r="O231" s="0"/>
      <c r="P231" s="5" t="n">
        <v>1</v>
      </c>
      <c r="Q231" s="0"/>
      <c r="R231" s="5" t="n">
        <v>1</v>
      </c>
      <c r="S231" s="16"/>
      <c r="T231" s="0"/>
      <c r="U231" s="16"/>
      <c r="V231" s="16"/>
      <c r="W231" s="0"/>
      <c r="AD231" s="16"/>
      <c r="AE231" s="5"/>
      <c r="AF231" s="16"/>
      <c r="AG231" s="16"/>
      <c r="AH231" s="16"/>
      <c r="AJ231" s="16" t="n">
        <v>2</v>
      </c>
      <c r="AL231" s="16"/>
      <c r="AN231" s="16"/>
      <c r="AP231" s="16"/>
      <c r="AR231" s="16"/>
      <c r="AT231" s="16"/>
      <c r="AU231" s="16"/>
      <c r="AV231" s="16"/>
      <c r="AW231" s="16" t="n">
        <v>1</v>
      </c>
      <c r="AX231" s="16"/>
      <c r="AY231" s="16"/>
      <c r="AZ231" s="16"/>
      <c r="BB231" s="16" t="n">
        <v>1</v>
      </c>
      <c r="BC231" s="16" t="e">
        <f aca="false">MatchData[cheval scored crossings]*5</f>
        <v>#VALUE!</v>
      </c>
      <c r="BD231" s="16" t="e">
        <f aca="false">MatchData[moat scored crosings]*5</f>
        <v>#VALUE!</v>
      </c>
      <c r="BE231" s="16" t="e">
        <f aca="false">MatchData[ramparts scored crossings]*5</f>
        <v>#VALUE!</v>
      </c>
      <c r="BF231" s="16" t="e">
        <f aca="false">MatchData[drawbridge scored crossings]*5</f>
        <v>#VALUE!</v>
      </c>
      <c r="BG231" s="16" t="e">
        <f aca="false">MatchData[sally port scored crossings]*5</f>
        <v>#VALUE!</v>
      </c>
      <c r="BH231" s="16" t="e">
        <f aca="false">MatchData[rock wall scored crossings]*5</f>
        <v>#VALUE!</v>
      </c>
      <c r="BI231" s="16" t="e">
        <f aca="false">MatchData[rough terrain scored crossings]*5</f>
        <v>#VALUE!</v>
      </c>
      <c r="BJ231" s="16" t="e">
        <f aca="false">MatchData[low bar scored crossings]*5</f>
        <v>#VALUE!</v>
      </c>
      <c r="BK231" s="16" t="e">
        <f aca="false">SUM(MatchData[[#this row],[low bar teleop crossings]:[rough terrain scored crossings]])</f>
        <v>#VALUE!</v>
      </c>
      <c r="BL231" s="16" t="e">
        <f aca="false">IFERROR(IF(OR(MatchData[[#this row],[challenge flag]],MatchData[[#this row],[climb flag]]),1,0),0)</f>
        <v>#VALUE!</v>
      </c>
      <c r="BM231" s="16" t="e">
        <f aca="false">MatchData[auto high goals]*10+MatchData[teleop high goals]*5</f>
        <v>#VALUE!</v>
      </c>
      <c r="BN231" s="16" t="e">
        <f aca="false">MatchData[auto low goals]*5+MatchData[teleop low goals]*2</f>
        <v>#VALUE!</v>
      </c>
      <c r="BO231" s="16" t="e">
        <f aca="false">MatchData[high goal score]+MatchData[low goal score]</f>
        <v>#VALUE!</v>
      </c>
      <c r="BP231" s="16" t="e">
        <f aca="false">MatchData[teleop high goals]+MatchData[teleop low goals]</f>
        <v>#VALUE!</v>
      </c>
      <c r="BQ231" s="16" t="e">
        <f aca="false">MatchData[[#this row],[auto reach flag]]*2+SUM(MatchData[[#this row],[portcullis auto crossings]:[low bar auto crossings]])*10+MatchData[[#this row],[auto low goals]]*5+MatchData[auto high goals]*10</f>
        <v>#VALUE!</v>
      </c>
      <c r="BR231" s="16" t="e">
        <f aca="false">SUM(MatchData[[#this row],[cheval teleop crossing score]:[low bar teleop crossing score]])</f>
        <v>#VALUE!</v>
      </c>
      <c r="BS231" s="16" t="e">
        <f aca="false">SUMIF(MatchData[team],MatchData[[#this row],[team]],MatchData[total auto score])/MatchData[match count]</f>
        <v>#VALUE!</v>
      </c>
      <c r="BT231" s="16" t="e">
        <f aca="false">MatchData[challenge flag]*5</f>
        <v>#VALUE!</v>
      </c>
      <c r="BU231" s="16" t="e">
        <f aca="false">MatchData[climb flag]*15</f>
        <v>#VALUE!</v>
      </c>
      <c r="BV231" s="16" t="e">
        <f aca="false">SUM(MatchData[[#this row],[total goal score]],MatchData[[#this row],[crossing score]],MatchData[[#this row],[challenge score]],MatchData[[#this row],[climb score]],MatchData[[#this row],[total auto score]])</f>
        <v>#VALUE!</v>
      </c>
      <c r="BW231" s="16" t="e">
        <f aca="false">ROUND(SUMIF(MatchData[team],MatchData[[#this row],[team]],MatchData[teleop low goals])/COUNTIF(MatchData[team],MatchData[[#this row],[team]]),2)</f>
        <v>#VALUE!</v>
      </c>
      <c r="BX231" s="16" t="e">
        <f aca="false">ROUND(SUMIF(MatchData[team],MatchData[[#this row],[team]],MatchData[teleop high goals])/COUNTIF(MatchData[team],MatchData[[#this row],[team]]),2)</f>
        <v>#VALUE!</v>
      </c>
      <c r="BY231" s="16" t="e">
        <f aca="false">COUNTIF(MatchData[team],MatchData[[#this row],[team]])</f>
        <v>#VALUE!</v>
      </c>
      <c r="BZ231" s="16" t="e">
        <f aca="false">SUMIF(MatchData[team],MatchData[[#this row],[team]],MatchData[portcullis available])</f>
        <v>#VALUE!</v>
      </c>
      <c r="CA231" s="16" t="e">
        <f aca="false">SUMIF(MatchData[team],MatchData[[#this row],[team]],MatchData[cheval available])</f>
        <v>#VALUE!</v>
      </c>
      <c r="CB231" s="16" t="e">
        <f aca="false">SUMIF(MatchData[team],MatchData[[#this row],[team]],MatchData[moat available])</f>
        <v>#VALUE!</v>
      </c>
      <c r="CC231" s="16" t="e">
        <f aca="false">SUMIF(MatchData[team],MatchData[[#this row],[team]],MatchData[ramparts available])</f>
        <v>#VALUE!</v>
      </c>
      <c r="CD231" s="16" t="e">
        <f aca="false">SUMIF(MatchData[team],MatchData[[#this row],[team]],MatchData[drawbridge available])</f>
        <v>#VALUE!</v>
      </c>
      <c r="CE231" s="16" t="e">
        <f aca="false">SUMIF(MatchData[team],MatchData[[#this row],[team]],MatchData[sally port available])</f>
        <v>#VALUE!</v>
      </c>
      <c r="CF231" s="16" t="e">
        <f aca="false">SUMIF(MatchData[team],MatchData[[#this row],[team]],MatchData[rock wall available])</f>
        <v>#VALUE!</v>
      </c>
      <c r="CG231" s="16" t="e">
        <f aca="false">SUMIF(MatchData[team],MatchData[[#this row],[team]],MatchData[rough terrain available])</f>
        <v>#VALUE!</v>
      </c>
      <c r="CH231" s="16" t="e">
        <f aca="false">SUMIF(MatchData[team],MatchData[[#this row],[team]],MatchData[low bar available])</f>
        <v>#VALUE!</v>
      </c>
      <c r="CI231" s="16" t="e">
        <f aca="false">SUMIF(MatchData[team],MatchData[[#this row],[team]],MatchData[portcullis teleop crossings]:MatchData[portcullis scored crossings])</f>
        <v>#VALUE!</v>
      </c>
      <c r="CJ231" s="16" t="e">
        <f aca="false">SUMIF(MatchData[team],MatchData[[#this row],[team]],MatchData[cheval teleop crossings])+SUMIF(MatchData[team],MatchData[[#this row],[team]],MatchData[cheval scored crossings])</f>
        <v>#VALUE!</v>
      </c>
      <c r="CK231" s="16" t="e">
        <f aca="false">SUMIF(MatchData[team],MatchData[[#this row],[team]],MatchData[moat teleop crossings])+SUMIF(MatchData[team],MatchData[[#this row],[team]],MatchData[moat scored crosings])</f>
        <v>#VALUE!</v>
      </c>
      <c r="CL231" s="16" t="e">
        <f aca="false">SUMIF(MatchData[team],MatchData[[#this row],[team]],MatchData[ramparts teleop crossings])+SUMIF(MatchData[team],MatchData[[#this row],[team]],MatchData[ramparts scored crossings])</f>
        <v>#VALUE!</v>
      </c>
      <c r="CM231" s="16" t="e">
        <f aca="false">SUMIF(MatchData[team],MatchData[[#this row],[team]],MatchData[drawbridge teleop crossings])+SUMIF(MatchData[team],MatchData[[#this row],[team]],MatchData[drawbridge scored crossings])</f>
        <v>#VALUE!</v>
      </c>
      <c r="CN231" s="16" t="e">
        <f aca="false">SUMIF(MatchData[team],MatchData[[#this row],[team]],MatchData[sally port teleop crossings])+SUMIF(MatchData[team],MatchData[[#this row],[team]],MatchData[sally port scored crossings])</f>
        <v>#VALUE!</v>
      </c>
      <c r="CO231" s="16" t="e">
        <f aca="false">SUMIF(MatchData[team],MatchData[[#this row],[team]],MatchData[rock wall teleop crossings])+SUMIF(MatchData[team],MatchData[[#this row],[team]],MatchData[rock wall scored crossings])</f>
        <v>#VALUE!</v>
      </c>
      <c r="CP231" s="16" t="e">
        <f aca="false">SUMIF(MatchData[team],MatchData[[#this row],[team]],MatchData[rough terrain teleop crossings])+SUMIF(MatchData[team],MatchData[[#this row],[team]],MatchData[rough terrain scored crossings])</f>
        <v>#VALUE!</v>
      </c>
      <c r="CQ231" s="16" t="e">
        <f aca="false">SUMIF(MatchData[team],MatchData[[#this row],[team]],MatchData[low bar teleop crossings])+SUMIF(MatchData[team],MatchData[[#this row],[team]],MatchData[low bar scored crossings])</f>
        <v>#VALUE!</v>
      </c>
      <c r="CR231" s="16" t="e">
        <f aca="false">IFERROR(ROUND(MatchData[[#this row],[portcullis sum]]/MatchData[[#this row],[portcullis avail count]],2),0)</f>
        <v>#VALUE!</v>
      </c>
      <c r="CS231" s="16" t="e">
        <f aca="false">IFERROR(ROUND(MatchData[[#this row],[cheval sum]]/MatchData[[#this row],[cheval avail count]],2),0)</f>
        <v>#VALUE!</v>
      </c>
      <c r="CT231" s="16" t="e">
        <f aca="false">IFERROR(ROUND(MatchData[[#this row],[moat sum]]/MatchData[[#this row],[moat avail count]],2),0)</f>
        <v>#VALUE!</v>
      </c>
      <c r="CU231" s="16" t="e">
        <f aca="false">IFERROR(ROUND(MatchData[[#this row],[ramparts sum]]/MatchData[[#this row],[ramparts avail count]],2),0)</f>
        <v>#VALUE!</v>
      </c>
      <c r="CV231" s="16" t="e">
        <f aca="false">IFERROR(ROUND(MatchData[[#this row],[drawbridge sum]]/MatchData[[#this row],[drawbridge avail countigh6]],2),0)</f>
        <v>#VALUE!</v>
      </c>
      <c r="CW231" s="16" t="e">
        <f aca="false">IFERROR(ROUND(MatchData[[#this row],[sally port sum]]/MatchData[[#this row],[sally port avail count]],2),0)</f>
        <v>#VALUE!</v>
      </c>
      <c r="CX231" s="5" t="e">
        <f aca="false">IFERROR(ROUND(MatchData[[#this row],[rock wall sum]]/MatchData[[#this row],[rock wall avail count]],2),0)</f>
        <v>#VALUE!</v>
      </c>
      <c r="CY231" s="5" t="e">
        <f aca="false">IFERROR(ROUND(MatchData[[#this row],[rough terrain sum]]/MatchData[[#this row],[rough terrain avail count]],2),0)</f>
        <v>#VALUE!</v>
      </c>
      <c r="CZ231" s="5" t="e">
        <f aca="false">IFERROR(ROUND(MatchData[[#this row],[low bar sum]]/MatchData[[#this row],[low bar avail count]],2),0)</f>
        <v>#VALUE!</v>
      </c>
      <c r="DA231" s="16" t="e">
        <f aca="false">SUM(MatchData[[#this row],[cheval sum]:[low bar sum]])/MatchData[match count]</f>
        <v>#VALUE!</v>
      </c>
      <c r="DB231" s="16" t="n">
        <f aca="false">MAX(IF(C$2:C$74=C231,BP$2:BP$74))</f>
        <v>-1.79769313486232E+308</v>
      </c>
      <c r="DC231" s="16" t="e">
        <f aca="false">AVERAGEIF(MatchData[team],MatchData[[#this row],[team]],MatchData[total score])</f>
        <v>#VALUE!</v>
      </c>
      <c r="DD231" s="16" t="e">
        <f aca="false">ROUND(AVERAGEIF(MatchData[team],MatchData[team],MatchData[climb or challenge flag]),2)</f>
        <v>#VALUE!</v>
      </c>
    </row>
    <row r="232" customFormat="false" ht="14.5" hidden="false" customHeight="false" outlineLevel="0" collapsed="false">
      <c r="A232" s="20" t="s">
        <v>108</v>
      </c>
      <c r="B232" s="22" t="n">
        <v>39</v>
      </c>
      <c r="C232" s="15" t="n">
        <v>4127</v>
      </c>
      <c r="D232" s="5" t="s">
        <v>109</v>
      </c>
      <c r="E232" s="5" t="s">
        <v>118</v>
      </c>
      <c r="G232" s="16"/>
      <c r="I232" s="16"/>
      <c r="J232" s="5" t="n">
        <v>1</v>
      </c>
      <c r="K232" s="16" t="n">
        <v>1</v>
      </c>
      <c r="M232" s="5" t="n">
        <v>1</v>
      </c>
      <c r="N232" s="0"/>
      <c r="O232" s="0"/>
      <c r="P232" s="5" t="n">
        <v>1</v>
      </c>
      <c r="Q232" s="0"/>
      <c r="R232" s="5" t="n">
        <v>1</v>
      </c>
      <c r="S232" s="16"/>
      <c r="T232" s="0"/>
      <c r="U232" s="16"/>
      <c r="V232" s="16"/>
      <c r="W232" s="0"/>
      <c r="AD232" s="16"/>
      <c r="AE232" s="5"/>
      <c r="AF232" s="16"/>
      <c r="AG232" s="16"/>
      <c r="AH232" s="16"/>
      <c r="AJ232" s="16"/>
      <c r="AL232" s="16"/>
      <c r="AN232" s="16"/>
      <c r="AP232" s="16"/>
      <c r="AR232" s="16"/>
      <c r="AT232" s="16" t="n">
        <v>1</v>
      </c>
      <c r="AU232" s="16"/>
      <c r="AV232" s="16"/>
      <c r="AW232" s="16" t="n">
        <v>1</v>
      </c>
      <c r="AX232" s="16"/>
      <c r="AY232" s="16"/>
      <c r="AZ232" s="16"/>
      <c r="BA232" s="5" t="n">
        <v>1</v>
      </c>
      <c r="BB232" s="16"/>
      <c r="BC232" s="16" t="e">
        <f aca="false">MatchData[cheval scored crossings]*5</f>
        <v>#VALUE!</v>
      </c>
      <c r="BD232" s="16" t="e">
        <f aca="false">MatchData[moat scored crosings]*5</f>
        <v>#VALUE!</v>
      </c>
      <c r="BE232" s="16" t="e">
        <f aca="false">MatchData[ramparts scored crossings]*5</f>
        <v>#VALUE!</v>
      </c>
      <c r="BF232" s="16" t="e">
        <f aca="false">MatchData[drawbridge scored crossings]*5</f>
        <v>#VALUE!</v>
      </c>
      <c r="BG232" s="16" t="e">
        <f aca="false">MatchData[sally port scored crossings]*5</f>
        <v>#VALUE!</v>
      </c>
      <c r="BH232" s="16" t="e">
        <f aca="false">MatchData[rock wall scored crossings]*5</f>
        <v>#VALUE!</v>
      </c>
      <c r="BI232" s="16" t="e">
        <f aca="false">MatchData[rough terrain scored crossings]*5</f>
        <v>#VALUE!</v>
      </c>
      <c r="BJ232" s="16" t="e">
        <f aca="false">MatchData[low bar scored crossings]*5</f>
        <v>#VALUE!</v>
      </c>
      <c r="BK232" s="16" t="e">
        <f aca="false">SUM(MatchData[[#this row],[low bar teleop crossings]:[rough terrain scored crossings]])</f>
        <v>#VALUE!</v>
      </c>
      <c r="BL232" s="16" t="e">
        <f aca="false">IFERROR(IF(OR(MatchData[[#this row],[challenge flag]],MatchData[[#this row],[climb flag]]),1,0),0)</f>
        <v>#VALUE!</v>
      </c>
      <c r="BM232" s="16" t="e">
        <f aca="false">MatchData[auto high goals]*10+MatchData[teleop high goals]*5</f>
        <v>#VALUE!</v>
      </c>
      <c r="BN232" s="16" t="e">
        <f aca="false">MatchData[auto low goals]*5+MatchData[teleop low goals]*2</f>
        <v>#VALUE!</v>
      </c>
      <c r="BO232" s="16" t="e">
        <f aca="false">MatchData[high goal score]+MatchData[low goal score]</f>
        <v>#VALUE!</v>
      </c>
      <c r="BP232" s="16" t="e">
        <f aca="false">MatchData[teleop high goals]+MatchData[teleop low goals]</f>
        <v>#VALUE!</v>
      </c>
      <c r="BQ232" s="16" t="e">
        <f aca="false">MatchData[[#this row],[auto reach flag]]*2+SUM(MatchData[[#this row],[portcullis auto crossings]:[low bar auto crossings]])*10+MatchData[[#this row],[auto low goals]]*5+MatchData[auto high goals]*10</f>
        <v>#VALUE!</v>
      </c>
      <c r="BR232" s="16" t="e">
        <f aca="false">SUM(MatchData[[#this row],[cheval teleop crossing score]:[low bar teleop crossing score]])</f>
        <v>#VALUE!</v>
      </c>
      <c r="BS232" s="16" t="e">
        <f aca="false">SUMIF(MatchData[team],MatchData[[#this row],[team]],MatchData[total auto score])/MatchData[match count]</f>
        <v>#VALUE!</v>
      </c>
      <c r="BT232" s="16" t="e">
        <f aca="false">MatchData[challenge flag]*5</f>
        <v>#VALUE!</v>
      </c>
      <c r="BU232" s="16" t="e">
        <f aca="false">MatchData[climb flag]*15</f>
        <v>#VALUE!</v>
      </c>
      <c r="BV232" s="16" t="e">
        <f aca="false">SUM(MatchData[[#this row],[total goal score]],MatchData[[#this row],[crossing score]],MatchData[[#this row],[challenge score]],MatchData[[#this row],[climb score]],MatchData[[#this row],[total auto score]])</f>
        <v>#VALUE!</v>
      </c>
      <c r="BW232" s="16" t="e">
        <f aca="false">ROUND(SUMIF(MatchData[team],MatchData[[#this row],[team]],MatchData[teleop low goals])/COUNTIF(MatchData[team],MatchData[[#this row],[team]]),2)</f>
        <v>#VALUE!</v>
      </c>
      <c r="BX232" s="16" t="e">
        <f aca="false">ROUND(SUMIF(MatchData[team],MatchData[[#this row],[team]],MatchData[teleop high goals])/COUNTIF(MatchData[team],MatchData[[#this row],[team]]),2)</f>
        <v>#VALUE!</v>
      </c>
      <c r="BY232" s="16" t="e">
        <f aca="false">COUNTIF(MatchData[team],MatchData[[#this row],[team]])</f>
        <v>#VALUE!</v>
      </c>
      <c r="BZ232" s="16" t="e">
        <f aca="false">SUMIF(MatchData[team],MatchData[[#this row],[team]],MatchData[portcullis available])</f>
        <v>#VALUE!</v>
      </c>
      <c r="CA232" s="16" t="e">
        <f aca="false">SUMIF(MatchData[team],MatchData[[#this row],[team]],MatchData[cheval available])</f>
        <v>#VALUE!</v>
      </c>
      <c r="CB232" s="16" t="e">
        <f aca="false">SUMIF(MatchData[team],MatchData[[#this row],[team]],MatchData[moat available])</f>
        <v>#VALUE!</v>
      </c>
      <c r="CC232" s="16" t="e">
        <f aca="false">SUMIF(MatchData[team],MatchData[[#this row],[team]],MatchData[ramparts available])</f>
        <v>#VALUE!</v>
      </c>
      <c r="CD232" s="16" t="e">
        <f aca="false">SUMIF(MatchData[team],MatchData[[#this row],[team]],MatchData[drawbridge available])</f>
        <v>#VALUE!</v>
      </c>
      <c r="CE232" s="16" t="e">
        <f aca="false">SUMIF(MatchData[team],MatchData[[#this row],[team]],MatchData[sally port available])</f>
        <v>#VALUE!</v>
      </c>
      <c r="CF232" s="16" t="e">
        <f aca="false">SUMIF(MatchData[team],MatchData[[#this row],[team]],MatchData[rock wall available])</f>
        <v>#VALUE!</v>
      </c>
      <c r="CG232" s="16" t="e">
        <f aca="false">SUMIF(MatchData[team],MatchData[[#this row],[team]],MatchData[rough terrain available])</f>
        <v>#VALUE!</v>
      </c>
      <c r="CH232" s="16" t="e">
        <f aca="false">SUMIF(MatchData[team],MatchData[[#this row],[team]],MatchData[low bar available])</f>
        <v>#VALUE!</v>
      </c>
      <c r="CI232" s="16" t="e">
        <f aca="false">SUMIF(MatchData[team],MatchData[[#this row],[team]],MatchData[portcullis teleop crossings]:MatchData[portcullis scored crossings])</f>
        <v>#VALUE!</v>
      </c>
      <c r="CJ232" s="16" t="e">
        <f aca="false">SUMIF(MatchData[team],MatchData[[#this row],[team]],MatchData[cheval teleop crossings])+SUMIF(MatchData[team],MatchData[[#this row],[team]],MatchData[cheval scored crossings])</f>
        <v>#VALUE!</v>
      </c>
      <c r="CK232" s="16" t="e">
        <f aca="false">SUMIF(MatchData[team],MatchData[[#this row],[team]],MatchData[moat teleop crossings])+SUMIF(MatchData[team],MatchData[[#this row],[team]],MatchData[moat scored crosings])</f>
        <v>#VALUE!</v>
      </c>
      <c r="CL232" s="16" t="e">
        <f aca="false">SUMIF(MatchData[team],MatchData[[#this row],[team]],MatchData[ramparts teleop crossings])+SUMIF(MatchData[team],MatchData[[#this row],[team]],MatchData[ramparts scored crossings])</f>
        <v>#VALUE!</v>
      </c>
      <c r="CM232" s="16" t="e">
        <f aca="false">SUMIF(MatchData[team],MatchData[[#this row],[team]],MatchData[drawbridge teleop crossings])+SUMIF(MatchData[team],MatchData[[#this row],[team]],MatchData[drawbridge scored crossings])</f>
        <v>#VALUE!</v>
      </c>
      <c r="CN232" s="16" t="e">
        <f aca="false">SUMIF(MatchData[team],MatchData[[#this row],[team]],MatchData[sally port teleop crossings])+SUMIF(MatchData[team],MatchData[[#this row],[team]],MatchData[sally port scored crossings])</f>
        <v>#VALUE!</v>
      </c>
      <c r="CO232" s="16" t="e">
        <f aca="false">SUMIF(MatchData[team],MatchData[[#this row],[team]],MatchData[rock wall teleop crossings])+SUMIF(MatchData[team],MatchData[[#this row],[team]],MatchData[rock wall scored crossings])</f>
        <v>#VALUE!</v>
      </c>
      <c r="CP232" s="16" t="e">
        <f aca="false">SUMIF(MatchData[team],MatchData[[#this row],[team]],MatchData[rough terrain teleop crossings])+SUMIF(MatchData[team],MatchData[[#this row],[team]],MatchData[rough terrain scored crossings])</f>
        <v>#VALUE!</v>
      </c>
      <c r="CQ232" s="16" t="e">
        <f aca="false">SUMIF(MatchData[team],MatchData[[#this row],[team]],MatchData[low bar teleop crossings])+SUMIF(MatchData[team],MatchData[[#this row],[team]],MatchData[low bar scored crossings])</f>
        <v>#VALUE!</v>
      </c>
      <c r="CR232" s="16" t="e">
        <f aca="false">IFERROR(ROUND(MatchData[[#this row],[portcullis sum]]/MatchData[[#this row],[portcullis avail count]],2),0)</f>
        <v>#VALUE!</v>
      </c>
      <c r="CS232" s="16" t="e">
        <f aca="false">IFERROR(ROUND(MatchData[[#this row],[cheval sum]]/MatchData[[#this row],[cheval avail count]],2),0)</f>
        <v>#VALUE!</v>
      </c>
      <c r="CT232" s="16" t="e">
        <f aca="false">IFERROR(ROUND(MatchData[[#this row],[moat sum]]/MatchData[[#this row],[moat avail count]],2),0)</f>
        <v>#VALUE!</v>
      </c>
      <c r="CU232" s="16" t="e">
        <f aca="false">IFERROR(ROUND(MatchData[[#this row],[ramparts sum]]/MatchData[[#this row],[ramparts avail count]],2),0)</f>
        <v>#VALUE!</v>
      </c>
      <c r="CV232" s="16" t="e">
        <f aca="false">IFERROR(ROUND(MatchData[[#this row],[drawbridge sum]]/MatchData[[#this row],[drawbridge avail countigh6]],2),0)</f>
        <v>#VALUE!</v>
      </c>
      <c r="CW232" s="16" t="e">
        <f aca="false">IFERROR(ROUND(MatchData[[#this row],[sally port sum]]/MatchData[[#this row],[sally port avail count]],2),0)</f>
        <v>#VALUE!</v>
      </c>
      <c r="CX232" s="5" t="e">
        <f aca="false">IFERROR(ROUND(MatchData[[#this row],[rock wall sum]]/MatchData[[#this row],[rock wall avail count]],2),0)</f>
        <v>#VALUE!</v>
      </c>
      <c r="CY232" s="5" t="e">
        <f aca="false">IFERROR(ROUND(MatchData[[#this row],[rough terrain sum]]/MatchData[[#this row],[rough terrain avail count]],2),0)</f>
        <v>#VALUE!</v>
      </c>
      <c r="CZ232" s="5" t="e">
        <f aca="false">IFERROR(ROUND(MatchData[[#this row],[low bar sum]]/MatchData[[#this row],[low bar avail count]],2),0)</f>
        <v>#VALUE!</v>
      </c>
      <c r="DA232" s="16" t="e">
        <f aca="false">SUM(MatchData[[#this row],[cheval sum]:[low bar sum]])/MatchData[match count]</f>
        <v>#VALUE!</v>
      </c>
      <c r="DB232" s="16" t="n">
        <f aca="false">MAX(IF(C$2:C$74=C232,BP$2:BP$74))</f>
        <v>-1.79769313486232E+308</v>
      </c>
      <c r="DC232" s="16" t="e">
        <f aca="false">AVERAGEIF(MatchData[team],MatchData[[#this row],[team]],MatchData[total score])</f>
        <v>#VALUE!</v>
      </c>
      <c r="DD232" s="16" t="e">
        <f aca="false">ROUND(AVERAGEIF(MatchData[team],MatchData[team],MatchData[climb or challenge flag]),2)</f>
        <v>#VALUE!</v>
      </c>
    </row>
    <row r="233" customFormat="false" ht="14.5" hidden="false" customHeight="false" outlineLevel="0" collapsed="false">
      <c r="A233" s="20" t="s">
        <v>108</v>
      </c>
      <c r="B233" s="22" t="n">
        <v>39</v>
      </c>
      <c r="C233" s="15" t="n">
        <v>1571</v>
      </c>
      <c r="D233" s="5" t="s">
        <v>113</v>
      </c>
      <c r="E233" s="5" t="s">
        <v>110</v>
      </c>
      <c r="G233" s="16"/>
      <c r="I233" s="16"/>
      <c r="J233" s="5" t="n">
        <v>1</v>
      </c>
      <c r="K233" s="16"/>
      <c r="L233" s="5" t="n">
        <v>1</v>
      </c>
      <c r="N233" s="5" t="n">
        <v>1</v>
      </c>
      <c r="O233" s="0"/>
      <c r="P233" s="5" t="n">
        <v>1</v>
      </c>
      <c r="Q233" s="5" t="n">
        <v>1</v>
      </c>
      <c r="R233" s="0"/>
      <c r="S233" s="16"/>
      <c r="T233" s="0"/>
      <c r="U233" s="16"/>
      <c r="V233" s="16"/>
      <c r="W233" s="0"/>
      <c r="AD233" s="16"/>
      <c r="AE233" s="5"/>
      <c r="AF233" s="16"/>
      <c r="AG233" s="16"/>
      <c r="AH233" s="16"/>
      <c r="AJ233" s="16"/>
      <c r="AL233" s="16"/>
      <c r="AN233" s="16"/>
      <c r="AP233" s="16" t="n">
        <v>1</v>
      </c>
      <c r="AR233" s="16"/>
      <c r="AT233" s="16"/>
      <c r="AU233" s="16"/>
      <c r="AV233" s="16"/>
      <c r="AW233" s="16"/>
      <c r="AX233" s="16"/>
      <c r="AY233" s="16"/>
      <c r="AZ233" s="16"/>
      <c r="BB233" s="16"/>
      <c r="BC233" s="16" t="e">
        <f aca="false">MatchData[cheval scored crossings]*5</f>
        <v>#VALUE!</v>
      </c>
      <c r="BD233" s="16" t="e">
        <f aca="false">MatchData[moat scored crosings]*5</f>
        <v>#VALUE!</v>
      </c>
      <c r="BE233" s="16" t="e">
        <f aca="false">MatchData[ramparts scored crossings]*5</f>
        <v>#VALUE!</v>
      </c>
      <c r="BF233" s="16" t="e">
        <f aca="false">MatchData[drawbridge scored crossings]*5</f>
        <v>#VALUE!</v>
      </c>
      <c r="BG233" s="16" t="e">
        <f aca="false">MatchData[sally port scored crossings]*5</f>
        <v>#VALUE!</v>
      </c>
      <c r="BH233" s="16" t="e">
        <f aca="false">MatchData[rock wall scored crossings]*5</f>
        <v>#VALUE!</v>
      </c>
      <c r="BI233" s="16" t="e">
        <f aca="false">MatchData[rough terrain scored crossings]*5</f>
        <v>#VALUE!</v>
      </c>
      <c r="BJ233" s="16" t="e">
        <f aca="false">MatchData[low bar scored crossings]*5</f>
        <v>#VALUE!</v>
      </c>
      <c r="BK233" s="16" t="e">
        <f aca="false">SUM(MatchData[[#this row],[low bar teleop crossings]:[rough terrain scored crossings]])</f>
        <v>#VALUE!</v>
      </c>
      <c r="BL233" s="16" t="e">
        <f aca="false">IFERROR(IF(OR(MatchData[[#this row],[challenge flag]],MatchData[[#this row],[climb flag]]),1,0),0)</f>
        <v>#VALUE!</v>
      </c>
      <c r="BM233" s="16" t="e">
        <f aca="false">MatchData[auto high goals]*10+MatchData[teleop high goals]*5</f>
        <v>#VALUE!</v>
      </c>
      <c r="BN233" s="16" t="e">
        <f aca="false">MatchData[auto low goals]*5+MatchData[teleop low goals]*2</f>
        <v>#VALUE!</v>
      </c>
      <c r="BO233" s="16" t="e">
        <f aca="false">MatchData[high goal score]+MatchData[low goal score]</f>
        <v>#VALUE!</v>
      </c>
      <c r="BP233" s="16" t="e">
        <f aca="false">MatchData[teleop high goals]+MatchData[teleop low goals]</f>
        <v>#VALUE!</v>
      </c>
      <c r="BQ233" s="16" t="e">
        <f aca="false">MatchData[[#this row],[auto reach flag]]*2+SUM(MatchData[[#this row],[portcullis auto crossings]:[low bar auto crossings]])*10+MatchData[[#this row],[auto low goals]]*5+MatchData[auto high goals]*10</f>
        <v>#VALUE!</v>
      </c>
      <c r="BR233" s="16" t="e">
        <f aca="false">SUM(MatchData[[#this row],[cheval teleop crossing score]:[low bar teleop crossing score]])</f>
        <v>#VALUE!</v>
      </c>
      <c r="BS233" s="16" t="e">
        <f aca="false">SUMIF(MatchData[team],MatchData[[#this row],[team]],MatchData[total auto score])/MatchData[match count]</f>
        <v>#VALUE!</v>
      </c>
      <c r="BT233" s="16" t="e">
        <f aca="false">MatchData[challenge flag]*5</f>
        <v>#VALUE!</v>
      </c>
      <c r="BU233" s="16" t="e">
        <f aca="false">MatchData[climb flag]*15</f>
        <v>#VALUE!</v>
      </c>
      <c r="BV233" s="16" t="e">
        <f aca="false">SUM(MatchData[[#this row],[total goal score]],MatchData[[#this row],[crossing score]],MatchData[[#this row],[challenge score]],MatchData[[#this row],[climb score]],MatchData[[#this row],[total auto score]])</f>
        <v>#VALUE!</v>
      </c>
      <c r="BW233" s="16" t="e">
        <f aca="false">ROUND(SUMIF(MatchData[team],MatchData[[#this row],[team]],MatchData[teleop low goals])/COUNTIF(MatchData[team],MatchData[[#this row],[team]]),2)</f>
        <v>#VALUE!</v>
      </c>
      <c r="BX233" s="16" t="e">
        <f aca="false">ROUND(SUMIF(MatchData[team],MatchData[[#this row],[team]],MatchData[teleop high goals])/COUNTIF(MatchData[team],MatchData[[#this row],[team]]),2)</f>
        <v>#VALUE!</v>
      </c>
      <c r="BY233" s="16" t="e">
        <f aca="false">COUNTIF(MatchData[team],MatchData[[#this row],[team]])</f>
        <v>#VALUE!</v>
      </c>
      <c r="BZ233" s="16" t="e">
        <f aca="false">SUMIF(MatchData[team],MatchData[[#this row],[team]],MatchData[portcullis available])</f>
        <v>#VALUE!</v>
      </c>
      <c r="CA233" s="16" t="e">
        <f aca="false">SUMIF(MatchData[team],MatchData[[#this row],[team]],MatchData[cheval available])</f>
        <v>#VALUE!</v>
      </c>
      <c r="CB233" s="16" t="e">
        <f aca="false">SUMIF(MatchData[team],MatchData[[#this row],[team]],MatchData[moat available])</f>
        <v>#VALUE!</v>
      </c>
      <c r="CC233" s="16" t="e">
        <f aca="false">SUMIF(MatchData[team],MatchData[[#this row],[team]],MatchData[ramparts available])</f>
        <v>#VALUE!</v>
      </c>
      <c r="CD233" s="16" t="e">
        <f aca="false">SUMIF(MatchData[team],MatchData[[#this row],[team]],MatchData[drawbridge available])</f>
        <v>#VALUE!</v>
      </c>
      <c r="CE233" s="16" t="e">
        <f aca="false">SUMIF(MatchData[team],MatchData[[#this row],[team]],MatchData[sally port available])</f>
        <v>#VALUE!</v>
      </c>
      <c r="CF233" s="16" t="e">
        <f aca="false">SUMIF(MatchData[team],MatchData[[#this row],[team]],MatchData[rock wall available])</f>
        <v>#VALUE!</v>
      </c>
      <c r="CG233" s="16" t="e">
        <f aca="false">SUMIF(MatchData[team],MatchData[[#this row],[team]],MatchData[rough terrain available])</f>
        <v>#VALUE!</v>
      </c>
      <c r="CH233" s="16" t="e">
        <f aca="false">SUMIF(MatchData[team],MatchData[[#this row],[team]],MatchData[low bar available])</f>
        <v>#VALUE!</v>
      </c>
      <c r="CI233" s="16" t="e">
        <f aca="false">SUMIF(MatchData[team],MatchData[[#this row],[team]],MatchData[portcullis teleop crossings]:MatchData[portcullis scored crossings])</f>
        <v>#VALUE!</v>
      </c>
      <c r="CJ233" s="16" t="e">
        <f aca="false">SUMIF(MatchData[team],MatchData[[#this row],[team]],MatchData[cheval teleop crossings])+SUMIF(MatchData[team],MatchData[[#this row],[team]],MatchData[cheval scored crossings])</f>
        <v>#VALUE!</v>
      </c>
      <c r="CK233" s="16" t="e">
        <f aca="false">SUMIF(MatchData[team],MatchData[[#this row],[team]],MatchData[moat teleop crossings])+SUMIF(MatchData[team],MatchData[[#this row],[team]],MatchData[moat scored crosings])</f>
        <v>#VALUE!</v>
      </c>
      <c r="CL233" s="16" t="e">
        <f aca="false">SUMIF(MatchData[team],MatchData[[#this row],[team]],MatchData[ramparts teleop crossings])+SUMIF(MatchData[team],MatchData[[#this row],[team]],MatchData[ramparts scored crossings])</f>
        <v>#VALUE!</v>
      </c>
      <c r="CM233" s="16" t="e">
        <f aca="false">SUMIF(MatchData[team],MatchData[[#this row],[team]],MatchData[drawbridge teleop crossings])+SUMIF(MatchData[team],MatchData[[#this row],[team]],MatchData[drawbridge scored crossings])</f>
        <v>#VALUE!</v>
      </c>
      <c r="CN233" s="16" t="e">
        <f aca="false">SUMIF(MatchData[team],MatchData[[#this row],[team]],MatchData[sally port teleop crossings])+SUMIF(MatchData[team],MatchData[[#this row],[team]],MatchData[sally port scored crossings])</f>
        <v>#VALUE!</v>
      </c>
      <c r="CO233" s="16" t="e">
        <f aca="false">SUMIF(MatchData[team],MatchData[[#this row],[team]],MatchData[rock wall teleop crossings])+SUMIF(MatchData[team],MatchData[[#this row],[team]],MatchData[rock wall scored crossings])</f>
        <v>#VALUE!</v>
      </c>
      <c r="CP233" s="16" t="e">
        <f aca="false">SUMIF(MatchData[team],MatchData[[#this row],[team]],MatchData[rough terrain teleop crossings])+SUMIF(MatchData[team],MatchData[[#this row],[team]],MatchData[rough terrain scored crossings])</f>
        <v>#VALUE!</v>
      </c>
      <c r="CQ233" s="16" t="e">
        <f aca="false">SUMIF(MatchData[team],MatchData[[#this row],[team]],MatchData[low bar teleop crossings])+SUMIF(MatchData[team],MatchData[[#this row],[team]],MatchData[low bar scored crossings])</f>
        <v>#VALUE!</v>
      </c>
      <c r="CR233" s="16" t="e">
        <f aca="false">IFERROR(ROUND(MatchData[[#this row],[portcullis sum]]/MatchData[[#this row],[portcullis avail count]],2),0)</f>
        <v>#VALUE!</v>
      </c>
      <c r="CS233" s="16" t="e">
        <f aca="false">IFERROR(ROUND(MatchData[[#this row],[cheval sum]]/MatchData[[#this row],[cheval avail count]],2),0)</f>
        <v>#VALUE!</v>
      </c>
      <c r="CT233" s="16" t="e">
        <f aca="false">IFERROR(ROUND(MatchData[[#this row],[moat sum]]/MatchData[[#this row],[moat avail count]],2),0)</f>
        <v>#VALUE!</v>
      </c>
      <c r="CU233" s="16" t="e">
        <f aca="false">IFERROR(ROUND(MatchData[[#this row],[ramparts sum]]/MatchData[[#this row],[ramparts avail count]],2),0)</f>
        <v>#VALUE!</v>
      </c>
      <c r="CV233" s="16" t="e">
        <f aca="false">IFERROR(ROUND(MatchData[[#this row],[drawbridge sum]]/MatchData[[#this row],[drawbridge avail countigh6]],2),0)</f>
        <v>#VALUE!</v>
      </c>
      <c r="CW233" s="16" t="e">
        <f aca="false">IFERROR(ROUND(MatchData[[#this row],[sally port sum]]/MatchData[[#this row],[sally port avail count]],2),0)</f>
        <v>#VALUE!</v>
      </c>
      <c r="CX233" s="5" t="e">
        <f aca="false">IFERROR(ROUND(MatchData[[#this row],[rock wall sum]]/MatchData[[#this row],[rock wall avail count]],2),0)</f>
        <v>#VALUE!</v>
      </c>
      <c r="CY233" s="5" t="e">
        <f aca="false">IFERROR(ROUND(MatchData[[#this row],[rough terrain sum]]/MatchData[[#this row],[rough terrain avail count]],2),0)</f>
        <v>#VALUE!</v>
      </c>
      <c r="CZ233" s="5" t="e">
        <f aca="false">IFERROR(ROUND(MatchData[[#this row],[low bar sum]]/MatchData[[#this row],[low bar avail count]],2),0)</f>
        <v>#VALUE!</v>
      </c>
      <c r="DA233" s="16" t="e">
        <f aca="false">SUM(MatchData[[#this row],[cheval sum]:[low bar sum]])/MatchData[match count]</f>
        <v>#VALUE!</v>
      </c>
      <c r="DB233" s="16" t="n">
        <f aca="false">MAX(IF(C$2:C$74=C233,BP$2:BP$74))</f>
        <v>-1.79769313486232E+308</v>
      </c>
      <c r="DC233" s="16" t="e">
        <f aca="false">AVERAGEIF(MatchData[team],MatchData[[#this row],[team]],MatchData[total score])</f>
        <v>#VALUE!</v>
      </c>
      <c r="DD233" s="16" t="e">
        <f aca="false">ROUND(AVERAGEIF(MatchData[team],MatchData[team],MatchData[climb or challenge flag]),2)</f>
        <v>#VALUE!</v>
      </c>
    </row>
    <row r="234" customFormat="false" ht="14.5" hidden="false" customHeight="false" outlineLevel="0" collapsed="false">
      <c r="A234" s="20" t="s">
        <v>108</v>
      </c>
      <c r="B234" s="21" t="n">
        <v>39</v>
      </c>
      <c r="C234" s="15" t="n">
        <v>2733</v>
      </c>
      <c r="D234" s="5" t="s">
        <v>113</v>
      </c>
      <c r="E234" s="5" t="s">
        <v>152</v>
      </c>
      <c r="G234" s="16" t="n">
        <v>2</v>
      </c>
      <c r="I234" s="16"/>
      <c r="J234" s="5" t="n">
        <v>1</v>
      </c>
      <c r="K234" s="16"/>
      <c r="L234" s="5" t="n">
        <v>1</v>
      </c>
      <c r="N234" s="5" t="n">
        <v>1</v>
      </c>
      <c r="O234" s="0"/>
      <c r="P234" s="5" t="n">
        <v>1</v>
      </c>
      <c r="Q234" s="5" t="n">
        <v>1</v>
      </c>
      <c r="R234" s="0"/>
      <c r="S234" s="16"/>
      <c r="T234" s="0"/>
      <c r="U234" s="16"/>
      <c r="V234" s="16"/>
      <c r="W234" s="5" t="n">
        <v>1</v>
      </c>
      <c r="AC234" s="5" t="n">
        <v>1</v>
      </c>
      <c r="AD234" s="16"/>
      <c r="AE234" s="5"/>
      <c r="AF234" s="16"/>
      <c r="AG234" s="16"/>
      <c r="AH234" s="16"/>
      <c r="AJ234" s="16"/>
      <c r="AL234" s="16" t="n">
        <v>1</v>
      </c>
      <c r="AN234" s="16"/>
      <c r="AP234" s="16"/>
      <c r="AR234" s="16" t="n">
        <v>2</v>
      </c>
      <c r="AT234" s="16"/>
      <c r="AU234" s="16"/>
      <c r="AV234" s="16"/>
      <c r="AW234" s="16"/>
      <c r="AX234" s="16"/>
      <c r="AY234" s="16"/>
      <c r="AZ234" s="16"/>
      <c r="BB234" s="16" t="n">
        <v>1</v>
      </c>
      <c r="BC234" s="16" t="e">
        <f aca="false">MatchData[cheval scored crossings]*5</f>
        <v>#VALUE!</v>
      </c>
      <c r="BD234" s="16" t="e">
        <f aca="false">MatchData[moat scored crosings]*5</f>
        <v>#VALUE!</v>
      </c>
      <c r="BE234" s="16" t="e">
        <f aca="false">MatchData[ramparts scored crossings]*5</f>
        <v>#VALUE!</v>
      </c>
      <c r="BF234" s="16" t="e">
        <f aca="false">MatchData[drawbridge scored crossings]*5</f>
        <v>#VALUE!</v>
      </c>
      <c r="BG234" s="16" t="e">
        <f aca="false">MatchData[sally port scored crossings]*5</f>
        <v>#VALUE!</v>
      </c>
      <c r="BH234" s="16" t="e">
        <f aca="false">MatchData[rock wall scored crossings]*5</f>
        <v>#VALUE!</v>
      </c>
      <c r="BI234" s="16" t="e">
        <f aca="false">MatchData[rough terrain scored crossings]*5</f>
        <v>#VALUE!</v>
      </c>
      <c r="BJ234" s="16" t="e">
        <f aca="false">MatchData[low bar scored crossings]*5</f>
        <v>#VALUE!</v>
      </c>
      <c r="BK234" s="16" t="e">
        <f aca="false">SUM(MatchData[[#this row],[low bar teleop crossings]:[rough terrain scored crossings]])</f>
        <v>#VALUE!</v>
      </c>
      <c r="BL234" s="16" t="e">
        <f aca="false">IFERROR(IF(OR(MatchData[[#this row],[challenge flag]],MatchData[[#this row],[climb flag]]),1,0),0)</f>
        <v>#VALUE!</v>
      </c>
      <c r="BM234" s="16" t="e">
        <f aca="false">MatchData[auto high goals]*10+MatchData[teleop high goals]*5</f>
        <v>#VALUE!</v>
      </c>
      <c r="BN234" s="16" t="e">
        <f aca="false">MatchData[auto low goals]*5+MatchData[teleop low goals]*2</f>
        <v>#VALUE!</v>
      </c>
      <c r="BO234" s="16" t="e">
        <f aca="false">MatchData[high goal score]+MatchData[low goal score]</f>
        <v>#VALUE!</v>
      </c>
      <c r="BP234" s="16" t="e">
        <f aca="false">MatchData[teleop high goals]+MatchData[teleop low goals]</f>
        <v>#VALUE!</v>
      </c>
      <c r="BQ234" s="16" t="e">
        <f aca="false">MatchData[[#this row],[auto reach flag]]*2+SUM(MatchData[[#this row],[portcullis auto crossings]:[low bar auto crossings]])*10+MatchData[[#this row],[auto low goals]]*5+MatchData[auto high goals]*10</f>
        <v>#VALUE!</v>
      </c>
      <c r="BR234" s="16" t="e">
        <f aca="false">SUM(MatchData[[#this row],[cheval teleop crossing score]:[low bar teleop crossing score]])</f>
        <v>#VALUE!</v>
      </c>
      <c r="BS234" s="16" t="e">
        <f aca="false">SUMIF(MatchData[team],MatchData[[#this row],[team]],MatchData[total auto score])/MatchData[match count]</f>
        <v>#VALUE!</v>
      </c>
      <c r="BT234" s="16" t="e">
        <f aca="false">MatchData[challenge flag]*5</f>
        <v>#VALUE!</v>
      </c>
      <c r="BU234" s="16" t="e">
        <f aca="false">MatchData[climb flag]*15</f>
        <v>#VALUE!</v>
      </c>
      <c r="BV234" s="16" t="e">
        <f aca="false">SUM(MatchData[[#this row],[total goal score]],MatchData[[#this row],[crossing score]],MatchData[[#this row],[challenge score]],MatchData[[#this row],[climb score]],MatchData[[#this row],[total auto score]])</f>
        <v>#VALUE!</v>
      </c>
      <c r="BW234" s="16" t="e">
        <f aca="false">ROUND(SUMIF(MatchData[team],MatchData[[#this row],[team]],MatchData[teleop low goals])/COUNTIF(MatchData[team],MatchData[[#this row],[team]]),2)</f>
        <v>#VALUE!</v>
      </c>
      <c r="BX234" s="16" t="e">
        <f aca="false">ROUND(SUMIF(MatchData[team],MatchData[[#this row],[team]],MatchData[teleop high goals])/COUNTIF(MatchData[team],MatchData[[#this row],[team]]),2)</f>
        <v>#VALUE!</v>
      </c>
      <c r="BY234" s="16" t="e">
        <f aca="false">COUNTIF(MatchData[team],MatchData[[#this row],[team]])</f>
        <v>#VALUE!</v>
      </c>
      <c r="BZ234" s="16" t="e">
        <f aca="false">SUMIF(MatchData[team],MatchData[[#this row],[team]],MatchData[portcullis available])</f>
        <v>#VALUE!</v>
      </c>
      <c r="CA234" s="16" t="e">
        <f aca="false">SUMIF(MatchData[team],MatchData[[#this row],[team]],MatchData[cheval available])</f>
        <v>#VALUE!</v>
      </c>
      <c r="CB234" s="16" t="e">
        <f aca="false">SUMIF(MatchData[team],MatchData[[#this row],[team]],MatchData[moat available])</f>
        <v>#VALUE!</v>
      </c>
      <c r="CC234" s="16" t="e">
        <f aca="false">SUMIF(MatchData[team],MatchData[[#this row],[team]],MatchData[ramparts available])</f>
        <v>#VALUE!</v>
      </c>
      <c r="CD234" s="16" t="e">
        <f aca="false">SUMIF(MatchData[team],MatchData[[#this row],[team]],MatchData[drawbridge available])</f>
        <v>#VALUE!</v>
      </c>
      <c r="CE234" s="16" t="e">
        <f aca="false">SUMIF(MatchData[team],MatchData[[#this row],[team]],MatchData[sally port available])</f>
        <v>#VALUE!</v>
      </c>
      <c r="CF234" s="16" t="e">
        <f aca="false">SUMIF(MatchData[team],MatchData[[#this row],[team]],MatchData[rock wall available])</f>
        <v>#VALUE!</v>
      </c>
      <c r="CG234" s="16" t="e">
        <f aca="false">SUMIF(MatchData[team],MatchData[[#this row],[team]],MatchData[rough terrain available])</f>
        <v>#VALUE!</v>
      </c>
      <c r="CH234" s="16" t="e">
        <f aca="false">SUMIF(MatchData[team],MatchData[[#this row],[team]],MatchData[low bar available])</f>
        <v>#VALUE!</v>
      </c>
      <c r="CI234" s="16" t="e">
        <f aca="false">SUMIF(MatchData[team],MatchData[[#this row],[team]],MatchData[portcullis teleop crossings]:MatchData[portcullis scored crossings])</f>
        <v>#VALUE!</v>
      </c>
      <c r="CJ234" s="16" t="e">
        <f aca="false">SUMIF(MatchData[team],MatchData[[#this row],[team]],MatchData[cheval teleop crossings])+SUMIF(MatchData[team],MatchData[[#this row],[team]],MatchData[cheval scored crossings])</f>
        <v>#VALUE!</v>
      </c>
      <c r="CK234" s="16" t="e">
        <f aca="false">SUMIF(MatchData[team],MatchData[[#this row],[team]],MatchData[moat teleop crossings])+SUMIF(MatchData[team],MatchData[[#this row],[team]],MatchData[moat scored crosings])</f>
        <v>#VALUE!</v>
      </c>
      <c r="CL234" s="16" t="e">
        <f aca="false">SUMIF(MatchData[team],MatchData[[#this row],[team]],MatchData[ramparts teleop crossings])+SUMIF(MatchData[team],MatchData[[#this row],[team]],MatchData[ramparts scored crossings])</f>
        <v>#VALUE!</v>
      </c>
      <c r="CM234" s="16" t="e">
        <f aca="false">SUMIF(MatchData[team],MatchData[[#this row],[team]],MatchData[drawbridge teleop crossings])+SUMIF(MatchData[team],MatchData[[#this row],[team]],MatchData[drawbridge scored crossings])</f>
        <v>#VALUE!</v>
      </c>
      <c r="CN234" s="16" t="e">
        <f aca="false">SUMIF(MatchData[team],MatchData[[#this row],[team]],MatchData[sally port teleop crossings])+SUMIF(MatchData[team],MatchData[[#this row],[team]],MatchData[sally port scored crossings])</f>
        <v>#VALUE!</v>
      </c>
      <c r="CO234" s="16" t="e">
        <f aca="false">SUMIF(MatchData[team],MatchData[[#this row],[team]],MatchData[rock wall teleop crossings])+SUMIF(MatchData[team],MatchData[[#this row],[team]],MatchData[rock wall scored crossings])</f>
        <v>#VALUE!</v>
      </c>
      <c r="CP234" s="16" t="e">
        <f aca="false">SUMIF(MatchData[team],MatchData[[#this row],[team]],MatchData[rough terrain teleop crossings])+SUMIF(MatchData[team],MatchData[[#this row],[team]],MatchData[rough terrain scored crossings])</f>
        <v>#VALUE!</v>
      </c>
      <c r="CQ234" s="16" t="e">
        <f aca="false">SUMIF(MatchData[team],MatchData[[#this row],[team]],MatchData[low bar teleop crossings])+SUMIF(MatchData[team],MatchData[[#this row],[team]],MatchData[low bar scored crossings])</f>
        <v>#VALUE!</v>
      </c>
      <c r="CR234" s="16" t="e">
        <f aca="false">IFERROR(ROUND(MatchData[[#this row],[portcullis sum]]/MatchData[[#this row],[portcullis avail count]],2),0)</f>
        <v>#VALUE!</v>
      </c>
      <c r="CS234" s="16" t="e">
        <f aca="false">IFERROR(ROUND(MatchData[[#this row],[cheval sum]]/MatchData[[#this row],[cheval avail count]],2),0)</f>
        <v>#VALUE!</v>
      </c>
      <c r="CT234" s="16" t="e">
        <f aca="false">IFERROR(ROUND(MatchData[[#this row],[moat sum]]/MatchData[[#this row],[moat avail count]],2),0)</f>
        <v>#VALUE!</v>
      </c>
      <c r="CU234" s="16" t="e">
        <f aca="false">IFERROR(ROUND(MatchData[[#this row],[ramparts sum]]/MatchData[[#this row],[ramparts avail count]],2),0)</f>
        <v>#VALUE!</v>
      </c>
      <c r="CV234" s="16" t="e">
        <f aca="false">IFERROR(ROUND(MatchData[[#this row],[drawbridge sum]]/MatchData[[#this row],[drawbridge avail countigh6]],2),0)</f>
        <v>#VALUE!</v>
      </c>
      <c r="CW234" s="16" t="e">
        <f aca="false">IFERROR(ROUND(MatchData[[#this row],[sally port sum]]/MatchData[[#this row],[sally port avail count]],2),0)</f>
        <v>#VALUE!</v>
      </c>
      <c r="CX234" s="5" t="e">
        <f aca="false">IFERROR(ROUND(MatchData[[#this row],[rock wall sum]]/MatchData[[#this row],[rock wall avail count]],2),0)</f>
        <v>#VALUE!</v>
      </c>
      <c r="CY234" s="5" t="e">
        <f aca="false">IFERROR(ROUND(MatchData[[#this row],[rough terrain sum]]/MatchData[[#this row],[rough terrain avail count]],2),0)</f>
        <v>#VALUE!</v>
      </c>
      <c r="CZ234" s="5" t="e">
        <f aca="false">IFERROR(ROUND(MatchData[[#this row],[low bar sum]]/MatchData[[#this row],[low bar avail count]],2),0)</f>
        <v>#VALUE!</v>
      </c>
      <c r="DA234" s="16" t="e">
        <f aca="false">SUM(MatchData[[#this row],[cheval sum]:[low bar sum]])/MatchData[match count]</f>
        <v>#VALUE!</v>
      </c>
      <c r="DB234" s="16" t="n">
        <f aca="false">MAX(IF(C$2:C$74=C234,BP$2:BP$74))</f>
        <v>-1.79769313486232E+308</v>
      </c>
      <c r="DC234" s="16" t="e">
        <f aca="false">AVERAGEIF(MatchData[team],MatchData[[#this row],[team]],MatchData[total score])</f>
        <v>#VALUE!</v>
      </c>
      <c r="DD234" s="16" t="e">
        <f aca="false">ROUND(AVERAGEIF(MatchData[team],MatchData[team],MatchData[climb or challenge flag]),2)</f>
        <v>#VALUE!</v>
      </c>
    </row>
    <row r="235" customFormat="false" ht="14.5" hidden="false" customHeight="false" outlineLevel="0" collapsed="false">
      <c r="A235" s="20" t="s">
        <v>108</v>
      </c>
      <c r="B235" s="21" t="n">
        <v>39</v>
      </c>
      <c r="C235" s="15" t="n">
        <v>5977</v>
      </c>
      <c r="D235" s="5" t="s">
        <v>113</v>
      </c>
      <c r="E235" s="5" t="s">
        <v>120</v>
      </c>
      <c r="G235" s="16"/>
      <c r="I235" s="16"/>
      <c r="J235" s="5" t="n">
        <v>1</v>
      </c>
      <c r="K235" s="16"/>
      <c r="L235" s="5" t="n">
        <v>1</v>
      </c>
      <c r="N235" s="5" t="n">
        <v>1</v>
      </c>
      <c r="O235" s="0"/>
      <c r="P235" s="5" t="n">
        <v>1</v>
      </c>
      <c r="Q235" s="5" t="n">
        <v>1</v>
      </c>
      <c r="R235" s="0"/>
      <c r="S235" s="16"/>
      <c r="T235" s="0"/>
      <c r="U235" s="16"/>
      <c r="V235" s="16"/>
      <c r="W235" s="0"/>
      <c r="AD235" s="16" t="n">
        <v>1</v>
      </c>
      <c r="AE235" s="5"/>
      <c r="AF235" s="16"/>
      <c r="AG235" s="16"/>
      <c r="AH235" s="16"/>
      <c r="AJ235" s="16"/>
      <c r="AL235" s="16"/>
      <c r="AN235" s="16"/>
      <c r="AP235" s="16" t="n">
        <v>2</v>
      </c>
      <c r="AR235" s="16"/>
      <c r="AT235" s="16"/>
      <c r="AU235" s="16"/>
      <c r="AV235" s="16"/>
      <c r="AW235" s="16"/>
      <c r="AX235" s="16"/>
      <c r="AY235" s="16"/>
      <c r="AZ235" s="16"/>
      <c r="BB235" s="16"/>
      <c r="BC235" s="16" t="e">
        <f aca="false">MatchData[cheval scored crossings]*5</f>
        <v>#VALUE!</v>
      </c>
      <c r="BD235" s="16" t="e">
        <f aca="false">MatchData[moat scored crosings]*5</f>
        <v>#VALUE!</v>
      </c>
      <c r="BE235" s="16" t="e">
        <f aca="false">MatchData[ramparts scored crossings]*5</f>
        <v>#VALUE!</v>
      </c>
      <c r="BF235" s="16" t="e">
        <f aca="false">MatchData[drawbridge scored crossings]*5</f>
        <v>#VALUE!</v>
      </c>
      <c r="BG235" s="16" t="e">
        <f aca="false">MatchData[sally port scored crossings]*5</f>
        <v>#VALUE!</v>
      </c>
      <c r="BH235" s="16" t="e">
        <f aca="false">MatchData[rock wall scored crossings]*5</f>
        <v>#VALUE!</v>
      </c>
      <c r="BI235" s="16" t="e">
        <f aca="false">MatchData[rough terrain scored crossings]*5</f>
        <v>#VALUE!</v>
      </c>
      <c r="BJ235" s="16" t="e">
        <f aca="false">MatchData[low bar scored crossings]*5</f>
        <v>#VALUE!</v>
      </c>
      <c r="BK235" s="16" t="e">
        <f aca="false">SUM(MatchData[[#this row],[low bar teleop crossings]:[rough terrain scored crossings]])</f>
        <v>#VALUE!</v>
      </c>
      <c r="BL235" s="16" t="e">
        <f aca="false">IFERROR(IF(OR(MatchData[[#this row],[challenge flag]],MatchData[[#this row],[climb flag]]),1,0),0)</f>
        <v>#VALUE!</v>
      </c>
      <c r="BM235" s="16" t="e">
        <f aca="false">MatchData[auto high goals]*10+MatchData[teleop high goals]*5</f>
        <v>#VALUE!</v>
      </c>
      <c r="BN235" s="16" t="e">
        <f aca="false">MatchData[auto low goals]*5+MatchData[teleop low goals]*2</f>
        <v>#VALUE!</v>
      </c>
      <c r="BO235" s="16" t="e">
        <f aca="false">MatchData[high goal score]+MatchData[low goal score]</f>
        <v>#VALUE!</v>
      </c>
      <c r="BP235" s="16" t="e">
        <f aca="false">MatchData[teleop high goals]+MatchData[teleop low goals]</f>
        <v>#VALUE!</v>
      </c>
      <c r="BQ235" s="16" t="e">
        <f aca="false">MatchData[[#this row],[auto reach flag]]*2+SUM(MatchData[[#this row],[portcullis auto crossings]:[low bar auto crossings]])*10+MatchData[[#this row],[auto low goals]]*5+MatchData[auto high goals]*10</f>
        <v>#VALUE!</v>
      </c>
      <c r="BR235" s="16" t="e">
        <f aca="false">SUM(MatchData[[#this row],[cheval teleop crossing score]:[low bar teleop crossing score]])</f>
        <v>#VALUE!</v>
      </c>
      <c r="BS235" s="16" t="e">
        <f aca="false">SUMIF(MatchData[team],MatchData[[#this row],[team]],MatchData[total auto score])/MatchData[match count]</f>
        <v>#VALUE!</v>
      </c>
      <c r="BT235" s="16" t="e">
        <f aca="false">MatchData[challenge flag]*5</f>
        <v>#VALUE!</v>
      </c>
      <c r="BU235" s="16" t="e">
        <f aca="false">MatchData[climb flag]*15</f>
        <v>#VALUE!</v>
      </c>
      <c r="BV235" s="16" t="e">
        <f aca="false">SUM(MatchData[[#this row],[total goal score]],MatchData[[#this row],[crossing score]],MatchData[[#this row],[challenge score]],MatchData[[#this row],[climb score]],MatchData[[#this row],[total auto score]])</f>
        <v>#VALUE!</v>
      </c>
      <c r="BW235" s="16" t="e">
        <f aca="false">ROUND(SUMIF(MatchData[team],MatchData[[#this row],[team]],MatchData[teleop low goals])/COUNTIF(MatchData[team],MatchData[[#this row],[team]]),2)</f>
        <v>#VALUE!</v>
      </c>
      <c r="BX235" s="16" t="e">
        <f aca="false">ROUND(SUMIF(MatchData[team],MatchData[[#this row],[team]],MatchData[teleop high goals])/COUNTIF(MatchData[team],MatchData[[#this row],[team]]),2)</f>
        <v>#VALUE!</v>
      </c>
      <c r="BY235" s="16" t="e">
        <f aca="false">COUNTIF(MatchData[team],MatchData[[#this row],[team]])</f>
        <v>#VALUE!</v>
      </c>
      <c r="BZ235" s="16" t="e">
        <f aca="false">SUMIF(MatchData[team],MatchData[[#this row],[team]],MatchData[portcullis available])</f>
        <v>#VALUE!</v>
      </c>
      <c r="CA235" s="16" t="e">
        <f aca="false">SUMIF(MatchData[team],MatchData[[#this row],[team]],MatchData[cheval available])</f>
        <v>#VALUE!</v>
      </c>
      <c r="CB235" s="16" t="e">
        <f aca="false">SUMIF(MatchData[team],MatchData[[#this row],[team]],MatchData[moat available])</f>
        <v>#VALUE!</v>
      </c>
      <c r="CC235" s="16" t="e">
        <f aca="false">SUMIF(MatchData[team],MatchData[[#this row],[team]],MatchData[ramparts available])</f>
        <v>#VALUE!</v>
      </c>
      <c r="CD235" s="16" t="e">
        <f aca="false">SUMIF(MatchData[team],MatchData[[#this row],[team]],MatchData[drawbridge available])</f>
        <v>#VALUE!</v>
      </c>
      <c r="CE235" s="16" t="e">
        <f aca="false">SUMIF(MatchData[team],MatchData[[#this row],[team]],MatchData[sally port available])</f>
        <v>#VALUE!</v>
      </c>
      <c r="CF235" s="16" t="e">
        <f aca="false">SUMIF(MatchData[team],MatchData[[#this row],[team]],MatchData[rock wall available])</f>
        <v>#VALUE!</v>
      </c>
      <c r="CG235" s="16" t="e">
        <f aca="false">SUMIF(MatchData[team],MatchData[[#this row],[team]],MatchData[rough terrain available])</f>
        <v>#VALUE!</v>
      </c>
      <c r="CH235" s="16" t="e">
        <f aca="false">SUMIF(MatchData[team],MatchData[[#this row],[team]],MatchData[low bar available])</f>
        <v>#VALUE!</v>
      </c>
      <c r="CI235" s="16" t="e">
        <f aca="false">SUMIF(MatchData[team],MatchData[[#this row],[team]],MatchData[portcullis teleop crossings]:MatchData[portcullis scored crossings])</f>
        <v>#VALUE!</v>
      </c>
      <c r="CJ235" s="16" t="e">
        <f aca="false">SUMIF(MatchData[team],MatchData[[#this row],[team]],MatchData[cheval teleop crossings])+SUMIF(MatchData[team],MatchData[[#this row],[team]],MatchData[cheval scored crossings])</f>
        <v>#VALUE!</v>
      </c>
      <c r="CK235" s="16" t="e">
        <f aca="false">SUMIF(MatchData[team],MatchData[[#this row],[team]],MatchData[moat teleop crossings])+SUMIF(MatchData[team],MatchData[[#this row],[team]],MatchData[moat scored crosings])</f>
        <v>#VALUE!</v>
      </c>
      <c r="CL235" s="16" t="e">
        <f aca="false">SUMIF(MatchData[team],MatchData[[#this row],[team]],MatchData[ramparts teleop crossings])+SUMIF(MatchData[team],MatchData[[#this row],[team]],MatchData[ramparts scored crossings])</f>
        <v>#VALUE!</v>
      </c>
      <c r="CM235" s="16" t="e">
        <f aca="false">SUMIF(MatchData[team],MatchData[[#this row],[team]],MatchData[drawbridge teleop crossings])+SUMIF(MatchData[team],MatchData[[#this row],[team]],MatchData[drawbridge scored crossings])</f>
        <v>#VALUE!</v>
      </c>
      <c r="CN235" s="16" t="e">
        <f aca="false">SUMIF(MatchData[team],MatchData[[#this row],[team]],MatchData[sally port teleop crossings])+SUMIF(MatchData[team],MatchData[[#this row],[team]],MatchData[sally port scored crossings])</f>
        <v>#VALUE!</v>
      </c>
      <c r="CO235" s="16" t="e">
        <f aca="false">SUMIF(MatchData[team],MatchData[[#this row],[team]],MatchData[rock wall teleop crossings])+SUMIF(MatchData[team],MatchData[[#this row],[team]],MatchData[rock wall scored crossings])</f>
        <v>#VALUE!</v>
      </c>
      <c r="CP235" s="16" t="e">
        <f aca="false">SUMIF(MatchData[team],MatchData[[#this row],[team]],MatchData[rough terrain teleop crossings])+SUMIF(MatchData[team],MatchData[[#this row],[team]],MatchData[rough terrain scored crossings])</f>
        <v>#VALUE!</v>
      </c>
      <c r="CQ235" s="16" t="e">
        <f aca="false">SUMIF(MatchData[team],MatchData[[#this row],[team]],MatchData[low bar teleop crossings])+SUMIF(MatchData[team],MatchData[[#this row],[team]],MatchData[low bar scored crossings])</f>
        <v>#VALUE!</v>
      </c>
      <c r="CR235" s="16" t="e">
        <f aca="false">IFERROR(ROUND(MatchData[[#this row],[portcullis sum]]/MatchData[[#this row],[portcullis avail count]],2),0)</f>
        <v>#VALUE!</v>
      </c>
      <c r="CS235" s="16" t="e">
        <f aca="false">IFERROR(ROUND(MatchData[[#this row],[cheval sum]]/MatchData[[#this row],[cheval avail count]],2),0)</f>
        <v>#VALUE!</v>
      </c>
      <c r="CT235" s="16" t="e">
        <f aca="false">IFERROR(ROUND(MatchData[[#this row],[moat sum]]/MatchData[[#this row],[moat avail count]],2),0)</f>
        <v>#VALUE!</v>
      </c>
      <c r="CU235" s="16" t="e">
        <f aca="false">IFERROR(ROUND(MatchData[[#this row],[ramparts sum]]/MatchData[[#this row],[ramparts avail count]],2),0)</f>
        <v>#VALUE!</v>
      </c>
      <c r="CV235" s="16" t="e">
        <f aca="false">IFERROR(ROUND(MatchData[[#this row],[drawbridge sum]]/MatchData[[#this row],[drawbridge avail countigh6]],2),0)</f>
        <v>#VALUE!</v>
      </c>
      <c r="CW235" s="16" t="e">
        <f aca="false">IFERROR(ROUND(MatchData[[#this row],[sally port sum]]/MatchData[[#this row],[sally port avail count]],2),0)</f>
        <v>#VALUE!</v>
      </c>
      <c r="CX235" s="5" t="e">
        <f aca="false">IFERROR(ROUND(MatchData[[#this row],[rock wall sum]]/MatchData[[#this row],[rock wall avail count]],2),0)</f>
        <v>#VALUE!</v>
      </c>
      <c r="CY235" s="5" t="e">
        <f aca="false">IFERROR(ROUND(MatchData[[#this row],[rough terrain sum]]/MatchData[[#this row],[rough terrain avail count]],2),0)</f>
        <v>#VALUE!</v>
      </c>
      <c r="CZ235" s="5" t="e">
        <f aca="false">IFERROR(ROUND(MatchData[[#this row],[low bar sum]]/MatchData[[#this row],[low bar avail count]],2),0)</f>
        <v>#VALUE!</v>
      </c>
      <c r="DA235" s="16" t="e">
        <f aca="false">SUM(MatchData[[#this row],[cheval sum]:[low bar sum]])/MatchData[match count]</f>
        <v>#VALUE!</v>
      </c>
      <c r="DB235" s="16" t="n">
        <f aca="false">MAX(IF(C$2:C$74=C235,BP$2:BP$74))</f>
        <v>-1.79769313486232E+308</v>
      </c>
      <c r="DC235" s="16" t="e">
        <f aca="false">AVERAGEIF(MatchData[team],MatchData[[#this row],[team]],MatchData[total score])</f>
        <v>#VALUE!</v>
      </c>
      <c r="DD235" s="16" t="e">
        <f aca="false">ROUND(AVERAGEIF(MatchData[team],MatchData[team],MatchData[climb or challenge flag]),2)</f>
        <v>#VALUE!</v>
      </c>
    </row>
    <row r="236" customFormat="false" ht="14.5" hidden="false" customHeight="false" outlineLevel="0" collapsed="false">
      <c r="A236" s="20" t="s">
        <v>108</v>
      </c>
      <c r="B236" s="22" t="n">
        <v>40</v>
      </c>
      <c r="C236" s="15" t="n">
        <v>1425</v>
      </c>
      <c r="D236" s="5" t="s">
        <v>109</v>
      </c>
      <c r="E236" s="5" t="s">
        <v>125</v>
      </c>
      <c r="G236" s="16"/>
      <c r="I236" s="16" t="n">
        <v>4</v>
      </c>
      <c r="J236" s="5" t="n">
        <v>1</v>
      </c>
      <c r="K236" s="16" t="n">
        <v>1</v>
      </c>
      <c r="M236" s="5" t="n">
        <v>1</v>
      </c>
      <c r="N236" s="0"/>
      <c r="O236" s="0"/>
      <c r="P236" s="5" t="n">
        <v>1</v>
      </c>
      <c r="Q236" s="5" t="n">
        <v>1</v>
      </c>
      <c r="R236" s="0"/>
      <c r="S236" s="16"/>
      <c r="T236" s="0"/>
      <c r="U236" s="16"/>
      <c r="V236" s="16" t="n">
        <v>1</v>
      </c>
      <c r="W236" s="0"/>
      <c r="AD236" s="16"/>
      <c r="AE236" s="5"/>
      <c r="AF236" s="16"/>
      <c r="AG236" s="16"/>
      <c r="AH236" s="16"/>
      <c r="AI236" s="5" t="n">
        <v>1</v>
      </c>
      <c r="AJ236" s="16"/>
      <c r="AL236" s="16"/>
      <c r="AN236" s="16"/>
      <c r="AO236" s="5" t="n">
        <v>1</v>
      </c>
      <c r="AP236" s="16" t="n">
        <v>2</v>
      </c>
      <c r="AR236" s="16"/>
      <c r="AT236" s="16"/>
      <c r="AU236" s="16"/>
      <c r="AV236" s="16"/>
      <c r="AW236" s="16" t="n">
        <v>1</v>
      </c>
      <c r="AX236" s="16" t="n">
        <v>1</v>
      </c>
      <c r="AY236" s="16"/>
      <c r="AZ236" s="16"/>
      <c r="BB236" s="16" t="n">
        <v>1</v>
      </c>
      <c r="BC236" s="16" t="e">
        <f aca="false">MatchData[cheval scored crossings]*5</f>
        <v>#VALUE!</v>
      </c>
      <c r="BD236" s="16" t="e">
        <f aca="false">MatchData[moat scored crosings]*5</f>
        <v>#VALUE!</v>
      </c>
      <c r="BE236" s="16" t="e">
        <f aca="false">MatchData[ramparts scored crossings]*5</f>
        <v>#VALUE!</v>
      </c>
      <c r="BF236" s="16" t="e">
        <f aca="false">MatchData[drawbridge scored crossings]*5</f>
        <v>#VALUE!</v>
      </c>
      <c r="BG236" s="16" t="e">
        <f aca="false">MatchData[sally port scored crossings]*5</f>
        <v>#VALUE!</v>
      </c>
      <c r="BH236" s="16" t="e">
        <f aca="false">MatchData[rock wall scored crossings]*5</f>
        <v>#VALUE!</v>
      </c>
      <c r="BI236" s="16" t="e">
        <f aca="false">MatchData[rough terrain scored crossings]*5</f>
        <v>#VALUE!</v>
      </c>
      <c r="BJ236" s="16" t="e">
        <f aca="false">MatchData[low bar scored crossings]*5</f>
        <v>#VALUE!</v>
      </c>
      <c r="BK236" s="16" t="e">
        <f aca="false">SUM(MatchData[[#this row],[low bar teleop crossings]:[rough terrain scored crossings]])</f>
        <v>#VALUE!</v>
      </c>
      <c r="BL236" s="16" t="e">
        <f aca="false">IFERROR(IF(OR(MatchData[[#this row],[challenge flag]],MatchData[[#this row],[climb flag]]),1,0),0)</f>
        <v>#VALUE!</v>
      </c>
      <c r="BM236" s="16" t="e">
        <f aca="false">MatchData[auto high goals]*10+MatchData[teleop high goals]*5</f>
        <v>#VALUE!</v>
      </c>
      <c r="BN236" s="16" t="e">
        <f aca="false">MatchData[auto low goals]*5+MatchData[teleop low goals]*2</f>
        <v>#VALUE!</v>
      </c>
      <c r="BO236" s="16" t="e">
        <f aca="false">MatchData[high goal score]+MatchData[low goal score]</f>
        <v>#VALUE!</v>
      </c>
      <c r="BP236" s="16" t="e">
        <f aca="false">MatchData[teleop high goals]+MatchData[teleop low goals]</f>
        <v>#VALUE!</v>
      </c>
      <c r="BQ236" s="16" t="e">
        <f aca="false">MatchData[[#this row],[auto reach flag]]*2+SUM(MatchData[[#this row],[portcullis auto crossings]:[low bar auto crossings]])*10+MatchData[[#this row],[auto low goals]]*5+MatchData[auto high goals]*10</f>
        <v>#VALUE!</v>
      </c>
      <c r="BR236" s="16" t="e">
        <f aca="false">SUM(MatchData[[#this row],[cheval teleop crossing score]:[low bar teleop crossing score]])</f>
        <v>#VALUE!</v>
      </c>
      <c r="BS236" s="16" t="e">
        <f aca="false">SUMIF(MatchData[team],MatchData[[#this row],[team]],MatchData[total auto score])/MatchData[match count]</f>
        <v>#VALUE!</v>
      </c>
      <c r="BT236" s="16" t="e">
        <f aca="false">MatchData[challenge flag]*5</f>
        <v>#VALUE!</v>
      </c>
      <c r="BU236" s="16" t="e">
        <f aca="false">MatchData[climb flag]*15</f>
        <v>#VALUE!</v>
      </c>
      <c r="BV236" s="16" t="e">
        <f aca="false">SUM(MatchData[[#this row],[total goal score]],MatchData[[#this row],[crossing score]],MatchData[[#this row],[challenge score]],MatchData[[#this row],[climb score]],MatchData[[#this row],[total auto score]])</f>
        <v>#VALUE!</v>
      </c>
      <c r="BW236" s="16" t="e">
        <f aca="false">ROUND(SUMIF(MatchData[team],MatchData[[#this row],[team]],MatchData[teleop low goals])/COUNTIF(MatchData[team],MatchData[[#this row],[team]]),2)</f>
        <v>#VALUE!</v>
      </c>
      <c r="BX236" s="16" t="e">
        <f aca="false">ROUND(SUMIF(MatchData[team],MatchData[[#this row],[team]],MatchData[teleop high goals])/COUNTIF(MatchData[team],MatchData[[#this row],[team]]),2)</f>
        <v>#VALUE!</v>
      </c>
      <c r="BY236" s="16" t="e">
        <f aca="false">COUNTIF(MatchData[team],MatchData[[#this row],[team]])</f>
        <v>#VALUE!</v>
      </c>
      <c r="BZ236" s="16" t="e">
        <f aca="false">SUMIF(MatchData[team],MatchData[[#this row],[team]],MatchData[portcullis available])</f>
        <v>#VALUE!</v>
      </c>
      <c r="CA236" s="16" t="e">
        <f aca="false">SUMIF(MatchData[team],MatchData[[#this row],[team]],MatchData[cheval available])</f>
        <v>#VALUE!</v>
      </c>
      <c r="CB236" s="16" t="e">
        <f aca="false">SUMIF(MatchData[team],MatchData[[#this row],[team]],MatchData[moat available])</f>
        <v>#VALUE!</v>
      </c>
      <c r="CC236" s="16" t="e">
        <f aca="false">SUMIF(MatchData[team],MatchData[[#this row],[team]],MatchData[ramparts available])</f>
        <v>#VALUE!</v>
      </c>
      <c r="CD236" s="16" t="e">
        <f aca="false">SUMIF(MatchData[team],MatchData[[#this row],[team]],MatchData[drawbridge available])</f>
        <v>#VALUE!</v>
      </c>
      <c r="CE236" s="16" t="e">
        <f aca="false">SUMIF(MatchData[team],MatchData[[#this row],[team]],MatchData[sally port available])</f>
        <v>#VALUE!</v>
      </c>
      <c r="CF236" s="16" t="e">
        <f aca="false">SUMIF(MatchData[team],MatchData[[#this row],[team]],MatchData[rock wall available])</f>
        <v>#VALUE!</v>
      </c>
      <c r="CG236" s="16" t="e">
        <f aca="false">SUMIF(MatchData[team],MatchData[[#this row],[team]],MatchData[rough terrain available])</f>
        <v>#VALUE!</v>
      </c>
      <c r="CH236" s="16" t="e">
        <f aca="false">SUMIF(MatchData[team],MatchData[[#this row],[team]],MatchData[low bar available])</f>
        <v>#VALUE!</v>
      </c>
      <c r="CI236" s="16" t="e">
        <f aca="false">SUMIF(MatchData[team],MatchData[[#this row],[team]],MatchData[portcullis teleop crossings]) + SUMIF(MatchData[team],MatchData[[#this row],[team]],MatchData[portcullis scored crossings])</f>
        <v>#VALUE!</v>
      </c>
      <c r="CJ236" s="16" t="e">
        <f aca="false">SUMIF(MatchData[team],MatchData[[#this row],[team]],MatchData[cheval teleop crossings])+SUMIF(MatchData[team],MatchData[[#this row],[team]],MatchData[cheval scored crossings])</f>
        <v>#VALUE!</v>
      </c>
      <c r="CK236" s="16" t="e">
        <f aca="false">SUMIF(MatchData[team],MatchData[[#this row],[team]],MatchData[moat teleop crossings])+SUMIF(MatchData[team],MatchData[[#this row],[team]],MatchData[moat scored crosings])</f>
        <v>#VALUE!</v>
      </c>
      <c r="CL236" s="16" t="e">
        <f aca="false">SUMIF(MatchData[team],MatchData[[#this row],[team]],MatchData[ramparts teleop crossings])+SUMIF(MatchData[team],MatchData[[#this row],[team]],MatchData[ramparts scored crossings])</f>
        <v>#VALUE!</v>
      </c>
      <c r="CM236" s="16" t="e">
        <f aca="false">SUMIF(MatchData[team],MatchData[[#this row],[team]],MatchData[drawbridge teleop crossings])+SUMIF(MatchData[team],MatchData[[#this row],[team]],MatchData[drawbridge scored crossings])</f>
        <v>#VALUE!</v>
      </c>
      <c r="CN236" s="16" t="e">
        <f aca="false">SUMIF(MatchData[team],MatchData[[#this row],[team]],MatchData[sally port teleop crossings])+SUMIF(MatchData[team],MatchData[[#this row],[team]],MatchData[sally port scored crossings])</f>
        <v>#VALUE!</v>
      </c>
      <c r="CO236" s="16" t="e">
        <f aca="false">SUMIF(MatchData[team],MatchData[[#this row],[team]],MatchData[rock wall teleop crossings])+SUMIF(MatchData[team],MatchData[[#this row],[team]],MatchData[rock wall scored crossings])</f>
        <v>#VALUE!</v>
      </c>
      <c r="CP236" s="16" t="e">
        <f aca="false">SUMIF(MatchData[team],MatchData[[#this row],[team]],MatchData[rough terrain teleop crossings])+SUMIF(MatchData[team],MatchData[[#this row],[team]],MatchData[rough terrain scored crossings])</f>
        <v>#VALUE!</v>
      </c>
      <c r="CQ236" s="16" t="e">
        <f aca="false">SUMIF(MatchData[team],MatchData[[#this row],[team]],MatchData[low bar teleop crossings])+SUMIF(MatchData[team],MatchData[[#this row],[team]],MatchData[low bar scored crossings])</f>
        <v>#VALUE!</v>
      </c>
      <c r="CR236" s="16" t="e">
        <f aca="false">IFERROR(ROUND(MatchData[[#this row],[portcullis sum]]/MatchData[[#this row],[portcullis avail count]],2),0)</f>
        <v>#VALUE!</v>
      </c>
      <c r="CS236" s="16" t="e">
        <f aca="false">IFERROR(ROUND(MatchData[[#this row],[cheval sum]]/MatchData[[#this row],[cheval avail count]],2),0)</f>
        <v>#VALUE!</v>
      </c>
      <c r="CT236" s="16" t="e">
        <f aca="false">IFERROR(ROUND(MatchData[[#this row],[moat sum]]/MatchData[[#this row],[moat avail count]],2),0)</f>
        <v>#VALUE!</v>
      </c>
      <c r="CU236" s="16" t="e">
        <f aca="false">IFERROR(ROUND(MatchData[[#this row],[ramparts sum]]/MatchData[[#this row],[ramparts avail count]],2),0)</f>
        <v>#VALUE!</v>
      </c>
      <c r="CV236" s="16" t="e">
        <f aca="false">IFERROR(ROUND(MatchData[[#this row],[drawbridge sum]]/MatchData[[#this row],[drawbridge avail countigh6]],2),0)</f>
        <v>#VALUE!</v>
      </c>
      <c r="CW236" s="16" t="e">
        <f aca="false">IFERROR(ROUND(MatchData[[#this row],[sally port sum]]/MatchData[[#this row],[sally port avail count]],2),0)</f>
        <v>#VALUE!</v>
      </c>
      <c r="CX236" s="5" t="e">
        <f aca="false">IFERROR(ROUND(MatchData[[#this row],[rock wall sum]]/MatchData[[#this row],[rock wall avail count]],2),0)</f>
        <v>#VALUE!</v>
      </c>
      <c r="CY236" s="5" t="e">
        <f aca="false">IFERROR(ROUND(MatchData[[#this row],[rough terrain sum]]/MatchData[[#this row],[rough terrain avail count]],2),0)</f>
        <v>#VALUE!</v>
      </c>
      <c r="CZ236" s="5" t="e">
        <f aca="false">IFERROR(ROUND(MatchData[[#this row],[low bar sum]]/MatchData[[#this row],[low bar avail count]],2),0)</f>
        <v>#VALUE!</v>
      </c>
      <c r="DA236" s="16" t="e">
        <f aca="false">SUM(MatchData[[#this row],[cheval sum]:[low bar sum]])/MatchData[match count]</f>
        <v>#VALUE!</v>
      </c>
      <c r="DB236" s="16" t="n">
        <f aca="false">MAX(IF(C$2:C$74=C236,BP$2:BP$74))</f>
        <v>-1.79769313486232E+308</v>
      </c>
      <c r="DC236" s="16" t="e">
        <f aca="false">AVERAGEIF(MatchData[team],MatchData[[#this row],[team]],MatchData[total score])</f>
        <v>#VALUE!</v>
      </c>
      <c r="DD236" s="16" t="e">
        <f aca="false">ROUND(AVERAGEIF(MatchData[team],MatchData[team],MatchData[climb or challenge flag]),2)</f>
        <v>#VALUE!</v>
      </c>
    </row>
    <row r="237" customFormat="false" ht="14.5" hidden="false" customHeight="false" outlineLevel="0" collapsed="false">
      <c r="A237" s="20" t="s">
        <v>108</v>
      </c>
      <c r="B237" s="21" t="n">
        <v>40</v>
      </c>
      <c r="C237" s="15" t="n">
        <v>2990</v>
      </c>
      <c r="D237" s="5" t="s">
        <v>109</v>
      </c>
      <c r="E237" s="5" t="s">
        <v>118</v>
      </c>
      <c r="G237" s="16"/>
      <c r="I237" s="16"/>
      <c r="J237" s="5" t="n">
        <v>1</v>
      </c>
      <c r="K237" s="16" t="n">
        <v>1</v>
      </c>
      <c r="M237" s="5" t="n">
        <v>1</v>
      </c>
      <c r="N237" s="0"/>
      <c r="O237" s="0"/>
      <c r="P237" s="5" t="n">
        <v>1</v>
      </c>
      <c r="Q237" s="5" t="n">
        <v>1</v>
      </c>
      <c r="R237" s="0"/>
      <c r="S237" s="16" t="n">
        <v>1</v>
      </c>
      <c r="T237" s="0"/>
      <c r="U237" s="16"/>
      <c r="V237" s="16"/>
      <c r="W237" s="0"/>
      <c r="AD237" s="16" t="n">
        <v>1</v>
      </c>
      <c r="AE237" s="5"/>
      <c r="AF237" s="16"/>
      <c r="AG237" s="16"/>
      <c r="AH237" s="16"/>
      <c r="AJ237" s="16" t="n">
        <v>1</v>
      </c>
      <c r="AL237" s="16"/>
      <c r="AN237" s="16"/>
      <c r="AP237" s="16"/>
      <c r="AR237" s="16" t="n">
        <v>2</v>
      </c>
      <c r="AT237" s="16"/>
      <c r="AU237" s="16"/>
      <c r="AV237" s="16"/>
      <c r="AW237" s="16"/>
      <c r="AX237" s="16"/>
      <c r="AY237" s="16"/>
      <c r="AZ237" s="16" t="n">
        <v>1</v>
      </c>
      <c r="BB237" s="16" t="n">
        <v>1</v>
      </c>
      <c r="BC237" s="16" t="e">
        <f aca="false">MatchData[cheval scored crossings]*5</f>
        <v>#VALUE!</v>
      </c>
      <c r="BD237" s="16" t="e">
        <f aca="false">MatchData[moat scored crosings]*5</f>
        <v>#VALUE!</v>
      </c>
      <c r="BE237" s="16" t="e">
        <f aca="false">MatchData[ramparts scored crossings]*5</f>
        <v>#VALUE!</v>
      </c>
      <c r="BF237" s="16" t="e">
        <f aca="false">MatchData[drawbridge scored crossings]*5</f>
        <v>#VALUE!</v>
      </c>
      <c r="BG237" s="16" t="e">
        <f aca="false">MatchData[sally port scored crossings]*5</f>
        <v>#VALUE!</v>
      </c>
      <c r="BH237" s="16" t="e">
        <f aca="false">MatchData[rock wall scored crossings]*5</f>
        <v>#VALUE!</v>
      </c>
      <c r="BI237" s="16" t="e">
        <f aca="false">MatchData[rough terrain scored crossings]*5</f>
        <v>#VALUE!</v>
      </c>
      <c r="BJ237" s="16" t="e">
        <f aca="false">MatchData[low bar scored crossings]*5</f>
        <v>#VALUE!</v>
      </c>
      <c r="BK237" s="16" t="e">
        <f aca="false">SUM(MatchData[[#this row],[low bar teleop crossings]:[rough terrain scored crossings]])</f>
        <v>#VALUE!</v>
      </c>
      <c r="BL237" s="16" t="e">
        <f aca="false">IFERROR(IF(OR(MatchData[[#this row],[challenge flag]],MatchData[[#this row],[climb flag]]),1,0),0)</f>
        <v>#VALUE!</v>
      </c>
      <c r="BM237" s="16" t="e">
        <f aca="false">MatchData[auto high goals]*10+MatchData[teleop high goals]*5</f>
        <v>#VALUE!</v>
      </c>
      <c r="BN237" s="16" t="e">
        <f aca="false">MatchData[auto low goals]*5+MatchData[teleop low goals]*2</f>
        <v>#VALUE!</v>
      </c>
      <c r="BO237" s="16" t="e">
        <f aca="false">MatchData[high goal score]+MatchData[low goal score]</f>
        <v>#VALUE!</v>
      </c>
      <c r="BP237" s="16" t="e">
        <f aca="false">MatchData[teleop high goals]+MatchData[teleop low goals]</f>
        <v>#VALUE!</v>
      </c>
      <c r="BQ237" s="16" t="e">
        <f aca="false">MatchData[[#this row],[auto reach flag]]*2+SUM(MatchData[[#this row],[portcullis auto crossings]:[low bar auto crossings]])*10+MatchData[[#this row],[auto low goals]]*5+MatchData[auto high goals]*10</f>
        <v>#VALUE!</v>
      </c>
      <c r="BR237" s="16" t="e">
        <f aca="false">SUM(MatchData[[#this row],[cheval teleop crossing score]:[low bar teleop crossing score]])</f>
        <v>#VALUE!</v>
      </c>
      <c r="BS237" s="16" t="e">
        <f aca="false">SUMIF(MatchData[team],MatchData[[#this row],[team]],MatchData[total auto score])/MatchData[match count]</f>
        <v>#VALUE!</v>
      </c>
      <c r="BT237" s="16" t="e">
        <f aca="false">MatchData[challenge flag]*5</f>
        <v>#VALUE!</v>
      </c>
      <c r="BU237" s="16" t="e">
        <f aca="false">MatchData[climb flag]*15</f>
        <v>#VALUE!</v>
      </c>
      <c r="BV237" s="16" t="e">
        <f aca="false">SUM(MatchData[[#this row],[total goal score]],MatchData[[#this row],[crossing score]],MatchData[[#this row],[challenge score]],MatchData[[#this row],[climb score]],MatchData[[#this row],[total auto score]])</f>
        <v>#VALUE!</v>
      </c>
      <c r="BW237" s="16" t="e">
        <f aca="false">ROUND(SUMIF(MatchData[team],MatchData[[#this row],[team]],MatchData[teleop low goals])/COUNTIF(MatchData[team],MatchData[[#this row],[team]]),2)</f>
        <v>#VALUE!</v>
      </c>
      <c r="BX237" s="16" t="e">
        <f aca="false">ROUND(SUMIF(MatchData[team],MatchData[[#this row],[team]],MatchData[teleop high goals])/COUNTIF(MatchData[team],MatchData[[#this row],[team]]),2)</f>
        <v>#VALUE!</v>
      </c>
      <c r="BY237" s="16" t="e">
        <f aca="false">COUNTIF(MatchData[team],MatchData[[#this row],[team]])</f>
        <v>#VALUE!</v>
      </c>
      <c r="BZ237" s="16" t="e">
        <f aca="false">SUMIF(MatchData[team],MatchData[[#this row],[team]],MatchData[portcullis available])</f>
        <v>#VALUE!</v>
      </c>
      <c r="CA237" s="16" t="e">
        <f aca="false">SUMIF(MatchData[team],MatchData[[#this row],[team]],MatchData[cheval available])</f>
        <v>#VALUE!</v>
      </c>
      <c r="CB237" s="16" t="e">
        <f aca="false">SUMIF(MatchData[team],MatchData[[#this row],[team]],MatchData[moat available])</f>
        <v>#VALUE!</v>
      </c>
      <c r="CC237" s="16" t="e">
        <f aca="false">SUMIF(MatchData[team],MatchData[[#this row],[team]],MatchData[ramparts available])</f>
        <v>#VALUE!</v>
      </c>
      <c r="CD237" s="16" t="e">
        <f aca="false">SUMIF(MatchData[team],MatchData[[#this row],[team]],MatchData[drawbridge available])</f>
        <v>#VALUE!</v>
      </c>
      <c r="CE237" s="16" t="e">
        <f aca="false">SUMIF(MatchData[team],MatchData[[#this row],[team]],MatchData[sally port available])</f>
        <v>#VALUE!</v>
      </c>
      <c r="CF237" s="16" t="e">
        <f aca="false">SUMIF(MatchData[team],MatchData[[#this row],[team]],MatchData[rock wall available])</f>
        <v>#VALUE!</v>
      </c>
      <c r="CG237" s="16" t="e">
        <f aca="false">SUMIF(MatchData[team],MatchData[[#this row],[team]],MatchData[rough terrain available])</f>
        <v>#VALUE!</v>
      </c>
      <c r="CH237" s="16" t="e">
        <f aca="false">SUMIF(MatchData[team],MatchData[[#this row],[team]],MatchData[low bar available])</f>
        <v>#VALUE!</v>
      </c>
      <c r="CI237" s="16" t="e">
        <f aca="false">SUMIF(MatchData[team],MatchData[[#this row],[team]],MatchData[portcullis teleop crossings]:MatchData[portcullis scored crossings])</f>
        <v>#VALUE!</v>
      </c>
      <c r="CJ237" s="16" t="e">
        <f aca="false">SUMIF(MatchData[team],MatchData[[#this row],[team]],MatchData[cheval teleop crossings])+SUMIF(MatchData[team],MatchData[[#this row],[team]],MatchData[cheval scored crossings])</f>
        <v>#VALUE!</v>
      </c>
      <c r="CK237" s="16" t="e">
        <f aca="false">SUMIF(MatchData[team],MatchData[[#this row],[team]],MatchData[moat teleop crossings])+SUMIF(MatchData[team],MatchData[[#this row],[team]],MatchData[moat scored crosings])</f>
        <v>#VALUE!</v>
      </c>
      <c r="CL237" s="16" t="e">
        <f aca="false">SUMIF(MatchData[team],MatchData[[#this row],[team]],MatchData[ramparts teleop crossings])+SUMIF(MatchData[team],MatchData[[#this row],[team]],MatchData[ramparts scored crossings])</f>
        <v>#VALUE!</v>
      </c>
      <c r="CM237" s="16" t="e">
        <f aca="false">SUMIF(MatchData[team],MatchData[[#this row],[team]],MatchData[drawbridge teleop crossings])+SUMIF(MatchData[team],MatchData[[#this row],[team]],MatchData[drawbridge scored crossings])</f>
        <v>#VALUE!</v>
      </c>
      <c r="CN237" s="16" t="e">
        <f aca="false">SUMIF(MatchData[team],MatchData[[#this row],[team]],MatchData[sally port teleop crossings])+SUMIF(MatchData[team],MatchData[[#this row],[team]],MatchData[sally port scored crossings])</f>
        <v>#VALUE!</v>
      </c>
      <c r="CO237" s="16" t="e">
        <f aca="false">SUMIF(MatchData[team],MatchData[[#this row],[team]],MatchData[rock wall teleop crossings])+SUMIF(MatchData[team],MatchData[[#this row],[team]],MatchData[rock wall scored crossings])</f>
        <v>#VALUE!</v>
      </c>
      <c r="CP237" s="16" t="e">
        <f aca="false">SUMIF(MatchData[team],MatchData[[#this row],[team]],MatchData[rough terrain teleop crossings])+SUMIF(MatchData[team],MatchData[[#this row],[team]],MatchData[rough terrain scored crossings])</f>
        <v>#VALUE!</v>
      </c>
      <c r="CQ237" s="16" t="e">
        <f aca="false">SUMIF(MatchData[team],MatchData[[#this row],[team]],MatchData[low bar teleop crossings])+SUMIF(MatchData[team],MatchData[[#this row],[team]],MatchData[low bar scored crossings])</f>
        <v>#VALUE!</v>
      </c>
      <c r="CR237" s="16" t="e">
        <f aca="false">IFERROR(ROUND(MatchData[[#this row],[portcullis sum]]/MatchData[[#this row],[portcullis avail count]],2),0)</f>
        <v>#VALUE!</v>
      </c>
      <c r="CS237" s="16" t="e">
        <f aca="false">IFERROR(ROUND(MatchData[[#this row],[cheval sum]]/MatchData[[#this row],[cheval avail count]],2),0)</f>
        <v>#VALUE!</v>
      </c>
      <c r="CT237" s="16" t="e">
        <f aca="false">IFERROR(ROUND(MatchData[[#this row],[moat sum]]/MatchData[[#this row],[moat avail count]],2),0)</f>
        <v>#VALUE!</v>
      </c>
      <c r="CU237" s="16" t="e">
        <f aca="false">IFERROR(ROUND(MatchData[[#this row],[ramparts sum]]/MatchData[[#this row],[ramparts avail count]],2),0)</f>
        <v>#VALUE!</v>
      </c>
      <c r="CV237" s="16" t="e">
        <f aca="false">IFERROR(ROUND(MatchData[[#this row],[drawbridge sum]]/MatchData[[#this row],[drawbridge avail countigh6]],2),0)</f>
        <v>#VALUE!</v>
      </c>
      <c r="CW237" s="16" t="e">
        <f aca="false">IFERROR(ROUND(MatchData[[#this row],[sally port sum]]/MatchData[[#this row],[sally port avail count]],2),0)</f>
        <v>#VALUE!</v>
      </c>
      <c r="CX237" s="5" t="e">
        <f aca="false">IFERROR(ROUND(MatchData[[#this row],[rock wall sum]]/MatchData[[#this row],[rock wall avail count]],2),0)</f>
        <v>#VALUE!</v>
      </c>
      <c r="CY237" s="5" t="e">
        <f aca="false">IFERROR(ROUND(MatchData[[#this row],[rough terrain sum]]/MatchData[[#this row],[rough terrain avail count]],2),0)</f>
        <v>#VALUE!</v>
      </c>
      <c r="CZ237" s="5" t="e">
        <f aca="false">IFERROR(ROUND(MatchData[[#this row],[low bar sum]]/MatchData[[#this row],[low bar avail count]],2),0)</f>
        <v>#VALUE!</v>
      </c>
      <c r="DA237" s="16" t="e">
        <f aca="false">SUM(MatchData[[#this row],[cheval sum]:[low bar sum]])/MatchData[match count]</f>
        <v>#VALUE!</v>
      </c>
      <c r="DB237" s="16" t="n">
        <f aca="false">MAX(IF(C$2:C$74=C237,BP$2:BP$74))</f>
        <v>-1.79769313486232E+308</v>
      </c>
      <c r="DC237" s="16" t="e">
        <f aca="false">AVERAGEIF(MatchData[team],MatchData[[#this row],[team]],MatchData[total score])</f>
        <v>#VALUE!</v>
      </c>
      <c r="DD237" s="16" t="e">
        <f aca="false">ROUND(AVERAGEIF(MatchData[team],MatchData[team],MatchData[climb or challenge flag]),2)</f>
        <v>#VALUE!</v>
      </c>
    </row>
    <row r="238" customFormat="false" ht="14.5" hidden="false" customHeight="false" outlineLevel="0" collapsed="false">
      <c r="A238" s="20" t="s">
        <v>108</v>
      </c>
      <c r="B238" s="22" t="n">
        <v>40</v>
      </c>
      <c r="C238" s="15" t="n">
        <v>5468</v>
      </c>
      <c r="D238" s="5" t="s">
        <v>109</v>
      </c>
      <c r="E238" s="5" t="s">
        <v>152</v>
      </c>
      <c r="G238" s="16" t="n">
        <v>2</v>
      </c>
      <c r="I238" s="16"/>
      <c r="J238" s="5" t="n">
        <v>1</v>
      </c>
      <c r="K238" s="16" t="n">
        <v>1</v>
      </c>
      <c r="M238" s="5" t="n">
        <v>1</v>
      </c>
      <c r="N238" s="0"/>
      <c r="O238" s="0"/>
      <c r="P238" s="0"/>
      <c r="Q238" s="5" t="n">
        <v>1</v>
      </c>
      <c r="R238" s="5" t="n">
        <v>1</v>
      </c>
      <c r="S238" s="16"/>
      <c r="T238" s="0"/>
      <c r="U238" s="16"/>
      <c r="V238" s="16"/>
      <c r="W238" s="0"/>
      <c r="AB238" s="5" t="n">
        <v>1</v>
      </c>
      <c r="AD238" s="16" t="n">
        <v>1</v>
      </c>
      <c r="AE238" s="5"/>
      <c r="AF238" s="16"/>
      <c r="AG238" s="16"/>
      <c r="AH238" s="16"/>
      <c r="AJ238" s="16"/>
      <c r="AL238" s="16"/>
      <c r="AN238" s="16"/>
      <c r="AP238" s="16"/>
      <c r="AR238" s="16"/>
      <c r="AT238" s="16"/>
      <c r="AU238" s="16"/>
      <c r="AV238" s="16"/>
      <c r="AW238" s="16" t="n">
        <v>1</v>
      </c>
      <c r="AX238" s="16"/>
      <c r="AY238" s="16"/>
      <c r="AZ238" s="16"/>
      <c r="BB238" s="16" t="n">
        <v>1</v>
      </c>
      <c r="BC238" s="16" t="e">
        <f aca="false">MatchData[cheval scored crossings]*5</f>
        <v>#VALUE!</v>
      </c>
      <c r="BD238" s="16" t="e">
        <f aca="false">MatchData[moat scored crosings]*5</f>
        <v>#VALUE!</v>
      </c>
      <c r="BE238" s="16" t="e">
        <f aca="false">MatchData[ramparts scored crossings]*5</f>
        <v>#VALUE!</v>
      </c>
      <c r="BF238" s="16" t="e">
        <f aca="false">MatchData[drawbridge scored crossings]*5</f>
        <v>#VALUE!</v>
      </c>
      <c r="BG238" s="16" t="e">
        <f aca="false">MatchData[sally port scored crossings]*5</f>
        <v>#VALUE!</v>
      </c>
      <c r="BH238" s="16" t="e">
        <f aca="false">MatchData[rock wall scored crossings]*5</f>
        <v>#VALUE!</v>
      </c>
      <c r="BI238" s="16" t="e">
        <f aca="false">MatchData[rough terrain scored crossings]*5</f>
        <v>#VALUE!</v>
      </c>
      <c r="BJ238" s="16" t="e">
        <f aca="false">MatchData[low bar scored crossings]*5</f>
        <v>#VALUE!</v>
      </c>
      <c r="BK238" s="16" t="e">
        <f aca="false">SUM(MatchData[[#this row],[low bar teleop crossings]:[rough terrain scored crossings]])</f>
        <v>#VALUE!</v>
      </c>
      <c r="BL238" s="16" t="e">
        <f aca="false">IFERROR(IF(OR(MatchData[[#this row],[challenge flag]],MatchData[[#this row],[climb flag]]),1,0),0)</f>
        <v>#VALUE!</v>
      </c>
      <c r="BM238" s="16" t="e">
        <f aca="false">MatchData[auto high goals]*10+MatchData[teleop high goals]*5</f>
        <v>#VALUE!</v>
      </c>
      <c r="BN238" s="16" t="e">
        <f aca="false">MatchData[auto low goals]*5+MatchData[teleop low goals]*2</f>
        <v>#VALUE!</v>
      </c>
      <c r="BO238" s="16" t="e">
        <f aca="false">MatchData[high goal score]+MatchData[low goal score]</f>
        <v>#VALUE!</v>
      </c>
      <c r="BP238" s="16" t="e">
        <f aca="false">MatchData[teleop high goals]+MatchData[teleop low goals]</f>
        <v>#VALUE!</v>
      </c>
      <c r="BQ238" s="16" t="e">
        <f aca="false">MatchData[[#this row],[auto reach flag]]*2+SUM(MatchData[[#this row],[portcullis auto crossings]:[low bar auto crossings]])*10+MatchData[[#this row],[auto low goals]]*5+MatchData[auto high goals]*10</f>
        <v>#VALUE!</v>
      </c>
      <c r="BR238" s="16" t="e">
        <f aca="false">SUM(MatchData[[#this row],[cheval teleop crossing score]:[low bar teleop crossing score]])</f>
        <v>#VALUE!</v>
      </c>
      <c r="BS238" s="16" t="e">
        <f aca="false">SUMIF(MatchData[team],MatchData[[#this row],[team]],MatchData[total auto score])/MatchData[match count]</f>
        <v>#VALUE!</v>
      </c>
      <c r="BT238" s="16" t="e">
        <f aca="false">MatchData[challenge flag]*5</f>
        <v>#VALUE!</v>
      </c>
      <c r="BU238" s="16" t="e">
        <f aca="false">MatchData[climb flag]*15</f>
        <v>#VALUE!</v>
      </c>
      <c r="BV238" s="16" t="e">
        <f aca="false">SUM(MatchData[[#this row],[total goal score]],MatchData[[#this row],[crossing score]],MatchData[[#this row],[challenge score]],MatchData[[#this row],[climb score]],MatchData[[#this row],[total auto score]])</f>
        <v>#VALUE!</v>
      </c>
      <c r="BW238" s="16" t="e">
        <f aca="false">ROUND(SUMIF(MatchData[team],MatchData[[#this row],[team]],MatchData[teleop low goals])/COUNTIF(MatchData[team],MatchData[[#this row],[team]]),2)</f>
        <v>#VALUE!</v>
      </c>
      <c r="BX238" s="16" t="e">
        <f aca="false">ROUND(SUMIF(MatchData[team],MatchData[[#this row],[team]],MatchData[teleop high goals])/COUNTIF(MatchData[team],MatchData[[#this row],[team]]),2)</f>
        <v>#VALUE!</v>
      </c>
      <c r="BY238" s="16" t="e">
        <f aca="false">COUNTIF(MatchData[team],MatchData[[#this row],[team]])</f>
        <v>#VALUE!</v>
      </c>
      <c r="BZ238" s="16" t="e">
        <f aca="false">SUMIF(MatchData[team],MatchData[[#this row],[team]],MatchData[portcullis available])</f>
        <v>#VALUE!</v>
      </c>
      <c r="CA238" s="16" t="e">
        <f aca="false">SUMIF(MatchData[team],MatchData[[#this row],[team]],MatchData[cheval available])</f>
        <v>#VALUE!</v>
      </c>
      <c r="CB238" s="16" t="e">
        <f aca="false">SUMIF(MatchData[team],MatchData[[#this row],[team]],MatchData[moat available])</f>
        <v>#VALUE!</v>
      </c>
      <c r="CC238" s="16" t="e">
        <f aca="false">SUMIF(MatchData[team],MatchData[[#this row],[team]],MatchData[ramparts available])</f>
        <v>#VALUE!</v>
      </c>
      <c r="CD238" s="16" t="e">
        <f aca="false">SUMIF(MatchData[team],MatchData[[#this row],[team]],MatchData[drawbridge available])</f>
        <v>#VALUE!</v>
      </c>
      <c r="CE238" s="16" t="e">
        <f aca="false">SUMIF(MatchData[team],MatchData[[#this row],[team]],MatchData[sally port available])</f>
        <v>#VALUE!</v>
      </c>
      <c r="CF238" s="16" t="e">
        <f aca="false">SUMIF(MatchData[team],MatchData[[#this row],[team]],MatchData[rock wall available])</f>
        <v>#VALUE!</v>
      </c>
      <c r="CG238" s="16" t="e">
        <f aca="false">SUMIF(MatchData[team],MatchData[[#this row],[team]],MatchData[rough terrain available])</f>
        <v>#VALUE!</v>
      </c>
      <c r="CH238" s="16" t="e">
        <f aca="false">SUMIF(MatchData[team],MatchData[[#this row],[team]],MatchData[low bar available])</f>
        <v>#VALUE!</v>
      </c>
      <c r="CI238" s="16" t="e">
        <f aca="false">SUMIF(MatchData[team],MatchData[[#this row],[team]],MatchData[portcullis teleop crossings]:MatchData[portcullis scored crossings])</f>
        <v>#VALUE!</v>
      </c>
      <c r="CJ238" s="16" t="e">
        <f aca="false">SUMIF(MatchData[team],MatchData[[#this row],[team]],MatchData[cheval teleop crossings])+SUMIF(MatchData[team],MatchData[[#this row],[team]],MatchData[cheval scored crossings])</f>
        <v>#VALUE!</v>
      </c>
      <c r="CK238" s="16" t="e">
        <f aca="false">SUMIF(MatchData[team],MatchData[[#this row],[team]],MatchData[moat teleop crossings])+SUMIF(MatchData[team],MatchData[[#this row],[team]],MatchData[moat scored crosings])</f>
        <v>#VALUE!</v>
      </c>
      <c r="CL238" s="16" t="e">
        <f aca="false">SUMIF(MatchData[team],MatchData[[#this row],[team]],MatchData[ramparts teleop crossings])+SUMIF(MatchData[team],MatchData[[#this row],[team]],MatchData[ramparts scored crossings])</f>
        <v>#VALUE!</v>
      </c>
      <c r="CM238" s="16" t="e">
        <f aca="false">SUMIF(MatchData[team],MatchData[[#this row],[team]],MatchData[drawbridge teleop crossings])+SUMIF(MatchData[team],MatchData[[#this row],[team]],MatchData[drawbridge scored crossings])</f>
        <v>#VALUE!</v>
      </c>
      <c r="CN238" s="16" t="e">
        <f aca="false">SUMIF(MatchData[team],MatchData[[#this row],[team]],MatchData[sally port teleop crossings])+SUMIF(MatchData[team],MatchData[[#this row],[team]],MatchData[sally port scored crossings])</f>
        <v>#VALUE!</v>
      </c>
      <c r="CO238" s="16" t="e">
        <f aca="false">SUMIF(MatchData[team],MatchData[[#this row],[team]],MatchData[rock wall teleop crossings])+SUMIF(MatchData[team],MatchData[[#this row],[team]],MatchData[rock wall scored crossings])</f>
        <v>#VALUE!</v>
      </c>
      <c r="CP238" s="16" t="e">
        <f aca="false">SUMIF(MatchData[team],MatchData[[#this row],[team]],MatchData[rough terrain teleop crossings])+SUMIF(MatchData[team],MatchData[[#this row],[team]],MatchData[rough terrain scored crossings])</f>
        <v>#VALUE!</v>
      </c>
      <c r="CQ238" s="16" t="e">
        <f aca="false">SUMIF(MatchData[team],MatchData[[#this row],[team]],MatchData[low bar teleop crossings])+SUMIF(MatchData[team],MatchData[[#this row],[team]],MatchData[low bar scored crossings])</f>
        <v>#VALUE!</v>
      </c>
      <c r="CR238" s="16" t="e">
        <f aca="false">IFERROR(ROUND(MatchData[[#this row],[portcullis sum]]/MatchData[[#this row],[portcullis avail count]],2),0)</f>
        <v>#VALUE!</v>
      </c>
      <c r="CS238" s="16" t="e">
        <f aca="false">IFERROR(ROUND(MatchData[[#this row],[cheval sum]]/MatchData[[#this row],[cheval avail count]],2),0)</f>
        <v>#VALUE!</v>
      </c>
      <c r="CT238" s="16" t="e">
        <f aca="false">IFERROR(ROUND(MatchData[[#this row],[moat sum]]/MatchData[[#this row],[moat avail count]],2),0)</f>
        <v>#VALUE!</v>
      </c>
      <c r="CU238" s="16" t="e">
        <f aca="false">IFERROR(ROUND(MatchData[[#this row],[ramparts sum]]/MatchData[[#this row],[ramparts avail count]],2),0)</f>
        <v>#VALUE!</v>
      </c>
      <c r="CV238" s="16" t="e">
        <f aca="false">IFERROR(ROUND(MatchData[[#this row],[drawbridge sum]]/MatchData[[#this row],[drawbridge avail countigh6]],2),0)</f>
        <v>#VALUE!</v>
      </c>
      <c r="CW238" s="16" t="e">
        <f aca="false">IFERROR(ROUND(MatchData[[#this row],[sally port sum]]/MatchData[[#this row],[sally port avail count]],2),0)</f>
        <v>#VALUE!</v>
      </c>
      <c r="CX238" s="5" t="e">
        <f aca="false">IFERROR(ROUND(MatchData[[#this row],[rock wall sum]]/MatchData[[#this row],[rock wall avail count]],2),0)</f>
        <v>#VALUE!</v>
      </c>
      <c r="CY238" s="5" t="e">
        <f aca="false">IFERROR(ROUND(MatchData[[#this row],[rough terrain sum]]/MatchData[[#this row],[rough terrain avail count]],2),0)</f>
        <v>#VALUE!</v>
      </c>
      <c r="CZ238" s="5" t="e">
        <f aca="false">IFERROR(ROUND(MatchData[[#this row],[low bar sum]]/MatchData[[#this row],[low bar avail count]],2),0)</f>
        <v>#VALUE!</v>
      </c>
      <c r="DA238" s="16" t="e">
        <f aca="false">SUM(MatchData[[#this row],[cheval sum]:[low bar sum]])/MatchData[match count]</f>
        <v>#VALUE!</v>
      </c>
      <c r="DB238" s="16" t="n">
        <f aca="false">MAX(IF(C$2:C$74=C238,BP$2:BP$74))</f>
        <v>-1.79769313486232E+308</v>
      </c>
      <c r="DC238" s="16" t="e">
        <f aca="false">AVERAGEIF(MatchData[team],MatchData[[#this row],[team]],MatchData[total score])</f>
        <v>#VALUE!</v>
      </c>
      <c r="DD238" s="16" t="e">
        <f aca="false">ROUND(AVERAGEIF(MatchData[team],MatchData[team],MatchData[climb or challenge flag]),2)</f>
        <v>#VALUE!</v>
      </c>
    </row>
    <row r="239" customFormat="false" ht="14.5" hidden="false" customHeight="false" outlineLevel="0" collapsed="false">
      <c r="A239" s="20" t="s">
        <v>108</v>
      </c>
      <c r="B239" s="22" t="n">
        <v>40</v>
      </c>
      <c r="C239" s="15" t="n">
        <v>957</v>
      </c>
      <c r="D239" s="5" t="s">
        <v>113</v>
      </c>
      <c r="E239" s="5" t="s">
        <v>140</v>
      </c>
      <c r="G239" s="16"/>
      <c r="I239" s="16"/>
      <c r="J239" s="5" t="n">
        <v>1</v>
      </c>
      <c r="K239" s="16"/>
      <c r="L239" s="5" t="n">
        <v>1</v>
      </c>
      <c r="N239" s="5" t="n">
        <v>1</v>
      </c>
      <c r="O239" s="0"/>
      <c r="P239" s="5" t="n">
        <v>1</v>
      </c>
      <c r="Q239" s="0"/>
      <c r="R239" s="5" t="n">
        <v>1</v>
      </c>
      <c r="S239" s="16"/>
      <c r="T239" s="0"/>
      <c r="U239" s="16"/>
      <c r="V239" s="16"/>
      <c r="W239" s="0"/>
      <c r="AD239" s="16"/>
      <c r="AE239" s="5"/>
      <c r="AF239" s="16"/>
      <c r="AG239" s="16"/>
      <c r="AH239" s="16"/>
      <c r="AJ239" s="16"/>
      <c r="AL239" s="16" t="n">
        <v>1</v>
      </c>
      <c r="AN239" s="16"/>
      <c r="AP239" s="16"/>
      <c r="AR239" s="16"/>
      <c r="AT239" s="16"/>
      <c r="AU239" s="16"/>
      <c r="AV239" s="16"/>
      <c r="AW239" s="16" t="n">
        <v>1</v>
      </c>
      <c r="AX239" s="16"/>
      <c r="AY239" s="16"/>
      <c r="AZ239" s="16" t="n">
        <v>1</v>
      </c>
      <c r="BB239" s="16"/>
      <c r="BC239" s="16" t="e">
        <f aca="false">MatchData[cheval scored crossings]*5</f>
        <v>#VALUE!</v>
      </c>
      <c r="BD239" s="16" t="e">
        <f aca="false">MatchData[moat scored crosings]*5</f>
        <v>#VALUE!</v>
      </c>
      <c r="BE239" s="16" t="e">
        <f aca="false">MatchData[ramparts scored crossings]*5</f>
        <v>#VALUE!</v>
      </c>
      <c r="BF239" s="16" t="e">
        <f aca="false">MatchData[drawbridge scored crossings]*5</f>
        <v>#VALUE!</v>
      </c>
      <c r="BG239" s="16" t="e">
        <f aca="false">MatchData[sally port scored crossings]*5</f>
        <v>#VALUE!</v>
      </c>
      <c r="BH239" s="16" t="e">
        <f aca="false">MatchData[rock wall scored crossings]*5</f>
        <v>#VALUE!</v>
      </c>
      <c r="BI239" s="16" t="e">
        <f aca="false">MatchData[rough terrain scored crossings]*5</f>
        <v>#VALUE!</v>
      </c>
      <c r="BJ239" s="16" t="e">
        <f aca="false">MatchData[low bar scored crossings]*5</f>
        <v>#VALUE!</v>
      </c>
      <c r="BK239" s="16" t="e">
        <f aca="false">SUM(MatchData[[#this row],[low bar teleop crossings]:[rough terrain scored crossings]])</f>
        <v>#VALUE!</v>
      </c>
      <c r="BL239" s="16" t="e">
        <f aca="false">IFERROR(IF(OR(MatchData[[#this row],[challenge flag]],MatchData[[#this row],[climb flag]]),1,0),0)</f>
        <v>#VALUE!</v>
      </c>
      <c r="BM239" s="16" t="e">
        <f aca="false">MatchData[auto high goals]*10+MatchData[teleop high goals]*5</f>
        <v>#VALUE!</v>
      </c>
      <c r="BN239" s="16" t="e">
        <f aca="false">MatchData[auto low goals]*5+MatchData[teleop low goals]*2</f>
        <v>#VALUE!</v>
      </c>
      <c r="BO239" s="16" t="e">
        <f aca="false">MatchData[high goal score]+MatchData[low goal score]</f>
        <v>#VALUE!</v>
      </c>
      <c r="BP239" s="16" t="e">
        <f aca="false">MatchData[teleop high goals]+MatchData[teleop low goals]</f>
        <v>#VALUE!</v>
      </c>
      <c r="BQ239" s="16" t="e">
        <f aca="false">MatchData[[#this row],[auto reach flag]]*2+SUM(MatchData[[#this row],[portcullis auto crossings]:[low bar auto crossings]])*10+MatchData[[#this row],[auto low goals]]*5+MatchData[auto high goals]*10</f>
        <v>#VALUE!</v>
      </c>
      <c r="BR239" s="16" t="e">
        <f aca="false">SUM(MatchData[[#this row],[cheval teleop crossing score]:[low bar teleop crossing score]])</f>
        <v>#VALUE!</v>
      </c>
      <c r="BS239" s="16" t="e">
        <f aca="false">SUMIF(MatchData[team],MatchData[[#this row],[team]],MatchData[total auto score])/MatchData[match count]</f>
        <v>#VALUE!</v>
      </c>
      <c r="BT239" s="16" t="e">
        <f aca="false">MatchData[challenge flag]*5</f>
        <v>#VALUE!</v>
      </c>
      <c r="BU239" s="16" t="e">
        <f aca="false">MatchData[climb flag]*15</f>
        <v>#VALUE!</v>
      </c>
      <c r="BV239" s="16" t="e">
        <f aca="false">SUM(MatchData[[#this row],[total goal score]],MatchData[[#this row],[crossing score]],MatchData[[#this row],[challenge score]],MatchData[[#this row],[climb score]],MatchData[[#this row],[total auto score]])</f>
        <v>#VALUE!</v>
      </c>
      <c r="BW239" s="16" t="e">
        <f aca="false">ROUND(SUMIF(MatchData[team],MatchData[[#this row],[team]],MatchData[teleop low goals])/COUNTIF(MatchData[team],MatchData[[#this row],[team]]),2)</f>
        <v>#VALUE!</v>
      </c>
      <c r="BX239" s="16" t="e">
        <f aca="false">ROUND(SUMIF(MatchData[team],MatchData[[#this row],[team]],MatchData[teleop high goals])/COUNTIF(MatchData[team],MatchData[[#this row],[team]]),2)</f>
        <v>#VALUE!</v>
      </c>
      <c r="BY239" s="16" t="e">
        <f aca="false">COUNTIF(MatchData[team],MatchData[[#this row],[team]])</f>
        <v>#VALUE!</v>
      </c>
      <c r="BZ239" s="16" t="e">
        <f aca="false">SUMIF(MatchData[team],MatchData[[#this row],[team]],MatchData[portcullis available])</f>
        <v>#VALUE!</v>
      </c>
      <c r="CA239" s="16" t="e">
        <f aca="false">SUMIF(MatchData[team],MatchData[[#this row],[team]],MatchData[cheval available])</f>
        <v>#VALUE!</v>
      </c>
      <c r="CB239" s="16" t="e">
        <f aca="false">SUMIF(MatchData[team],MatchData[[#this row],[team]],MatchData[moat available])</f>
        <v>#VALUE!</v>
      </c>
      <c r="CC239" s="16" t="e">
        <f aca="false">SUMIF(MatchData[team],MatchData[[#this row],[team]],MatchData[ramparts available])</f>
        <v>#VALUE!</v>
      </c>
      <c r="CD239" s="16" t="e">
        <f aca="false">SUMIF(MatchData[team],MatchData[[#this row],[team]],MatchData[drawbridge available])</f>
        <v>#VALUE!</v>
      </c>
      <c r="CE239" s="16" t="e">
        <f aca="false">SUMIF(MatchData[team],MatchData[[#this row],[team]],MatchData[sally port available])</f>
        <v>#VALUE!</v>
      </c>
      <c r="CF239" s="16" t="e">
        <f aca="false">SUMIF(MatchData[team],MatchData[[#this row],[team]],MatchData[rock wall available])</f>
        <v>#VALUE!</v>
      </c>
      <c r="CG239" s="16" t="e">
        <f aca="false">SUMIF(MatchData[team],MatchData[[#this row],[team]],MatchData[rough terrain available])</f>
        <v>#VALUE!</v>
      </c>
      <c r="CH239" s="16" t="e">
        <f aca="false">SUMIF(MatchData[team],MatchData[[#this row],[team]],MatchData[low bar available])</f>
        <v>#VALUE!</v>
      </c>
      <c r="CI239" s="16" t="e">
        <f aca="false">SUMIF(MatchData[team],MatchData[[#this row],[team]],MatchData[portcullis teleop crossings]:MatchData[portcullis scored crossings])</f>
        <v>#VALUE!</v>
      </c>
      <c r="CJ239" s="16" t="e">
        <f aca="false">SUMIF(MatchData[team],MatchData[[#this row],[team]],MatchData[cheval teleop crossings])+SUMIF(MatchData[team],MatchData[[#this row],[team]],MatchData[cheval scored crossings])</f>
        <v>#VALUE!</v>
      </c>
      <c r="CK239" s="16" t="e">
        <f aca="false">SUMIF(MatchData[team],MatchData[[#this row],[team]],MatchData[moat teleop crossings])+SUMIF(MatchData[team],MatchData[[#this row],[team]],MatchData[moat scored crosings])</f>
        <v>#VALUE!</v>
      </c>
      <c r="CL239" s="16" t="e">
        <f aca="false">SUMIF(MatchData[team],MatchData[[#this row],[team]],MatchData[ramparts teleop crossings])+SUMIF(MatchData[team],MatchData[[#this row],[team]],MatchData[ramparts scored crossings])</f>
        <v>#VALUE!</v>
      </c>
      <c r="CM239" s="16" t="e">
        <f aca="false">SUMIF(MatchData[team],MatchData[[#this row],[team]],MatchData[drawbridge teleop crossings])+SUMIF(MatchData[team],MatchData[[#this row],[team]],MatchData[drawbridge scored crossings])</f>
        <v>#VALUE!</v>
      </c>
      <c r="CN239" s="16" t="e">
        <f aca="false">SUMIF(MatchData[team],MatchData[[#this row],[team]],MatchData[sally port teleop crossings])+SUMIF(MatchData[team],MatchData[[#this row],[team]],MatchData[sally port scored crossings])</f>
        <v>#VALUE!</v>
      </c>
      <c r="CO239" s="16" t="e">
        <f aca="false">SUMIF(MatchData[team],MatchData[[#this row],[team]],MatchData[rock wall teleop crossings])+SUMIF(MatchData[team],MatchData[[#this row],[team]],MatchData[rock wall scored crossings])</f>
        <v>#VALUE!</v>
      </c>
      <c r="CP239" s="16" t="e">
        <f aca="false">SUMIF(MatchData[team],MatchData[[#this row],[team]],MatchData[rough terrain teleop crossings])+SUMIF(MatchData[team],MatchData[[#this row],[team]],MatchData[rough terrain scored crossings])</f>
        <v>#VALUE!</v>
      </c>
      <c r="CQ239" s="16" t="e">
        <f aca="false">SUMIF(MatchData[team],MatchData[[#this row],[team]],MatchData[low bar teleop crossings])+SUMIF(MatchData[team],MatchData[[#this row],[team]],MatchData[low bar scored crossings])</f>
        <v>#VALUE!</v>
      </c>
      <c r="CR239" s="16" t="e">
        <f aca="false">IFERROR(ROUND(MatchData[[#this row],[portcullis sum]]/MatchData[[#this row],[portcullis avail count]],2),0)</f>
        <v>#VALUE!</v>
      </c>
      <c r="CS239" s="16" t="e">
        <f aca="false">IFERROR(ROUND(MatchData[[#this row],[cheval sum]]/MatchData[[#this row],[cheval avail count]],2),0)</f>
        <v>#VALUE!</v>
      </c>
      <c r="CT239" s="16" t="e">
        <f aca="false">IFERROR(ROUND(MatchData[[#this row],[moat sum]]/MatchData[[#this row],[moat avail count]],2),0)</f>
        <v>#VALUE!</v>
      </c>
      <c r="CU239" s="16" t="e">
        <f aca="false">IFERROR(ROUND(MatchData[[#this row],[ramparts sum]]/MatchData[[#this row],[ramparts avail count]],2),0)</f>
        <v>#VALUE!</v>
      </c>
      <c r="CV239" s="16" t="e">
        <f aca="false">IFERROR(ROUND(MatchData[[#this row],[drawbridge sum]]/MatchData[[#this row],[drawbridge avail countigh6]],2),0)</f>
        <v>#VALUE!</v>
      </c>
      <c r="CW239" s="16" t="e">
        <f aca="false">IFERROR(ROUND(MatchData[[#this row],[sally port sum]]/MatchData[[#this row],[sally port avail count]],2),0)</f>
        <v>#VALUE!</v>
      </c>
      <c r="CX239" s="5" t="e">
        <f aca="false">IFERROR(ROUND(MatchData[[#this row],[rock wall sum]]/MatchData[[#this row],[rock wall avail count]],2),0)</f>
        <v>#VALUE!</v>
      </c>
      <c r="CY239" s="5" t="e">
        <f aca="false">IFERROR(ROUND(MatchData[[#this row],[rough terrain sum]]/MatchData[[#this row],[rough terrain avail count]],2),0)</f>
        <v>#VALUE!</v>
      </c>
      <c r="CZ239" s="5" t="e">
        <f aca="false">IFERROR(ROUND(MatchData[[#this row],[low bar sum]]/MatchData[[#this row],[low bar avail count]],2),0)</f>
        <v>#VALUE!</v>
      </c>
      <c r="DA239" s="16" t="e">
        <f aca="false">SUM(MatchData[[#this row],[cheval sum]:[low bar sum]])/MatchData[match count]</f>
        <v>#VALUE!</v>
      </c>
      <c r="DB239" s="16" t="n">
        <f aca="false">MAX(IF(C$2:C$74=C239,BP$2:BP$74))</f>
        <v>-1.79769313486232E+308</v>
      </c>
      <c r="DC239" s="16" t="e">
        <f aca="false">AVERAGEIF(MatchData[team],MatchData[[#this row],[team]],MatchData[total score])</f>
        <v>#VALUE!</v>
      </c>
      <c r="DD239" s="16" t="e">
        <f aca="false">ROUND(AVERAGEIF(MatchData[team],MatchData[team],MatchData[climb or challenge flag]),2)</f>
        <v>#VALUE!</v>
      </c>
    </row>
    <row r="240" customFormat="false" ht="14.5" hidden="false" customHeight="false" outlineLevel="0" collapsed="false">
      <c r="A240" s="20" t="s">
        <v>108</v>
      </c>
      <c r="B240" s="21" t="n">
        <v>40</v>
      </c>
      <c r="C240" s="15" t="n">
        <v>2915</v>
      </c>
      <c r="D240" s="5" t="s">
        <v>113</v>
      </c>
      <c r="E240" s="5" t="s">
        <v>128</v>
      </c>
      <c r="G240" s="16"/>
      <c r="I240" s="16"/>
      <c r="J240" s="5" t="n">
        <v>1</v>
      </c>
      <c r="K240" s="16"/>
      <c r="L240" s="5" t="n">
        <v>1</v>
      </c>
      <c r="N240" s="0"/>
      <c r="O240" s="0"/>
      <c r="P240" s="5" t="n">
        <v>1</v>
      </c>
      <c r="Q240" s="0"/>
      <c r="R240" s="5" t="n">
        <v>1</v>
      </c>
      <c r="S240" s="16"/>
      <c r="T240" s="0"/>
      <c r="U240" s="16"/>
      <c r="V240" s="16"/>
      <c r="W240" s="0"/>
      <c r="AD240" s="16"/>
      <c r="AE240" s="5"/>
      <c r="AF240" s="16"/>
      <c r="AG240" s="16"/>
      <c r="AH240" s="16"/>
      <c r="AJ240" s="16"/>
      <c r="AL240" s="16"/>
      <c r="AN240" s="16"/>
      <c r="AP240" s="16"/>
      <c r="AR240" s="16"/>
      <c r="AT240" s="16" t="n">
        <v>1</v>
      </c>
      <c r="AU240" s="16"/>
      <c r="AV240" s="16"/>
      <c r="AW240" s="16"/>
      <c r="AX240" s="16"/>
      <c r="AY240" s="16"/>
      <c r="AZ240" s="16" t="n">
        <v>1</v>
      </c>
      <c r="BB240" s="16"/>
      <c r="BC240" s="16" t="e">
        <f aca="false">MatchData[cheval scored crossings]*5</f>
        <v>#VALUE!</v>
      </c>
      <c r="BD240" s="16" t="e">
        <f aca="false">MatchData[moat scored crosings]*5</f>
        <v>#VALUE!</v>
      </c>
      <c r="BE240" s="16" t="e">
        <f aca="false">MatchData[ramparts scored crossings]*5</f>
        <v>#VALUE!</v>
      </c>
      <c r="BF240" s="16" t="e">
        <f aca="false">MatchData[drawbridge scored crossings]*5</f>
        <v>#VALUE!</v>
      </c>
      <c r="BG240" s="16" t="e">
        <f aca="false">MatchData[sally port scored crossings]*5</f>
        <v>#VALUE!</v>
      </c>
      <c r="BH240" s="16" t="e">
        <f aca="false">MatchData[rock wall scored crossings]*5</f>
        <v>#VALUE!</v>
      </c>
      <c r="BI240" s="16" t="e">
        <f aca="false">MatchData[rough terrain scored crossings]*5</f>
        <v>#VALUE!</v>
      </c>
      <c r="BJ240" s="16" t="e">
        <f aca="false">MatchData[low bar scored crossings]*5</f>
        <v>#VALUE!</v>
      </c>
      <c r="BK240" s="16" t="e">
        <f aca="false">SUM(MatchData[[#this row],[low bar teleop crossings]:[rough terrain scored crossings]])</f>
        <v>#VALUE!</v>
      </c>
      <c r="BL240" s="16" t="e">
        <f aca="false">IFERROR(IF(OR(MatchData[[#this row],[challenge flag]],MatchData[[#this row],[climb flag]]),1,0),0)</f>
        <v>#VALUE!</v>
      </c>
      <c r="BM240" s="16" t="e">
        <f aca="false">MatchData[auto high goals]*10+MatchData[teleop high goals]*5</f>
        <v>#VALUE!</v>
      </c>
      <c r="BN240" s="16" t="e">
        <f aca="false">MatchData[auto low goals]*5+MatchData[teleop low goals]*2</f>
        <v>#VALUE!</v>
      </c>
      <c r="BO240" s="16" t="e">
        <f aca="false">MatchData[high goal score]+MatchData[low goal score]</f>
        <v>#VALUE!</v>
      </c>
      <c r="BP240" s="16" t="e">
        <f aca="false">MatchData[teleop high goals]+MatchData[teleop low goals]</f>
        <v>#VALUE!</v>
      </c>
      <c r="BQ240" s="16" t="e">
        <f aca="false">MatchData[[#this row],[auto reach flag]]*2+SUM(MatchData[[#this row],[portcullis auto crossings]:[low bar auto crossings]])*10+MatchData[[#this row],[auto low goals]]*5+MatchData[auto high goals]*10</f>
        <v>#VALUE!</v>
      </c>
      <c r="BR240" s="16" t="e">
        <f aca="false">SUM(MatchData[[#this row],[cheval teleop crossing score]:[low bar teleop crossing score]])</f>
        <v>#VALUE!</v>
      </c>
      <c r="BS240" s="16" t="e">
        <f aca="false">SUMIF(MatchData[team],MatchData[[#this row],[team]],MatchData[total auto score])/MatchData[match count]</f>
        <v>#VALUE!</v>
      </c>
      <c r="BT240" s="16" t="e">
        <f aca="false">MatchData[challenge flag]*5</f>
        <v>#VALUE!</v>
      </c>
      <c r="BU240" s="16" t="e">
        <f aca="false">MatchData[climb flag]*15</f>
        <v>#VALUE!</v>
      </c>
      <c r="BV240" s="16" t="e">
        <f aca="false">SUM(MatchData[[#this row],[total goal score]],MatchData[[#this row],[crossing score]],MatchData[[#this row],[challenge score]],MatchData[[#this row],[climb score]],MatchData[[#this row],[total auto score]])</f>
        <v>#VALUE!</v>
      </c>
      <c r="BW240" s="16" t="e">
        <f aca="false">ROUND(SUMIF(MatchData[team],MatchData[[#this row],[team]],MatchData[teleop low goals])/COUNTIF(MatchData[team],MatchData[[#this row],[team]]),2)</f>
        <v>#VALUE!</v>
      </c>
      <c r="BX240" s="16" t="e">
        <f aca="false">ROUND(SUMIF(MatchData[team],MatchData[[#this row],[team]],MatchData[teleop high goals])/COUNTIF(MatchData[team],MatchData[[#this row],[team]]),2)</f>
        <v>#VALUE!</v>
      </c>
      <c r="BY240" s="16" t="e">
        <f aca="false">COUNTIF(MatchData[team],MatchData[[#this row],[team]])</f>
        <v>#VALUE!</v>
      </c>
      <c r="BZ240" s="16" t="e">
        <f aca="false">SUMIF(MatchData[team],MatchData[[#this row],[team]],MatchData[portcullis available])</f>
        <v>#VALUE!</v>
      </c>
      <c r="CA240" s="16" t="e">
        <f aca="false">SUMIF(MatchData[team],MatchData[[#this row],[team]],MatchData[cheval available])</f>
        <v>#VALUE!</v>
      </c>
      <c r="CB240" s="16" t="e">
        <f aca="false">SUMIF(MatchData[team],MatchData[[#this row],[team]],MatchData[moat available])</f>
        <v>#VALUE!</v>
      </c>
      <c r="CC240" s="16" t="e">
        <f aca="false">SUMIF(MatchData[team],MatchData[[#this row],[team]],MatchData[ramparts available])</f>
        <v>#VALUE!</v>
      </c>
      <c r="CD240" s="16" t="e">
        <f aca="false">SUMIF(MatchData[team],MatchData[[#this row],[team]],MatchData[drawbridge available])</f>
        <v>#VALUE!</v>
      </c>
      <c r="CE240" s="16" t="e">
        <f aca="false">SUMIF(MatchData[team],MatchData[[#this row],[team]],MatchData[sally port available])</f>
        <v>#VALUE!</v>
      </c>
      <c r="CF240" s="16" t="e">
        <f aca="false">SUMIF(MatchData[team],MatchData[[#this row],[team]],MatchData[rock wall available])</f>
        <v>#VALUE!</v>
      </c>
      <c r="CG240" s="16" t="e">
        <f aca="false">SUMIF(MatchData[team],MatchData[[#this row],[team]],MatchData[rough terrain available])</f>
        <v>#VALUE!</v>
      </c>
      <c r="CH240" s="16" t="e">
        <f aca="false">SUMIF(MatchData[team],MatchData[[#this row],[team]],MatchData[low bar available])</f>
        <v>#VALUE!</v>
      </c>
      <c r="CI240" s="16" t="e">
        <f aca="false">SUMIF(MatchData[team],MatchData[[#this row],[team]],MatchData[portcullis teleop crossings]:MatchData[portcullis scored crossings])</f>
        <v>#VALUE!</v>
      </c>
      <c r="CJ240" s="16" t="e">
        <f aca="false">SUMIF(MatchData[team],MatchData[[#this row],[team]],MatchData[cheval teleop crossings])+SUMIF(MatchData[team],MatchData[[#this row],[team]],MatchData[cheval scored crossings])</f>
        <v>#VALUE!</v>
      </c>
      <c r="CK240" s="16" t="e">
        <f aca="false">SUMIF(MatchData[team],MatchData[[#this row],[team]],MatchData[moat teleop crossings])+SUMIF(MatchData[team],MatchData[[#this row],[team]],MatchData[moat scored crosings])</f>
        <v>#VALUE!</v>
      </c>
      <c r="CL240" s="16" t="e">
        <f aca="false">SUMIF(MatchData[team],MatchData[[#this row],[team]],MatchData[ramparts teleop crossings])+SUMIF(MatchData[team],MatchData[[#this row],[team]],MatchData[ramparts scored crossings])</f>
        <v>#VALUE!</v>
      </c>
      <c r="CM240" s="16" t="e">
        <f aca="false">SUMIF(MatchData[team],MatchData[[#this row],[team]],MatchData[drawbridge teleop crossings])+SUMIF(MatchData[team],MatchData[[#this row],[team]],MatchData[drawbridge scored crossings])</f>
        <v>#VALUE!</v>
      </c>
      <c r="CN240" s="16" t="e">
        <f aca="false">SUMIF(MatchData[team],MatchData[[#this row],[team]],MatchData[sally port teleop crossings])+SUMIF(MatchData[team],MatchData[[#this row],[team]],MatchData[sally port scored crossings])</f>
        <v>#VALUE!</v>
      </c>
      <c r="CO240" s="16" t="e">
        <f aca="false">SUMIF(MatchData[team],MatchData[[#this row],[team]],MatchData[rock wall teleop crossings])+SUMIF(MatchData[team],MatchData[[#this row],[team]],MatchData[rock wall scored crossings])</f>
        <v>#VALUE!</v>
      </c>
      <c r="CP240" s="16" t="e">
        <f aca="false">SUMIF(MatchData[team],MatchData[[#this row],[team]],MatchData[rough terrain teleop crossings])+SUMIF(MatchData[team],MatchData[[#this row],[team]],MatchData[rough terrain scored crossings])</f>
        <v>#VALUE!</v>
      </c>
      <c r="CQ240" s="16" t="e">
        <f aca="false">SUMIF(MatchData[team],MatchData[[#this row],[team]],MatchData[low bar teleop crossings])+SUMIF(MatchData[team],MatchData[[#this row],[team]],MatchData[low bar scored crossings])</f>
        <v>#VALUE!</v>
      </c>
      <c r="CR240" s="16" t="e">
        <f aca="false">IFERROR(ROUND(MatchData[[#this row],[portcullis sum]]/MatchData[[#this row],[portcullis avail count]],2),0)</f>
        <v>#VALUE!</v>
      </c>
      <c r="CS240" s="16" t="e">
        <f aca="false">IFERROR(ROUND(MatchData[[#this row],[cheval sum]]/MatchData[[#this row],[cheval avail count]],2),0)</f>
        <v>#VALUE!</v>
      </c>
      <c r="CT240" s="16" t="e">
        <f aca="false">IFERROR(ROUND(MatchData[[#this row],[moat sum]]/MatchData[[#this row],[moat avail count]],2),0)</f>
        <v>#VALUE!</v>
      </c>
      <c r="CU240" s="16" t="e">
        <f aca="false">IFERROR(ROUND(MatchData[[#this row],[ramparts sum]]/MatchData[[#this row],[ramparts avail count]],2),0)</f>
        <v>#VALUE!</v>
      </c>
      <c r="CV240" s="16" t="e">
        <f aca="false">IFERROR(ROUND(MatchData[[#this row],[drawbridge sum]]/MatchData[[#this row],[drawbridge avail countigh6]],2),0)</f>
        <v>#VALUE!</v>
      </c>
      <c r="CW240" s="16" t="e">
        <f aca="false">IFERROR(ROUND(MatchData[[#this row],[sally port sum]]/MatchData[[#this row],[sally port avail count]],2),0)</f>
        <v>#VALUE!</v>
      </c>
      <c r="CX240" s="5" t="e">
        <f aca="false">IFERROR(ROUND(MatchData[[#this row],[rock wall sum]]/MatchData[[#this row],[rock wall avail count]],2),0)</f>
        <v>#VALUE!</v>
      </c>
      <c r="CY240" s="5" t="e">
        <f aca="false">IFERROR(ROUND(MatchData[[#this row],[rough terrain sum]]/MatchData[[#this row],[rough terrain avail count]],2),0)</f>
        <v>#VALUE!</v>
      </c>
      <c r="CZ240" s="5" t="e">
        <f aca="false">IFERROR(ROUND(MatchData[[#this row],[low bar sum]]/MatchData[[#this row],[low bar avail count]],2),0)</f>
        <v>#VALUE!</v>
      </c>
      <c r="DA240" s="16" t="e">
        <f aca="false">SUM(MatchData[[#this row],[cheval sum]:[low bar sum]])/MatchData[match count]</f>
        <v>#VALUE!</v>
      </c>
      <c r="DB240" s="16" t="n">
        <f aca="false">MAX(IF(C$2:C$74=C240,BP$2:BP$74))</f>
        <v>-1.79769313486232E+308</v>
      </c>
      <c r="DC240" s="16" t="e">
        <f aca="false">AVERAGEIF(MatchData[team],MatchData[[#this row],[team]],MatchData[total score])</f>
        <v>#VALUE!</v>
      </c>
      <c r="DD240" s="16" t="e">
        <f aca="false">ROUND(AVERAGEIF(MatchData[team],MatchData[team],MatchData[climb or challenge flag]),2)</f>
        <v>#VALUE!</v>
      </c>
    </row>
    <row r="241" customFormat="false" ht="14.5" hidden="false" customHeight="false" outlineLevel="0" collapsed="false">
      <c r="A241" s="20" t="s">
        <v>108</v>
      </c>
      <c r="B241" s="21" t="n">
        <v>40</v>
      </c>
      <c r="C241" s="15" t="n">
        <v>4662</v>
      </c>
      <c r="D241" s="5" t="s">
        <v>113</v>
      </c>
      <c r="E241" s="5" t="s">
        <v>120</v>
      </c>
      <c r="G241" s="16"/>
      <c r="I241" s="16"/>
      <c r="J241" s="5" t="n">
        <v>1</v>
      </c>
      <c r="K241" s="16"/>
      <c r="L241" s="5" t="n">
        <v>1</v>
      </c>
      <c r="N241" s="5" t="n">
        <v>1</v>
      </c>
      <c r="O241" s="0"/>
      <c r="P241" s="5" t="n">
        <v>1</v>
      </c>
      <c r="Q241" s="0"/>
      <c r="R241" s="5" t="n">
        <v>1</v>
      </c>
      <c r="S241" s="16" t="n">
        <v>1</v>
      </c>
      <c r="T241" s="0"/>
      <c r="U241" s="16"/>
      <c r="V241" s="16"/>
      <c r="W241" s="0"/>
      <c r="AD241" s="16" t="n">
        <v>2</v>
      </c>
      <c r="AE241" s="5"/>
      <c r="AF241" s="16"/>
      <c r="AG241" s="16"/>
      <c r="AH241" s="16"/>
      <c r="AJ241" s="16"/>
      <c r="AL241" s="16"/>
      <c r="AN241" s="16"/>
      <c r="AP241" s="16"/>
      <c r="AR241" s="16"/>
      <c r="AT241" s="16"/>
      <c r="AU241" s="16"/>
      <c r="AV241" s="16"/>
      <c r="AW241" s="16"/>
      <c r="AX241" s="16"/>
      <c r="AY241" s="16"/>
      <c r="AZ241" s="16"/>
      <c r="BB241" s="16" t="n">
        <v>1</v>
      </c>
      <c r="BC241" s="16" t="e">
        <f aca="false">MatchData[cheval scored crossings]*5</f>
        <v>#VALUE!</v>
      </c>
      <c r="BD241" s="16" t="e">
        <f aca="false">MatchData[moat scored crosings]*5</f>
        <v>#VALUE!</v>
      </c>
      <c r="BE241" s="16" t="e">
        <f aca="false">MatchData[ramparts scored crossings]*5</f>
        <v>#VALUE!</v>
      </c>
      <c r="BF241" s="16" t="e">
        <f aca="false">MatchData[drawbridge scored crossings]*5</f>
        <v>#VALUE!</v>
      </c>
      <c r="BG241" s="16" t="e">
        <f aca="false">MatchData[sally port scored crossings]*5</f>
        <v>#VALUE!</v>
      </c>
      <c r="BH241" s="16" t="e">
        <f aca="false">MatchData[rock wall scored crossings]*5</f>
        <v>#VALUE!</v>
      </c>
      <c r="BI241" s="16" t="e">
        <f aca="false">MatchData[rough terrain scored crossings]*5</f>
        <v>#VALUE!</v>
      </c>
      <c r="BJ241" s="16" t="e">
        <f aca="false">MatchData[low bar scored crossings]*5</f>
        <v>#VALUE!</v>
      </c>
      <c r="BK241" s="16" t="e">
        <f aca="false">SUM(MatchData[[#this row],[low bar teleop crossings]:[rough terrain scored crossings]])</f>
        <v>#VALUE!</v>
      </c>
      <c r="BL241" s="16" t="e">
        <f aca="false">IFERROR(IF(OR(MatchData[[#this row],[challenge flag]],MatchData[[#this row],[climb flag]]),1,0),0)</f>
        <v>#VALUE!</v>
      </c>
      <c r="BM241" s="16" t="e">
        <f aca="false">MatchData[auto high goals]*10+MatchData[teleop high goals]*5</f>
        <v>#VALUE!</v>
      </c>
      <c r="BN241" s="16" t="e">
        <f aca="false">MatchData[auto low goals]*5+MatchData[teleop low goals]*2</f>
        <v>#VALUE!</v>
      </c>
      <c r="BO241" s="16" t="e">
        <f aca="false">MatchData[high goal score]+MatchData[low goal score]</f>
        <v>#VALUE!</v>
      </c>
      <c r="BP241" s="16" t="e">
        <f aca="false">MatchData[teleop high goals]+MatchData[teleop low goals]</f>
        <v>#VALUE!</v>
      </c>
      <c r="BQ241" s="16" t="e">
        <f aca="false">MatchData[[#this row],[auto reach flag]]*2+SUM(MatchData[[#this row],[portcullis auto crossings]:[low bar auto crossings]])*10+MatchData[[#this row],[auto low goals]]*5+MatchData[auto high goals]*10</f>
        <v>#VALUE!</v>
      </c>
      <c r="BR241" s="16" t="e">
        <f aca="false">SUM(MatchData[[#this row],[cheval teleop crossing score]:[low bar teleop crossing score]])</f>
        <v>#VALUE!</v>
      </c>
      <c r="BS241" s="16" t="e">
        <f aca="false">SUMIF(MatchData[team],MatchData[[#this row],[team]],MatchData[total auto score])/MatchData[match count]</f>
        <v>#VALUE!</v>
      </c>
      <c r="BT241" s="16" t="e">
        <f aca="false">MatchData[challenge flag]*5</f>
        <v>#VALUE!</v>
      </c>
      <c r="BU241" s="16" t="e">
        <f aca="false">MatchData[climb flag]*15</f>
        <v>#VALUE!</v>
      </c>
      <c r="BV241" s="16" t="e">
        <f aca="false">SUM(MatchData[[#this row],[total goal score]],MatchData[[#this row],[crossing score]],MatchData[[#this row],[challenge score]],MatchData[[#this row],[climb score]],MatchData[[#this row],[total auto score]])</f>
        <v>#VALUE!</v>
      </c>
      <c r="BW241" s="16" t="e">
        <f aca="false">ROUND(SUMIF(MatchData[team],MatchData[[#this row],[team]],MatchData[teleop low goals])/COUNTIF(MatchData[team],MatchData[[#this row],[team]]),2)</f>
        <v>#VALUE!</v>
      </c>
      <c r="BX241" s="16" t="e">
        <f aca="false">ROUND(SUMIF(MatchData[team],MatchData[[#this row],[team]],MatchData[teleop high goals])/COUNTIF(MatchData[team],MatchData[[#this row],[team]]),2)</f>
        <v>#VALUE!</v>
      </c>
      <c r="BY241" s="16" t="e">
        <f aca="false">COUNTIF(MatchData[team],MatchData[[#this row],[team]])</f>
        <v>#VALUE!</v>
      </c>
      <c r="BZ241" s="16" t="e">
        <f aca="false">SUMIF(MatchData[team],MatchData[[#this row],[team]],MatchData[portcullis available])</f>
        <v>#VALUE!</v>
      </c>
      <c r="CA241" s="16" t="e">
        <f aca="false">SUMIF(MatchData[team],MatchData[[#this row],[team]],MatchData[cheval available])</f>
        <v>#VALUE!</v>
      </c>
      <c r="CB241" s="16" t="e">
        <f aca="false">SUMIF(MatchData[team],MatchData[[#this row],[team]],MatchData[moat available])</f>
        <v>#VALUE!</v>
      </c>
      <c r="CC241" s="16" t="e">
        <f aca="false">SUMIF(MatchData[team],MatchData[[#this row],[team]],MatchData[ramparts available])</f>
        <v>#VALUE!</v>
      </c>
      <c r="CD241" s="16" t="e">
        <f aca="false">SUMIF(MatchData[team],MatchData[[#this row],[team]],MatchData[drawbridge available])</f>
        <v>#VALUE!</v>
      </c>
      <c r="CE241" s="16" t="e">
        <f aca="false">SUMIF(MatchData[team],MatchData[[#this row],[team]],MatchData[sally port available])</f>
        <v>#VALUE!</v>
      </c>
      <c r="CF241" s="16" t="e">
        <f aca="false">SUMIF(MatchData[team],MatchData[[#this row],[team]],MatchData[rock wall available])</f>
        <v>#VALUE!</v>
      </c>
      <c r="CG241" s="16" t="e">
        <f aca="false">SUMIF(MatchData[team],MatchData[[#this row],[team]],MatchData[rough terrain available])</f>
        <v>#VALUE!</v>
      </c>
      <c r="CH241" s="16" t="e">
        <f aca="false">SUMIF(MatchData[team],MatchData[[#this row],[team]],MatchData[low bar available])</f>
        <v>#VALUE!</v>
      </c>
      <c r="CI241" s="16" t="e">
        <f aca="false">SUMIF(MatchData[team],MatchData[[#this row],[team]],MatchData[portcullis teleop crossings]:MatchData[portcullis scored crossings])</f>
        <v>#VALUE!</v>
      </c>
      <c r="CJ241" s="16" t="e">
        <f aca="false">SUMIF(MatchData[team],MatchData[[#this row],[team]],MatchData[cheval teleop crossings])+SUMIF(MatchData[team],MatchData[[#this row],[team]],MatchData[cheval scored crossings])</f>
        <v>#VALUE!</v>
      </c>
      <c r="CK241" s="16" t="e">
        <f aca="false">SUMIF(MatchData[team],MatchData[[#this row],[team]],MatchData[moat teleop crossings])+SUMIF(MatchData[team],MatchData[[#this row],[team]],MatchData[moat scored crosings])</f>
        <v>#VALUE!</v>
      </c>
      <c r="CL241" s="16" t="e">
        <f aca="false">SUMIF(MatchData[team],MatchData[[#this row],[team]],MatchData[ramparts teleop crossings])+SUMIF(MatchData[team],MatchData[[#this row],[team]],MatchData[ramparts scored crossings])</f>
        <v>#VALUE!</v>
      </c>
      <c r="CM241" s="16" t="e">
        <f aca="false">SUMIF(MatchData[team],MatchData[[#this row],[team]],MatchData[drawbridge teleop crossings])+SUMIF(MatchData[team],MatchData[[#this row],[team]],MatchData[drawbridge scored crossings])</f>
        <v>#VALUE!</v>
      </c>
      <c r="CN241" s="16" t="e">
        <f aca="false">SUMIF(MatchData[team],MatchData[[#this row],[team]],MatchData[sally port teleop crossings])+SUMIF(MatchData[team],MatchData[[#this row],[team]],MatchData[sally port scored crossings])</f>
        <v>#VALUE!</v>
      </c>
      <c r="CO241" s="16" t="e">
        <f aca="false">SUMIF(MatchData[team],MatchData[[#this row],[team]],MatchData[rock wall teleop crossings])+SUMIF(MatchData[team],MatchData[[#this row],[team]],MatchData[rock wall scored crossings])</f>
        <v>#VALUE!</v>
      </c>
      <c r="CP241" s="16" t="e">
        <f aca="false">SUMIF(MatchData[team],MatchData[[#this row],[team]],MatchData[rough terrain teleop crossings])+SUMIF(MatchData[team],MatchData[[#this row],[team]],MatchData[rough terrain scored crossings])</f>
        <v>#VALUE!</v>
      </c>
      <c r="CQ241" s="16" t="e">
        <f aca="false">SUMIF(MatchData[team],MatchData[[#this row],[team]],MatchData[low bar teleop crossings])+SUMIF(MatchData[team],MatchData[[#this row],[team]],MatchData[low bar scored crossings])</f>
        <v>#VALUE!</v>
      </c>
      <c r="CR241" s="16" t="e">
        <f aca="false">IFERROR(ROUND(MatchData[[#this row],[portcullis sum]]/MatchData[[#this row],[portcullis avail count]],2),0)</f>
        <v>#VALUE!</v>
      </c>
      <c r="CS241" s="16" t="e">
        <f aca="false">IFERROR(ROUND(MatchData[[#this row],[cheval sum]]/MatchData[[#this row],[cheval avail count]],2),0)</f>
        <v>#VALUE!</v>
      </c>
      <c r="CT241" s="16" t="e">
        <f aca="false">IFERROR(ROUND(MatchData[[#this row],[moat sum]]/MatchData[[#this row],[moat avail count]],2),0)</f>
        <v>#VALUE!</v>
      </c>
      <c r="CU241" s="16" t="e">
        <f aca="false">IFERROR(ROUND(MatchData[[#this row],[ramparts sum]]/MatchData[[#this row],[ramparts avail count]],2),0)</f>
        <v>#VALUE!</v>
      </c>
      <c r="CV241" s="16" t="e">
        <f aca="false">IFERROR(ROUND(MatchData[[#this row],[drawbridge sum]]/MatchData[[#this row],[drawbridge avail countigh6]],2),0)</f>
        <v>#VALUE!</v>
      </c>
      <c r="CW241" s="16" t="e">
        <f aca="false">IFERROR(ROUND(MatchData[[#this row],[sally port sum]]/MatchData[[#this row],[sally port avail count]],2),0)</f>
        <v>#VALUE!</v>
      </c>
      <c r="CX241" s="5" t="e">
        <f aca="false">IFERROR(ROUND(MatchData[[#this row],[rock wall sum]]/MatchData[[#this row],[rock wall avail count]],2),0)</f>
        <v>#VALUE!</v>
      </c>
      <c r="CY241" s="5" t="e">
        <f aca="false">IFERROR(ROUND(MatchData[[#this row],[rough terrain sum]]/MatchData[[#this row],[rough terrain avail count]],2),0)</f>
        <v>#VALUE!</v>
      </c>
      <c r="CZ241" s="5" t="e">
        <f aca="false">IFERROR(ROUND(MatchData[[#this row],[low bar sum]]/MatchData[[#this row],[low bar avail count]],2),0)</f>
        <v>#VALUE!</v>
      </c>
      <c r="DA241" s="16" t="e">
        <f aca="false">SUM(MatchData[[#this row],[cheval sum]:[low bar sum]])/MatchData[match count]</f>
        <v>#VALUE!</v>
      </c>
      <c r="DB241" s="16" t="n">
        <f aca="false">MAX(IF(C$2:C$74=C241,BP$2:BP$74))</f>
        <v>-1.79769313486232E+308</v>
      </c>
      <c r="DC241" s="16" t="e">
        <f aca="false">AVERAGEIF(MatchData[team],MatchData[[#this row],[team]],MatchData[total score])</f>
        <v>#VALUE!</v>
      </c>
      <c r="DD241" s="16" t="e">
        <f aca="false">ROUND(AVERAGEIF(MatchData[team],MatchData[team],MatchData[climb or challenge flag]),2)</f>
        <v>#VALUE!</v>
      </c>
    </row>
    <row r="242" customFormat="false" ht="14.5" hidden="false" customHeight="false" outlineLevel="0" collapsed="false">
      <c r="A242" s="20" t="s">
        <v>108</v>
      </c>
      <c r="B242" s="21" t="n">
        <v>41</v>
      </c>
      <c r="C242" s="15" t="n">
        <v>847</v>
      </c>
      <c r="D242" s="5" t="s">
        <v>109</v>
      </c>
      <c r="E242" s="5" t="s">
        <v>151</v>
      </c>
      <c r="G242" s="16"/>
      <c r="I242" s="16"/>
      <c r="J242" s="5" t="n">
        <v>1</v>
      </c>
      <c r="K242" s="16"/>
      <c r="L242" s="5" t="n">
        <v>1</v>
      </c>
      <c r="N242" s="5" t="n">
        <v>1</v>
      </c>
      <c r="O242" s="0"/>
      <c r="P242" s="5" t="n">
        <v>1</v>
      </c>
      <c r="Q242" s="5" t="n">
        <v>1</v>
      </c>
      <c r="R242" s="0"/>
      <c r="S242" s="16"/>
      <c r="T242" s="0"/>
      <c r="U242" s="16"/>
      <c r="V242" s="16"/>
      <c r="W242" s="0"/>
      <c r="AD242" s="16"/>
      <c r="AE242" s="5"/>
      <c r="AF242" s="16"/>
      <c r="AG242" s="16"/>
      <c r="AH242" s="16"/>
      <c r="AJ242" s="16"/>
      <c r="AL242" s="16" t="n">
        <v>1</v>
      </c>
      <c r="AN242" s="16"/>
      <c r="AP242" s="16"/>
      <c r="AR242" s="16"/>
      <c r="AT242" s="16"/>
      <c r="AU242" s="16"/>
      <c r="AV242" s="16"/>
      <c r="AW242" s="16"/>
      <c r="AX242" s="16"/>
      <c r="AY242" s="16"/>
      <c r="AZ242" s="16" t="n">
        <v>1</v>
      </c>
      <c r="BB242" s="16"/>
      <c r="BC242" s="16" t="e">
        <f aca="false">MatchData[cheval scored crossings]*5</f>
        <v>#VALUE!</v>
      </c>
      <c r="BD242" s="16" t="e">
        <f aca="false">MatchData[moat scored crosings]*5</f>
        <v>#VALUE!</v>
      </c>
      <c r="BE242" s="16" t="e">
        <f aca="false">MatchData[ramparts scored crossings]*5</f>
        <v>#VALUE!</v>
      </c>
      <c r="BF242" s="16" t="e">
        <f aca="false">MatchData[drawbridge scored crossings]*5</f>
        <v>#VALUE!</v>
      </c>
      <c r="BG242" s="16" t="e">
        <f aca="false">MatchData[sally port scored crossings]*5</f>
        <v>#VALUE!</v>
      </c>
      <c r="BH242" s="16" t="e">
        <f aca="false">MatchData[rock wall scored crossings]*5</f>
        <v>#VALUE!</v>
      </c>
      <c r="BI242" s="16" t="e">
        <f aca="false">MatchData[rough terrain scored crossings]*5</f>
        <v>#VALUE!</v>
      </c>
      <c r="BJ242" s="16" t="e">
        <f aca="false">MatchData[low bar scored crossings]*5</f>
        <v>#VALUE!</v>
      </c>
      <c r="BK242" s="16" t="e">
        <f aca="false">SUM(MatchData[[#this row],[low bar teleop crossings]:[rough terrain scored crossings]])</f>
        <v>#VALUE!</v>
      </c>
      <c r="BL242" s="16" t="e">
        <f aca="false">IFERROR(IF(OR(MatchData[[#this row],[challenge flag]],MatchData[[#this row],[climb flag]]),1,0),0)</f>
        <v>#VALUE!</v>
      </c>
      <c r="BM242" s="16" t="e">
        <f aca="false">MatchData[auto high goals]*10+MatchData[teleop high goals]*5</f>
        <v>#VALUE!</v>
      </c>
      <c r="BN242" s="16" t="e">
        <f aca="false">MatchData[auto low goals]*5+MatchData[teleop low goals]*2</f>
        <v>#VALUE!</v>
      </c>
      <c r="BO242" s="16" t="e">
        <f aca="false">MatchData[high goal score]+MatchData[low goal score]</f>
        <v>#VALUE!</v>
      </c>
      <c r="BP242" s="16" t="e">
        <f aca="false">MatchData[teleop high goals]+MatchData[teleop low goals]</f>
        <v>#VALUE!</v>
      </c>
      <c r="BQ242" s="16" t="e">
        <f aca="false">MatchData[[#this row],[auto reach flag]]*2+SUM(MatchData[[#this row],[portcullis auto crossings]:[low bar auto crossings]])*10+MatchData[[#this row],[auto low goals]]*5+MatchData[auto high goals]*10</f>
        <v>#VALUE!</v>
      </c>
      <c r="BR242" s="16" t="e">
        <f aca="false">SUM(MatchData[[#this row],[cheval teleop crossing score]:[low bar teleop crossing score]])</f>
        <v>#VALUE!</v>
      </c>
      <c r="BS242" s="16" t="e">
        <f aca="false">SUMIF(MatchData[team],MatchData[[#this row],[team]],MatchData[total auto score])/MatchData[match count]</f>
        <v>#VALUE!</v>
      </c>
      <c r="BT242" s="16" t="e">
        <f aca="false">MatchData[challenge flag]*5</f>
        <v>#VALUE!</v>
      </c>
      <c r="BU242" s="16" t="e">
        <f aca="false">MatchData[climb flag]*15</f>
        <v>#VALUE!</v>
      </c>
      <c r="BV242" s="16" t="e">
        <f aca="false">SUM(MatchData[[#this row],[total goal score]],MatchData[[#this row],[crossing score]],MatchData[[#this row],[challenge score]],MatchData[[#this row],[climb score]],MatchData[[#this row],[total auto score]])</f>
        <v>#VALUE!</v>
      </c>
      <c r="BW242" s="16" t="e">
        <f aca="false">ROUND(SUMIF(MatchData[team],MatchData[[#this row],[team]],MatchData[teleop low goals])/COUNTIF(MatchData[team],MatchData[[#this row],[team]]),2)</f>
        <v>#VALUE!</v>
      </c>
      <c r="BX242" s="16" t="e">
        <f aca="false">ROUND(SUMIF(MatchData[team],MatchData[[#this row],[team]],MatchData[teleop high goals])/COUNTIF(MatchData[team],MatchData[[#this row],[team]]),2)</f>
        <v>#VALUE!</v>
      </c>
      <c r="BY242" s="16" t="e">
        <f aca="false">COUNTIF(MatchData[team],MatchData[[#this row],[team]])</f>
        <v>#VALUE!</v>
      </c>
      <c r="BZ242" s="16" t="e">
        <f aca="false">SUMIF(MatchData[team],MatchData[[#this row],[team]],MatchData[portcullis available])</f>
        <v>#VALUE!</v>
      </c>
      <c r="CA242" s="16" t="e">
        <f aca="false">SUMIF(MatchData[team],MatchData[[#this row],[team]],MatchData[cheval available])</f>
        <v>#VALUE!</v>
      </c>
      <c r="CB242" s="16" t="e">
        <f aca="false">SUMIF(MatchData[team],MatchData[[#this row],[team]],MatchData[moat available])</f>
        <v>#VALUE!</v>
      </c>
      <c r="CC242" s="16" t="e">
        <f aca="false">SUMIF(MatchData[team],MatchData[[#this row],[team]],MatchData[ramparts available])</f>
        <v>#VALUE!</v>
      </c>
      <c r="CD242" s="16" t="e">
        <f aca="false">SUMIF(MatchData[team],MatchData[[#this row],[team]],MatchData[drawbridge available])</f>
        <v>#VALUE!</v>
      </c>
      <c r="CE242" s="16" t="e">
        <f aca="false">SUMIF(MatchData[team],MatchData[[#this row],[team]],MatchData[sally port available])</f>
        <v>#VALUE!</v>
      </c>
      <c r="CF242" s="16" t="e">
        <f aca="false">SUMIF(MatchData[team],MatchData[[#this row],[team]],MatchData[rock wall available])</f>
        <v>#VALUE!</v>
      </c>
      <c r="CG242" s="16" t="e">
        <f aca="false">SUMIF(MatchData[team],MatchData[[#this row],[team]],MatchData[rough terrain available])</f>
        <v>#VALUE!</v>
      </c>
      <c r="CH242" s="16" t="e">
        <f aca="false">SUMIF(MatchData[team],MatchData[[#this row],[team]],MatchData[low bar available])</f>
        <v>#VALUE!</v>
      </c>
      <c r="CI242" s="16" t="e">
        <f aca="false">SUMIF(MatchData[team],MatchData[[#this row],[team]],MatchData[portcullis teleop crossings]:MatchData[portcullis scored crossings])</f>
        <v>#VALUE!</v>
      </c>
      <c r="CJ242" s="16" t="e">
        <f aca="false">SUMIF(MatchData[team],MatchData[[#this row],[team]],MatchData[cheval teleop crossings])+SUMIF(MatchData[team],MatchData[[#this row],[team]],MatchData[cheval scored crossings])</f>
        <v>#VALUE!</v>
      </c>
      <c r="CK242" s="16" t="e">
        <f aca="false">SUMIF(MatchData[team],MatchData[[#this row],[team]],MatchData[moat teleop crossings])+SUMIF(MatchData[team],MatchData[[#this row],[team]],MatchData[moat scored crosings])</f>
        <v>#VALUE!</v>
      </c>
      <c r="CL242" s="16" t="e">
        <f aca="false">SUMIF(MatchData[team],MatchData[[#this row],[team]],MatchData[ramparts teleop crossings])+SUMIF(MatchData[team],MatchData[[#this row],[team]],MatchData[ramparts scored crossings])</f>
        <v>#VALUE!</v>
      </c>
      <c r="CM242" s="16" t="e">
        <f aca="false">SUMIF(MatchData[team],MatchData[[#this row],[team]],MatchData[drawbridge teleop crossings])+SUMIF(MatchData[team],MatchData[[#this row],[team]],MatchData[drawbridge scored crossings])</f>
        <v>#VALUE!</v>
      </c>
      <c r="CN242" s="16" t="e">
        <f aca="false">SUMIF(MatchData[team],MatchData[[#this row],[team]],MatchData[sally port teleop crossings])+SUMIF(MatchData[team],MatchData[[#this row],[team]],MatchData[sally port scored crossings])</f>
        <v>#VALUE!</v>
      </c>
      <c r="CO242" s="16" t="e">
        <f aca="false">SUMIF(MatchData[team],MatchData[[#this row],[team]],MatchData[rock wall teleop crossings])+SUMIF(MatchData[team],MatchData[[#this row],[team]],MatchData[rock wall scored crossings])</f>
        <v>#VALUE!</v>
      </c>
      <c r="CP242" s="16" t="e">
        <f aca="false">SUMIF(MatchData[team],MatchData[[#this row],[team]],MatchData[rough terrain teleop crossings])+SUMIF(MatchData[team],MatchData[[#this row],[team]],MatchData[rough terrain scored crossings])</f>
        <v>#VALUE!</v>
      </c>
      <c r="CQ242" s="16" t="e">
        <f aca="false">SUMIF(MatchData[team],MatchData[[#this row],[team]],MatchData[low bar teleop crossings])+SUMIF(MatchData[team],MatchData[[#this row],[team]],MatchData[low bar scored crossings])</f>
        <v>#VALUE!</v>
      </c>
      <c r="CR242" s="16" t="e">
        <f aca="false">IFERROR(ROUND(MatchData[[#this row],[portcullis sum]]/MatchData[[#this row],[portcullis avail count]],2),0)</f>
        <v>#VALUE!</v>
      </c>
      <c r="CS242" s="16" t="e">
        <f aca="false">IFERROR(ROUND(MatchData[[#this row],[cheval sum]]/MatchData[[#this row],[cheval avail count]],2),0)</f>
        <v>#VALUE!</v>
      </c>
      <c r="CT242" s="16" t="e">
        <f aca="false">IFERROR(ROUND(MatchData[[#this row],[moat sum]]/MatchData[[#this row],[moat avail count]],2),0)</f>
        <v>#VALUE!</v>
      </c>
      <c r="CU242" s="16" t="e">
        <f aca="false">IFERROR(ROUND(MatchData[[#this row],[ramparts sum]]/MatchData[[#this row],[ramparts avail count]],2),0)</f>
        <v>#VALUE!</v>
      </c>
      <c r="CV242" s="16" t="e">
        <f aca="false">IFERROR(ROUND(MatchData[[#this row],[drawbridge sum]]/MatchData[[#this row],[drawbridge avail countigh6]],2),0)</f>
        <v>#VALUE!</v>
      </c>
      <c r="CW242" s="16" t="e">
        <f aca="false">IFERROR(ROUND(MatchData[[#this row],[sally port sum]]/MatchData[[#this row],[sally port avail count]],2),0)</f>
        <v>#VALUE!</v>
      </c>
      <c r="CX242" s="5" t="e">
        <f aca="false">IFERROR(ROUND(MatchData[[#this row],[rock wall sum]]/MatchData[[#this row],[rock wall avail count]],2),0)</f>
        <v>#VALUE!</v>
      </c>
      <c r="CY242" s="5" t="e">
        <f aca="false">IFERROR(ROUND(MatchData[[#this row],[rough terrain sum]]/MatchData[[#this row],[rough terrain avail count]],2),0)</f>
        <v>#VALUE!</v>
      </c>
      <c r="CZ242" s="5" t="e">
        <f aca="false">IFERROR(ROUND(MatchData[[#this row],[low bar sum]]/MatchData[[#this row],[low bar avail count]],2),0)</f>
        <v>#VALUE!</v>
      </c>
      <c r="DA242" s="16" t="e">
        <f aca="false">SUM(MatchData[[#this row],[cheval sum]:[low bar sum]])/MatchData[match count]</f>
        <v>#VALUE!</v>
      </c>
      <c r="DB242" s="16" t="n">
        <f aca="false">MAX(IF(C$2:C$74=C242,BP$2:BP$74))</f>
        <v>-1.79769313486232E+308</v>
      </c>
      <c r="DC242" s="16" t="e">
        <f aca="false">AVERAGEIF(MatchData[team],MatchData[[#this row],[team]],MatchData[total score])</f>
        <v>#VALUE!</v>
      </c>
      <c r="DD242" s="16" t="e">
        <f aca="false">ROUND(AVERAGEIF(MatchData[team],MatchData[team],MatchData[climb or challenge flag]),2)</f>
        <v>#VALUE!</v>
      </c>
    </row>
    <row r="243" customFormat="false" ht="14.5" hidden="false" customHeight="false" outlineLevel="0" collapsed="false">
      <c r="A243" s="20" t="s">
        <v>108</v>
      </c>
      <c r="B243" s="22" t="n">
        <v>41</v>
      </c>
      <c r="C243" s="15" t="n">
        <v>3192</v>
      </c>
      <c r="D243" s="5" t="s">
        <v>109</v>
      </c>
      <c r="E243" s="5" t="s">
        <v>116</v>
      </c>
      <c r="G243" s="16"/>
      <c r="I243" s="16"/>
      <c r="J243" s="5" t="n">
        <v>1</v>
      </c>
      <c r="K243" s="16"/>
      <c r="L243" s="5" t="n">
        <v>1</v>
      </c>
      <c r="N243" s="5" t="n">
        <v>1</v>
      </c>
      <c r="O243" s="0"/>
      <c r="P243" s="5" t="n">
        <v>1</v>
      </c>
      <c r="Q243" s="5" t="n">
        <v>1</v>
      </c>
      <c r="R243" s="0"/>
      <c r="S243" s="16"/>
      <c r="T243" s="0"/>
      <c r="U243" s="16"/>
      <c r="V243" s="16"/>
      <c r="W243" s="0"/>
      <c r="AD243" s="16"/>
      <c r="AE243" s="5"/>
      <c r="AF243" s="16"/>
      <c r="AG243" s="16"/>
      <c r="AH243" s="16"/>
      <c r="AJ243" s="16"/>
      <c r="AL243" s="16"/>
      <c r="AN243" s="16"/>
      <c r="AP243" s="16"/>
      <c r="AR243" s="16" t="n">
        <v>1</v>
      </c>
      <c r="AT243" s="16"/>
      <c r="AU243" s="16"/>
      <c r="AV243" s="16"/>
      <c r="AW243" s="16"/>
      <c r="AX243" s="16"/>
      <c r="AY243" s="16"/>
      <c r="AZ243" s="16"/>
      <c r="BB243" s="16" t="n">
        <v>1</v>
      </c>
      <c r="BC243" s="16" t="e">
        <f aca="false">MatchData[cheval scored crossings]*5</f>
        <v>#VALUE!</v>
      </c>
      <c r="BD243" s="16" t="e">
        <f aca="false">MatchData[moat scored crosings]*5</f>
        <v>#VALUE!</v>
      </c>
      <c r="BE243" s="16" t="e">
        <f aca="false">MatchData[ramparts scored crossings]*5</f>
        <v>#VALUE!</v>
      </c>
      <c r="BF243" s="16" t="e">
        <f aca="false">MatchData[drawbridge scored crossings]*5</f>
        <v>#VALUE!</v>
      </c>
      <c r="BG243" s="16" t="e">
        <f aca="false">MatchData[sally port scored crossings]*5</f>
        <v>#VALUE!</v>
      </c>
      <c r="BH243" s="16" t="e">
        <f aca="false">MatchData[rock wall scored crossings]*5</f>
        <v>#VALUE!</v>
      </c>
      <c r="BI243" s="16" t="e">
        <f aca="false">MatchData[rough terrain scored crossings]*5</f>
        <v>#VALUE!</v>
      </c>
      <c r="BJ243" s="16" t="e">
        <f aca="false">MatchData[low bar scored crossings]*5</f>
        <v>#VALUE!</v>
      </c>
      <c r="BK243" s="16" t="e">
        <f aca="false">SUM(MatchData[[#this row],[low bar teleop crossings]:[rough terrain scored crossings]])</f>
        <v>#VALUE!</v>
      </c>
      <c r="BL243" s="16" t="e">
        <f aca="false">IFERROR(IF(OR(MatchData[[#this row],[challenge flag]],MatchData[[#this row],[climb flag]]),1,0),0)</f>
        <v>#VALUE!</v>
      </c>
      <c r="BM243" s="16" t="e">
        <f aca="false">MatchData[auto high goals]*10+MatchData[teleop high goals]*5</f>
        <v>#VALUE!</v>
      </c>
      <c r="BN243" s="16" t="e">
        <f aca="false">MatchData[auto low goals]*5+MatchData[teleop low goals]*2</f>
        <v>#VALUE!</v>
      </c>
      <c r="BO243" s="16" t="e">
        <f aca="false">MatchData[high goal score]+MatchData[low goal score]</f>
        <v>#VALUE!</v>
      </c>
      <c r="BP243" s="16" t="e">
        <f aca="false">MatchData[teleop high goals]+MatchData[teleop low goals]</f>
        <v>#VALUE!</v>
      </c>
      <c r="BQ243" s="16" t="e">
        <f aca="false">MatchData[[#this row],[auto reach flag]]*2+SUM(MatchData[[#this row],[portcullis auto crossings]:[low bar auto crossings]])*10+MatchData[[#this row],[auto low goals]]*5+MatchData[auto high goals]*10</f>
        <v>#VALUE!</v>
      </c>
      <c r="BR243" s="16" t="e">
        <f aca="false">SUM(MatchData[[#this row],[cheval teleop crossing score]:[low bar teleop crossing score]])</f>
        <v>#VALUE!</v>
      </c>
      <c r="BS243" s="16" t="e">
        <f aca="false">SUMIF(MatchData[team],MatchData[[#this row],[team]],MatchData[total auto score])/MatchData[match count]</f>
        <v>#VALUE!</v>
      </c>
      <c r="BT243" s="16" t="e">
        <f aca="false">MatchData[challenge flag]*5</f>
        <v>#VALUE!</v>
      </c>
      <c r="BU243" s="16" t="e">
        <f aca="false">MatchData[climb flag]*15</f>
        <v>#VALUE!</v>
      </c>
      <c r="BV243" s="16" t="e">
        <f aca="false">SUM(MatchData[[#this row],[total goal score]],MatchData[[#this row],[crossing score]],MatchData[[#this row],[challenge score]],MatchData[[#this row],[climb score]],MatchData[[#this row],[total auto score]])</f>
        <v>#VALUE!</v>
      </c>
      <c r="BW243" s="16" t="e">
        <f aca="false">ROUND(SUMIF(MatchData[team],MatchData[[#this row],[team]],MatchData[teleop low goals])/COUNTIF(MatchData[team],MatchData[[#this row],[team]]),2)</f>
        <v>#VALUE!</v>
      </c>
      <c r="BX243" s="16" t="e">
        <f aca="false">ROUND(SUMIF(MatchData[team],MatchData[[#this row],[team]],MatchData[teleop high goals])/COUNTIF(MatchData[team],MatchData[[#this row],[team]]),2)</f>
        <v>#VALUE!</v>
      </c>
      <c r="BY243" s="16" t="e">
        <f aca="false">COUNTIF(MatchData[team],MatchData[[#this row],[team]])</f>
        <v>#VALUE!</v>
      </c>
      <c r="BZ243" s="16" t="e">
        <f aca="false">SUMIF(MatchData[team],MatchData[[#this row],[team]],MatchData[portcullis available])</f>
        <v>#VALUE!</v>
      </c>
      <c r="CA243" s="16" t="e">
        <f aca="false">SUMIF(MatchData[team],MatchData[[#this row],[team]],MatchData[cheval available])</f>
        <v>#VALUE!</v>
      </c>
      <c r="CB243" s="16" t="e">
        <f aca="false">SUMIF(MatchData[team],MatchData[[#this row],[team]],MatchData[moat available])</f>
        <v>#VALUE!</v>
      </c>
      <c r="CC243" s="16" t="e">
        <f aca="false">SUMIF(MatchData[team],MatchData[[#this row],[team]],MatchData[ramparts available])</f>
        <v>#VALUE!</v>
      </c>
      <c r="CD243" s="16" t="e">
        <f aca="false">SUMIF(MatchData[team],MatchData[[#this row],[team]],MatchData[drawbridge available])</f>
        <v>#VALUE!</v>
      </c>
      <c r="CE243" s="16" t="e">
        <f aca="false">SUMIF(MatchData[team],MatchData[[#this row],[team]],MatchData[sally port available])</f>
        <v>#VALUE!</v>
      </c>
      <c r="CF243" s="16" t="e">
        <f aca="false">SUMIF(MatchData[team],MatchData[[#this row],[team]],MatchData[rock wall available])</f>
        <v>#VALUE!</v>
      </c>
      <c r="CG243" s="16" t="e">
        <f aca="false">SUMIF(MatchData[team],MatchData[[#this row],[team]],MatchData[rough terrain available])</f>
        <v>#VALUE!</v>
      </c>
      <c r="CH243" s="16" t="e">
        <f aca="false">SUMIF(MatchData[team],MatchData[[#this row],[team]],MatchData[low bar available])</f>
        <v>#VALUE!</v>
      </c>
      <c r="CI243" s="16" t="e">
        <f aca="false">SUMIF(MatchData[team],MatchData[[#this row],[team]],MatchData[portcullis teleop crossings]:MatchData[portcullis scored crossings])</f>
        <v>#VALUE!</v>
      </c>
      <c r="CJ243" s="16" t="e">
        <f aca="false">SUMIF(MatchData[team],MatchData[[#this row],[team]],MatchData[cheval teleop crossings])+SUMIF(MatchData[team],MatchData[[#this row],[team]],MatchData[cheval scored crossings])</f>
        <v>#VALUE!</v>
      </c>
      <c r="CK243" s="16" t="e">
        <f aca="false">SUMIF(MatchData[team],MatchData[[#this row],[team]],MatchData[moat teleop crossings])+SUMIF(MatchData[team],MatchData[[#this row],[team]],MatchData[moat scored crosings])</f>
        <v>#VALUE!</v>
      </c>
      <c r="CL243" s="16" t="e">
        <f aca="false">SUMIF(MatchData[team],MatchData[[#this row],[team]],MatchData[ramparts teleop crossings])+SUMIF(MatchData[team],MatchData[[#this row],[team]],MatchData[ramparts scored crossings])</f>
        <v>#VALUE!</v>
      </c>
      <c r="CM243" s="16" t="e">
        <f aca="false">SUMIF(MatchData[team],MatchData[[#this row],[team]],MatchData[drawbridge teleop crossings])+SUMIF(MatchData[team],MatchData[[#this row],[team]],MatchData[drawbridge scored crossings])</f>
        <v>#VALUE!</v>
      </c>
      <c r="CN243" s="16" t="e">
        <f aca="false">SUMIF(MatchData[team],MatchData[[#this row],[team]],MatchData[sally port teleop crossings])+SUMIF(MatchData[team],MatchData[[#this row],[team]],MatchData[sally port scored crossings])</f>
        <v>#VALUE!</v>
      </c>
      <c r="CO243" s="16" t="e">
        <f aca="false">SUMIF(MatchData[team],MatchData[[#this row],[team]],MatchData[rock wall teleop crossings])+SUMIF(MatchData[team],MatchData[[#this row],[team]],MatchData[rock wall scored crossings])</f>
        <v>#VALUE!</v>
      </c>
      <c r="CP243" s="16" t="e">
        <f aca="false">SUMIF(MatchData[team],MatchData[[#this row],[team]],MatchData[rough terrain teleop crossings])+SUMIF(MatchData[team],MatchData[[#this row],[team]],MatchData[rough terrain scored crossings])</f>
        <v>#VALUE!</v>
      </c>
      <c r="CQ243" s="16" t="e">
        <f aca="false">SUMIF(MatchData[team],MatchData[[#this row],[team]],MatchData[low bar teleop crossings])+SUMIF(MatchData[team],MatchData[[#this row],[team]],MatchData[low bar scored crossings])</f>
        <v>#VALUE!</v>
      </c>
      <c r="CR243" s="16" t="e">
        <f aca="false">IFERROR(ROUND(MatchData[[#this row],[portcullis sum]]/MatchData[[#this row],[portcullis avail count]],2),0)</f>
        <v>#VALUE!</v>
      </c>
      <c r="CS243" s="16" t="e">
        <f aca="false">IFERROR(ROUND(MatchData[[#this row],[cheval sum]]/MatchData[[#this row],[cheval avail count]],2),0)</f>
        <v>#VALUE!</v>
      </c>
      <c r="CT243" s="16" t="e">
        <f aca="false">IFERROR(ROUND(MatchData[[#this row],[moat sum]]/MatchData[[#this row],[moat avail count]],2),0)</f>
        <v>#VALUE!</v>
      </c>
      <c r="CU243" s="16" t="e">
        <f aca="false">IFERROR(ROUND(MatchData[[#this row],[ramparts sum]]/MatchData[[#this row],[ramparts avail count]],2),0)</f>
        <v>#VALUE!</v>
      </c>
      <c r="CV243" s="16" t="e">
        <f aca="false">IFERROR(ROUND(MatchData[[#this row],[drawbridge sum]]/MatchData[[#this row],[drawbridge avail countigh6]],2),0)</f>
        <v>#VALUE!</v>
      </c>
      <c r="CW243" s="16" t="e">
        <f aca="false">IFERROR(ROUND(MatchData[[#this row],[sally port sum]]/MatchData[[#this row],[sally port avail count]],2),0)</f>
        <v>#VALUE!</v>
      </c>
      <c r="CX243" s="5" t="e">
        <f aca="false">IFERROR(ROUND(MatchData[[#this row],[rock wall sum]]/MatchData[[#this row],[rock wall avail count]],2),0)</f>
        <v>#VALUE!</v>
      </c>
      <c r="CY243" s="5" t="e">
        <f aca="false">IFERROR(ROUND(MatchData[[#this row],[rough terrain sum]]/MatchData[[#this row],[rough terrain avail count]],2),0)</f>
        <v>#VALUE!</v>
      </c>
      <c r="CZ243" s="5" t="e">
        <f aca="false">IFERROR(ROUND(MatchData[[#this row],[low bar sum]]/MatchData[[#this row],[low bar avail count]],2),0)</f>
        <v>#VALUE!</v>
      </c>
      <c r="DA243" s="16" t="e">
        <f aca="false">SUM(MatchData[[#this row],[cheval sum]:[low bar sum]])/MatchData[match count]</f>
        <v>#VALUE!</v>
      </c>
      <c r="DB243" s="16" t="n">
        <f aca="false">MAX(IF(C$2:C$74=C243,BP$2:BP$74))</f>
        <v>-1.79769313486232E+308</v>
      </c>
      <c r="DC243" s="16" t="e">
        <f aca="false">AVERAGEIF(MatchData[team],MatchData[[#this row],[team]],MatchData[total score])</f>
        <v>#VALUE!</v>
      </c>
      <c r="DD243" s="16" t="e">
        <f aca="false">ROUND(AVERAGEIF(MatchData[team],MatchData[team],MatchData[climb or challenge flag]),2)</f>
        <v>#VALUE!</v>
      </c>
    </row>
    <row r="244" customFormat="false" ht="14.5" hidden="false" customHeight="false" outlineLevel="0" collapsed="false">
      <c r="A244" s="20" t="s">
        <v>108</v>
      </c>
      <c r="B244" s="22" t="n">
        <v>41</v>
      </c>
      <c r="C244" s="15" t="n">
        <v>3812</v>
      </c>
      <c r="D244" s="5" t="s">
        <v>109</v>
      </c>
      <c r="E244" s="5" t="s">
        <v>152</v>
      </c>
      <c r="G244" s="16"/>
      <c r="I244" s="16"/>
      <c r="J244" s="5" t="n">
        <v>1</v>
      </c>
      <c r="K244" s="16"/>
      <c r="L244" s="5" t="n">
        <v>1</v>
      </c>
      <c r="N244" s="5" t="n">
        <v>1</v>
      </c>
      <c r="O244" s="0"/>
      <c r="P244" s="5" t="n">
        <v>1</v>
      </c>
      <c r="Q244" s="5" t="n">
        <v>1</v>
      </c>
      <c r="R244" s="0"/>
      <c r="S244" s="16"/>
      <c r="T244" s="0"/>
      <c r="U244" s="16"/>
      <c r="V244" s="16"/>
      <c r="W244" s="0"/>
      <c r="AB244" s="5" t="n">
        <v>1</v>
      </c>
      <c r="AD244" s="16" t="n">
        <v>1</v>
      </c>
      <c r="AE244" s="5"/>
      <c r="AF244" s="16"/>
      <c r="AG244" s="16"/>
      <c r="AH244" s="16"/>
      <c r="AJ244" s="16"/>
      <c r="AL244" s="16"/>
      <c r="AN244" s="16"/>
      <c r="AP244" s="16" t="n">
        <v>2</v>
      </c>
      <c r="AR244" s="16"/>
      <c r="AT244" s="16"/>
      <c r="AU244" s="16"/>
      <c r="AV244" s="16"/>
      <c r="AW244" s="16" t="n">
        <v>1</v>
      </c>
      <c r="AX244" s="16"/>
      <c r="AY244" s="16"/>
      <c r="AZ244" s="16"/>
      <c r="BB244" s="16"/>
      <c r="BC244" s="16" t="e">
        <f aca="false">MatchData[cheval scored crossings]*5</f>
        <v>#VALUE!</v>
      </c>
      <c r="BD244" s="16" t="e">
        <f aca="false">MatchData[moat scored crosings]*5</f>
        <v>#VALUE!</v>
      </c>
      <c r="BE244" s="16" t="e">
        <f aca="false">MatchData[ramparts scored crossings]*5</f>
        <v>#VALUE!</v>
      </c>
      <c r="BF244" s="16" t="e">
        <f aca="false">MatchData[drawbridge scored crossings]*5</f>
        <v>#VALUE!</v>
      </c>
      <c r="BG244" s="16" t="e">
        <f aca="false">MatchData[sally port scored crossings]*5</f>
        <v>#VALUE!</v>
      </c>
      <c r="BH244" s="16" t="e">
        <f aca="false">MatchData[rock wall scored crossings]*5</f>
        <v>#VALUE!</v>
      </c>
      <c r="BI244" s="16" t="e">
        <f aca="false">MatchData[rough terrain scored crossings]*5</f>
        <v>#VALUE!</v>
      </c>
      <c r="BJ244" s="16" t="e">
        <f aca="false">MatchData[low bar scored crossings]*5</f>
        <v>#VALUE!</v>
      </c>
      <c r="BK244" s="16" t="e">
        <f aca="false">SUM(MatchData[[#this row],[low bar teleop crossings]:[rough terrain scored crossings]])</f>
        <v>#VALUE!</v>
      </c>
      <c r="BL244" s="16" t="e">
        <f aca="false">IFERROR(IF(OR(MatchData[[#this row],[challenge flag]],MatchData[[#this row],[climb flag]]),1,0),0)</f>
        <v>#VALUE!</v>
      </c>
      <c r="BM244" s="16" t="e">
        <f aca="false">MatchData[auto high goals]*10+MatchData[teleop high goals]*5</f>
        <v>#VALUE!</v>
      </c>
      <c r="BN244" s="16" t="e">
        <f aca="false">MatchData[auto low goals]*5+MatchData[teleop low goals]*2</f>
        <v>#VALUE!</v>
      </c>
      <c r="BO244" s="16" t="e">
        <f aca="false">MatchData[high goal score]+MatchData[low goal score]</f>
        <v>#VALUE!</v>
      </c>
      <c r="BP244" s="16" t="e">
        <f aca="false">MatchData[teleop high goals]+MatchData[teleop low goals]</f>
        <v>#VALUE!</v>
      </c>
      <c r="BQ244" s="16" t="e">
        <f aca="false">MatchData[[#this row],[auto reach flag]]*2+SUM(MatchData[[#this row],[portcullis auto crossings]:[low bar auto crossings]])*10+MatchData[[#this row],[auto low goals]]*5+MatchData[auto high goals]*10</f>
        <v>#VALUE!</v>
      </c>
      <c r="BR244" s="16" t="e">
        <f aca="false">SUM(MatchData[[#this row],[cheval teleop crossing score]:[low bar teleop crossing score]])</f>
        <v>#VALUE!</v>
      </c>
      <c r="BS244" s="16" t="e">
        <f aca="false">SUMIF(MatchData[team],MatchData[[#this row],[team]],MatchData[total auto score])/MatchData[match count]</f>
        <v>#VALUE!</v>
      </c>
      <c r="BT244" s="16" t="e">
        <f aca="false">MatchData[challenge flag]*5</f>
        <v>#VALUE!</v>
      </c>
      <c r="BU244" s="16" t="e">
        <f aca="false">MatchData[climb flag]*15</f>
        <v>#VALUE!</v>
      </c>
      <c r="BV244" s="16" t="e">
        <f aca="false">SUM(MatchData[[#this row],[total goal score]],MatchData[[#this row],[crossing score]],MatchData[[#this row],[challenge score]],MatchData[[#this row],[climb score]],MatchData[[#this row],[total auto score]])</f>
        <v>#VALUE!</v>
      </c>
      <c r="BW244" s="16" t="e">
        <f aca="false">ROUND(SUMIF(MatchData[team],MatchData[[#this row],[team]],MatchData[teleop low goals])/COUNTIF(MatchData[team],MatchData[[#this row],[team]]),2)</f>
        <v>#VALUE!</v>
      </c>
      <c r="BX244" s="16" t="e">
        <f aca="false">ROUND(SUMIF(MatchData[team],MatchData[[#this row],[team]],MatchData[teleop high goals])/COUNTIF(MatchData[team],MatchData[[#this row],[team]]),2)</f>
        <v>#VALUE!</v>
      </c>
      <c r="BY244" s="16" t="e">
        <f aca="false">COUNTIF(MatchData[team],MatchData[[#this row],[team]])</f>
        <v>#VALUE!</v>
      </c>
      <c r="BZ244" s="16" t="e">
        <f aca="false">SUMIF(MatchData[team],MatchData[[#this row],[team]],MatchData[portcullis available])</f>
        <v>#VALUE!</v>
      </c>
      <c r="CA244" s="16" t="e">
        <f aca="false">SUMIF(MatchData[team],MatchData[[#this row],[team]],MatchData[cheval available])</f>
        <v>#VALUE!</v>
      </c>
      <c r="CB244" s="16" t="e">
        <f aca="false">SUMIF(MatchData[team],MatchData[[#this row],[team]],MatchData[moat available])</f>
        <v>#VALUE!</v>
      </c>
      <c r="CC244" s="16" t="e">
        <f aca="false">SUMIF(MatchData[team],MatchData[[#this row],[team]],MatchData[ramparts available])</f>
        <v>#VALUE!</v>
      </c>
      <c r="CD244" s="16" t="e">
        <f aca="false">SUMIF(MatchData[team],MatchData[[#this row],[team]],MatchData[drawbridge available])</f>
        <v>#VALUE!</v>
      </c>
      <c r="CE244" s="16" t="e">
        <f aca="false">SUMIF(MatchData[team],MatchData[[#this row],[team]],MatchData[sally port available])</f>
        <v>#VALUE!</v>
      </c>
      <c r="CF244" s="16" t="e">
        <f aca="false">SUMIF(MatchData[team],MatchData[[#this row],[team]],MatchData[rock wall available])</f>
        <v>#VALUE!</v>
      </c>
      <c r="CG244" s="16" t="e">
        <f aca="false">SUMIF(MatchData[team],MatchData[[#this row],[team]],MatchData[rough terrain available])</f>
        <v>#VALUE!</v>
      </c>
      <c r="CH244" s="16" t="e">
        <f aca="false">SUMIF(MatchData[team],MatchData[[#this row],[team]],MatchData[low bar available])</f>
        <v>#VALUE!</v>
      </c>
      <c r="CI244" s="16" t="e">
        <f aca="false">SUMIF(MatchData[team],MatchData[[#this row],[team]],MatchData[portcullis teleop crossings]:MatchData[portcullis scored crossings])</f>
        <v>#VALUE!</v>
      </c>
      <c r="CJ244" s="16" t="e">
        <f aca="false">SUMIF(MatchData[team],MatchData[[#this row],[team]],MatchData[cheval teleop crossings])+SUMIF(MatchData[team],MatchData[[#this row],[team]],MatchData[cheval scored crossings])</f>
        <v>#VALUE!</v>
      </c>
      <c r="CK244" s="16" t="e">
        <f aca="false">SUMIF(MatchData[team],MatchData[[#this row],[team]],MatchData[moat teleop crossings])+SUMIF(MatchData[team],MatchData[[#this row],[team]],MatchData[moat scored crosings])</f>
        <v>#VALUE!</v>
      </c>
      <c r="CL244" s="16" t="e">
        <f aca="false">SUMIF(MatchData[team],MatchData[[#this row],[team]],MatchData[ramparts teleop crossings])+SUMIF(MatchData[team],MatchData[[#this row],[team]],MatchData[ramparts scored crossings])</f>
        <v>#VALUE!</v>
      </c>
      <c r="CM244" s="16" t="e">
        <f aca="false">SUMIF(MatchData[team],MatchData[[#this row],[team]],MatchData[drawbridge teleop crossings])+SUMIF(MatchData[team],MatchData[[#this row],[team]],MatchData[drawbridge scored crossings])</f>
        <v>#VALUE!</v>
      </c>
      <c r="CN244" s="16" t="e">
        <f aca="false">SUMIF(MatchData[team],MatchData[[#this row],[team]],MatchData[sally port teleop crossings])+SUMIF(MatchData[team],MatchData[[#this row],[team]],MatchData[sally port scored crossings])</f>
        <v>#VALUE!</v>
      </c>
      <c r="CO244" s="16" t="e">
        <f aca="false">SUMIF(MatchData[team],MatchData[[#this row],[team]],MatchData[rock wall teleop crossings])+SUMIF(MatchData[team],MatchData[[#this row],[team]],MatchData[rock wall scored crossings])</f>
        <v>#VALUE!</v>
      </c>
      <c r="CP244" s="16" t="e">
        <f aca="false">SUMIF(MatchData[team],MatchData[[#this row],[team]],MatchData[rough terrain teleop crossings])+SUMIF(MatchData[team],MatchData[[#this row],[team]],MatchData[rough terrain scored crossings])</f>
        <v>#VALUE!</v>
      </c>
      <c r="CQ244" s="16" t="e">
        <f aca="false">SUMIF(MatchData[team],MatchData[[#this row],[team]],MatchData[low bar teleop crossings])+SUMIF(MatchData[team],MatchData[[#this row],[team]],MatchData[low bar scored crossings])</f>
        <v>#VALUE!</v>
      </c>
      <c r="CR244" s="16" t="e">
        <f aca="false">IFERROR(ROUND(MatchData[[#this row],[portcullis sum]]/MatchData[[#this row],[portcullis avail count]],2),0)</f>
        <v>#VALUE!</v>
      </c>
      <c r="CS244" s="16" t="e">
        <f aca="false">IFERROR(ROUND(MatchData[[#this row],[cheval sum]]/MatchData[[#this row],[cheval avail count]],2),0)</f>
        <v>#VALUE!</v>
      </c>
      <c r="CT244" s="16" t="e">
        <f aca="false">IFERROR(ROUND(MatchData[[#this row],[moat sum]]/MatchData[[#this row],[moat avail count]],2),0)</f>
        <v>#VALUE!</v>
      </c>
      <c r="CU244" s="16" t="e">
        <f aca="false">IFERROR(ROUND(MatchData[[#this row],[ramparts sum]]/MatchData[[#this row],[ramparts avail count]],2),0)</f>
        <v>#VALUE!</v>
      </c>
      <c r="CV244" s="16" t="e">
        <f aca="false">IFERROR(ROUND(MatchData[[#this row],[drawbridge sum]]/MatchData[[#this row],[drawbridge avail countigh6]],2),0)</f>
        <v>#VALUE!</v>
      </c>
      <c r="CW244" s="16" t="e">
        <f aca="false">IFERROR(ROUND(MatchData[[#this row],[sally port sum]]/MatchData[[#this row],[sally port avail count]],2),0)</f>
        <v>#VALUE!</v>
      </c>
      <c r="CX244" s="5" t="e">
        <f aca="false">IFERROR(ROUND(MatchData[[#this row],[rock wall sum]]/MatchData[[#this row],[rock wall avail count]],2),0)</f>
        <v>#VALUE!</v>
      </c>
      <c r="CY244" s="5" t="e">
        <f aca="false">IFERROR(ROUND(MatchData[[#this row],[rough terrain sum]]/MatchData[[#this row],[rough terrain avail count]],2),0)</f>
        <v>#VALUE!</v>
      </c>
      <c r="CZ244" s="5" t="e">
        <f aca="false">IFERROR(ROUND(MatchData[[#this row],[low bar sum]]/MatchData[[#this row],[low bar avail count]],2),0)</f>
        <v>#VALUE!</v>
      </c>
      <c r="DA244" s="16" t="e">
        <f aca="false">SUM(MatchData[[#this row],[cheval sum]:[low bar sum]])/MatchData[match count]</f>
        <v>#VALUE!</v>
      </c>
      <c r="DB244" s="16" t="n">
        <f aca="false">MAX(IF(C$2:C$74=C244,BP$2:BP$74))</f>
        <v>-1.79769313486232E+308</v>
      </c>
      <c r="DC244" s="16" t="e">
        <f aca="false">AVERAGEIF(MatchData[team],MatchData[[#this row],[team]],MatchData[total score])</f>
        <v>#VALUE!</v>
      </c>
      <c r="DD244" s="16" t="e">
        <f aca="false">ROUND(AVERAGEIF(MatchData[team],MatchData[team],MatchData[climb or challenge flag]),2)</f>
        <v>#VALUE!</v>
      </c>
    </row>
    <row r="245" customFormat="false" ht="14.5" hidden="false" customHeight="false" outlineLevel="0" collapsed="false">
      <c r="A245" s="20" t="s">
        <v>108</v>
      </c>
      <c r="B245" s="21" t="n">
        <v>41</v>
      </c>
      <c r="C245" s="15" t="n">
        <v>997</v>
      </c>
      <c r="D245" s="5" t="s">
        <v>113</v>
      </c>
      <c r="E245" s="5" t="s">
        <v>124</v>
      </c>
      <c r="G245" s="16"/>
      <c r="I245" s="16"/>
      <c r="J245" s="5" t="n">
        <v>1</v>
      </c>
      <c r="K245" s="16" t="n">
        <v>1</v>
      </c>
      <c r="N245" s="5" t="n">
        <v>1</v>
      </c>
      <c r="O245" s="0"/>
      <c r="P245" s="5" t="n">
        <v>1</v>
      </c>
      <c r="Q245" s="0"/>
      <c r="R245" s="5" t="n">
        <v>1</v>
      </c>
      <c r="S245" s="16"/>
      <c r="T245" s="0"/>
      <c r="U245" s="16"/>
      <c r="V245" s="16"/>
      <c r="W245" s="0"/>
      <c r="AB245" s="5" t="n">
        <v>1</v>
      </c>
      <c r="AD245" s="16" t="n">
        <v>2</v>
      </c>
      <c r="AE245" s="5"/>
      <c r="AF245" s="16"/>
      <c r="AG245" s="16"/>
      <c r="AH245" s="16"/>
      <c r="AJ245" s="16"/>
      <c r="AL245" s="16"/>
      <c r="AN245" s="16"/>
      <c r="AP245" s="16"/>
      <c r="AR245" s="16"/>
      <c r="AT245" s="16"/>
      <c r="AU245" s="16"/>
      <c r="AV245" s="16"/>
      <c r="AW245" s="16"/>
      <c r="AX245" s="16"/>
      <c r="AY245" s="16"/>
      <c r="AZ245" s="16" t="n">
        <v>1</v>
      </c>
      <c r="BB245" s="16"/>
      <c r="BC245" s="16" t="e">
        <f aca="false">MatchData[cheval scored crossings]*5</f>
        <v>#VALUE!</v>
      </c>
      <c r="BD245" s="16" t="e">
        <f aca="false">MatchData[moat scored crosings]*5</f>
        <v>#VALUE!</v>
      </c>
      <c r="BE245" s="16" t="e">
        <f aca="false">MatchData[ramparts scored crossings]*5</f>
        <v>#VALUE!</v>
      </c>
      <c r="BF245" s="16" t="e">
        <f aca="false">MatchData[drawbridge scored crossings]*5</f>
        <v>#VALUE!</v>
      </c>
      <c r="BG245" s="16" t="e">
        <f aca="false">MatchData[sally port scored crossings]*5</f>
        <v>#VALUE!</v>
      </c>
      <c r="BH245" s="16" t="e">
        <f aca="false">MatchData[rock wall scored crossings]*5</f>
        <v>#VALUE!</v>
      </c>
      <c r="BI245" s="16" t="e">
        <f aca="false">MatchData[rough terrain scored crossings]*5</f>
        <v>#VALUE!</v>
      </c>
      <c r="BJ245" s="16" t="e">
        <f aca="false">MatchData[low bar scored crossings]*5</f>
        <v>#VALUE!</v>
      </c>
      <c r="BK245" s="16" t="e">
        <f aca="false">SUM(MatchData[[#this row],[low bar teleop crossings]:[rough terrain scored crossings]])</f>
        <v>#VALUE!</v>
      </c>
      <c r="BL245" s="16" t="e">
        <f aca="false">IFERROR(IF(OR(MatchData[[#this row],[challenge flag]],MatchData[[#this row],[climb flag]]),1,0),0)</f>
        <v>#VALUE!</v>
      </c>
      <c r="BM245" s="16" t="e">
        <f aca="false">MatchData[auto high goals]*10+MatchData[teleop high goals]*5</f>
        <v>#VALUE!</v>
      </c>
      <c r="BN245" s="16" t="e">
        <f aca="false">MatchData[auto low goals]*5+MatchData[teleop low goals]*2</f>
        <v>#VALUE!</v>
      </c>
      <c r="BO245" s="16" t="e">
        <f aca="false">MatchData[high goal score]+MatchData[low goal score]</f>
        <v>#VALUE!</v>
      </c>
      <c r="BP245" s="16" t="e">
        <f aca="false">MatchData[teleop high goals]+MatchData[teleop low goals]</f>
        <v>#VALUE!</v>
      </c>
      <c r="BQ245" s="16" t="e">
        <f aca="false">MatchData[[#this row],[auto reach flag]]*2+SUM(MatchData[[#this row],[portcullis auto crossings]:[low bar auto crossings]])*10+MatchData[[#this row],[auto low goals]]*5+MatchData[auto high goals]*10</f>
        <v>#VALUE!</v>
      </c>
      <c r="BR245" s="16" t="e">
        <f aca="false">SUM(MatchData[[#this row],[cheval teleop crossing score]:[low bar teleop crossing score]])</f>
        <v>#VALUE!</v>
      </c>
      <c r="BS245" s="16" t="e">
        <f aca="false">SUMIF(MatchData[team],MatchData[[#this row],[team]],MatchData[total auto score])/MatchData[match count]</f>
        <v>#VALUE!</v>
      </c>
      <c r="BT245" s="16" t="e">
        <f aca="false">MatchData[challenge flag]*5</f>
        <v>#VALUE!</v>
      </c>
      <c r="BU245" s="16" t="e">
        <f aca="false">MatchData[climb flag]*15</f>
        <v>#VALUE!</v>
      </c>
      <c r="BV245" s="16" t="e">
        <f aca="false">SUM(MatchData[[#this row],[total goal score]],MatchData[[#this row],[crossing score]],MatchData[[#this row],[challenge score]],MatchData[[#this row],[climb score]],MatchData[[#this row],[total auto score]])</f>
        <v>#VALUE!</v>
      </c>
      <c r="BW245" s="16" t="e">
        <f aca="false">ROUND(SUMIF(MatchData[team],MatchData[[#this row],[team]],MatchData[teleop low goals])/COUNTIF(MatchData[team],MatchData[[#this row],[team]]),2)</f>
        <v>#VALUE!</v>
      </c>
      <c r="BX245" s="16" t="e">
        <f aca="false">ROUND(SUMIF(MatchData[team],MatchData[[#this row],[team]],MatchData[teleop high goals])/COUNTIF(MatchData[team],MatchData[[#this row],[team]]),2)</f>
        <v>#VALUE!</v>
      </c>
      <c r="BY245" s="16" t="e">
        <f aca="false">COUNTIF(MatchData[team],MatchData[[#this row],[team]])</f>
        <v>#VALUE!</v>
      </c>
      <c r="BZ245" s="16" t="e">
        <f aca="false">SUMIF(MatchData[team],MatchData[[#this row],[team]],MatchData[portcullis available])</f>
        <v>#VALUE!</v>
      </c>
      <c r="CA245" s="16" t="e">
        <f aca="false">SUMIF(MatchData[team],MatchData[[#this row],[team]],MatchData[cheval available])</f>
        <v>#VALUE!</v>
      </c>
      <c r="CB245" s="16" t="e">
        <f aca="false">SUMIF(MatchData[team],MatchData[[#this row],[team]],MatchData[moat available])</f>
        <v>#VALUE!</v>
      </c>
      <c r="CC245" s="16" t="e">
        <f aca="false">SUMIF(MatchData[team],MatchData[[#this row],[team]],MatchData[ramparts available])</f>
        <v>#VALUE!</v>
      </c>
      <c r="CD245" s="16" t="e">
        <f aca="false">SUMIF(MatchData[team],MatchData[[#this row],[team]],MatchData[drawbridge available])</f>
        <v>#VALUE!</v>
      </c>
      <c r="CE245" s="16" t="e">
        <f aca="false">SUMIF(MatchData[team],MatchData[[#this row],[team]],MatchData[sally port available])</f>
        <v>#VALUE!</v>
      </c>
      <c r="CF245" s="16" t="e">
        <f aca="false">SUMIF(MatchData[team],MatchData[[#this row],[team]],MatchData[rock wall available])</f>
        <v>#VALUE!</v>
      </c>
      <c r="CG245" s="16" t="e">
        <f aca="false">SUMIF(MatchData[team],MatchData[[#this row],[team]],MatchData[rough terrain available])</f>
        <v>#VALUE!</v>
      </c>
      <c r="CH245" s="16" t="e">
        <f aca="false">SUMIF(MatchData[team],MatchData[[#this row],[team]],MatchData[low bar available])</f>
        <v>#VALUE!</v>
      </c>
      <c r="CI245" s="16" t="e">
        <f aca="false">SUMIF(MatchData[team],MatchData[[#this row],[team]],MatchData[portcullis teleop crossings]:MatchData[portcullis scored crossings])</f>
        <v>#VALUE!</v>
      </c>
      <c r="CJ245" s="16" t="e">
        <f aca="false">SUMIF(MatchData[team],MatchData[[#this row],[team]],MatchData[cheval teleop crossings])+SUMIF(MatchData[team],MatchData[[#this row],[team]],MatchData[cheval scored crossings])</f>
        <v>#VALUE!</v>
      </c>
      <c r="CK245" s="16" t="e">
        <f aca="false">SUMIF(MatchData[team],MatchData[[#this row],[team]],MatchData[moat teleop crossings])+SUMIF(MatchData[team],MatchData[[#this row],[team]],MatchData[moat scored crosings])</f>
        <v>#VALUE!</v>
      </c>
      <c r="CL245" s="16" t="e">
        <f aca="false">SUMIF(MatchData[team],MatchData[[#this row],[team]],MatchData[ramparts teleop crossings])+SUMIF(MatchData[team],MatchData[[#this row],[team]],MatchData[ramparts scored crossings])</f>
        <v>#VALUE!</v>
      </c>
      <c r="CM245" s="16" t="e">
        <f aca="false">SUMIF(MatchData[team],MatchData[[#this row],[team]],MatchData[drawbridge teleop crossings])+SUMIF(MatchData[team],MatchData[[#this row],[team]],MatchData[drawbridge scored crossings])</f>
        <v>#VALUE!</v>
      </c>
      <c r="CN245" s="16" t="e">
        <f aca="false">SUMIF(MatchData[team],MatchData[[#this row],[team]],MatchData[sally port teleop crossings])+SUMIF(MatchData[team],MatchData[[#this row],[team]],MatchData[sally port scored crossings])</f>
        <v>#VALUE!</v>
      </c>
      <c r="CO245" s="16" t="e">
        <f aca="false">SUMIF(MatchData[team],MatchData[[#this row],[team]],MatchData[rock wall teleop crossings])+SUMIF(MatchData[team],MatchData[[#this row],[team]],MatchData[rock wall scored crossings])</f>
        <v>#VALUE!</v>
      </c>
      <c r="CP245" s="16" t="e">
        <f aca="false">SUMIF(MatchData[team],MatchData[[#this row],[team]],MatchData[rough terrain teleop crossings])+SUMIF(MatchData[team],MatchData[[#this row],[team]],MatchData[rough terrain scored crossings])</f>
        <v>#VALUE!</v>
      </c>
      <c r="CQ245" s="16" t="e">
        <f aca="false">SUMIF(MatchData[team],MatchData[[#this row],[team]],MatchData[low bar teleop crossings])+SUMIF(MatchData[team],MatchData[[#this row],[team]],MatchData[low bar scored crossings])</f>
        <v>#VALUE!</v>
      </c>
      <c r="CR245" s="16" t="e">
        <f aca="false">IFERROR(ROUND(MatchData[[#this row],[portcullis sum]]/MatchData[[#this row],[portcullis avail count]],2),0)</f>
        <v>#VALUE!</v>
      </c>
      <c r="CS245" s="16" t="e">
        <f aca="false">IFERROR(ROUND(MatchData[[#this row],[cheval sum]]/MatchData[[#this row],[cheval avail count]],2),0)</f>
        <v>#VALUE!</v>
      </c>
      <c r="CT245" s="16" t="e">
        <f aca="false">IFERROR(ROUND(MatchData[[#this row],[moat sum]]/MatchData[[#this row],[moat avail count]],2),0)</f>
        <v>#VALUE!</v>
      </c>
      <c r="CU245" s="16" t="e">
        <f aca="false">IFERROR(ROUND(MatchData[[#this row],[ramparts sum]]/MatchData[[#this row],[ramparts avail count]],2),0)</f>
        <v>#VALUE!</v>
      </c>
      <c r="CV245" s="16" t="e">
        <f aca="false">IFERROR(ROUND(MatchData[[#this row],[drawbridge sum]]/MatchData[[#this row],[drawbridge avail countigh6]],2),0)</f>
        <v>#VALUE!</v>
      </c>
      <c r="CW245" s="16" t="e">
        <f aca="false">IFERROR(ROUND(MatchData[[#this row],[sally port sum]]/MatchData[[#this row],[sally port avail count]],2),0)</f>
        <v>#VALUE!</v>
      </c>
      <c r="CX245" s="5" t="e">
        <f aca="false">IFERROR(ROUND(MatchData[[#this row],[rock wall sum]]/MatchData[[#this row],[rock wall avail count]],2),0)</f>
        <v>#VALUE!</v>
      </c>
      <c r="CY245" s="5" t="e">
        <f aca="false">IFERROR(ROUND(MatchData[[#this row],[rough terrain sum]]/MatchData[[#this row],[rough terrain avail count]],2),0)</f>
        <v>#VALUE!</v>
      </c>
      <c r="CZ245" s="5" t="e">
        <f aca="false">IFERROR(ROUND(MatchData[[#this row],[low bar sum]]/MatchData[[#this row],[low bar avail count]],2),0)</f>
        <v>#VALUE!</v>
      </c>
      <c r="DA245" s="16" t="e">
        <f aca="false">SUM(MatchData[[#this row],[cheval sum]:[low bar sum]])/MatchData[match count]</f>
        <v>#VALUE!</v>
      </c>
      <c r="DB245" s="16" t="n">
        <f aca="false">MAX(IF(C$2:C$74=C245,BP$2:BP$74))</f>
        <v>-1.79769313486232E+308</v>
      </c>
      <c r="DC245" s="16" t="e">
        <f aca="false">AVERAGEIF(MatchData[team],MatchData[[#this row],[team]],MatchData[total score])</f>
        <v>#VALUE!</v>
      </c>
      <c r="DD245" s="16" t="e">
        <f aca="false">ROUND(AVERAGEIF(MatchData[team],MatchData[team],MatchData[climb or challenge flag]),2)</f>
        <v>#VALUE!</v>
      </c>
    </row>
    <row r="246" customFormat="false" ht="14.5" hidden="false" customHeight="false" outlineLevel="0" collapsed="false">
      <c r="A246" s="20" t="s">
        <v>108</v>
      </c>
      <c r="B246" s="22" t="n">
        <v>41</v>
      </c>
      <c r="C246" s="15" t="n">
        <v>1510</v>
      </c>
      <c r="D246" s="5" t="s">
        <v>113</v>
      </c>
      <c r="E246" s="5" t="s">
        <v>128</v>
      </c>
      <c r="G246" s="16"/>
      <c r="I246" s="16"/>
      <c r="J246" s="5" t="n">
        <v>1</v>
      </c>
      <c r="K246" s="16" t="n">
        <v>1</v>
      </c>
      <c r="N246" s="5" t="n">
        <v>1</v>
      </c>
      <c r="O246" s="0"/>
      <c r="P246" s="5" t="n">
        <v>1</v>
      </c>
      <c r="Q246" s="0"/>
      <c r="R246" s="5" t="n">
        <v>1</v>
      </c>
      <c r="S246" s="16"/>
      <c r="T246" s="0"/>
      <c r="U246" s="16"/>
      <c r="V246" s="16"/>
      <c r="W246" s="0"/>
      <c r="AD246" s="16"/>
      <c r="AE246" s="5"/>
      <c r="AF246" s="16"/>
      <c r="AG246" s="16"/>
      <c r="AH246" s="16"/>
      <c r="AJ246" s="16"/>
      <c r="AL246" s="16" t="n">
        <v>1</v>
      </c>
      <c r="AN246" s="16"/>
      <c r="AP246" s="16"/>
      <c r="AR246" s="16"/>
      <c r="AT246" s="16"/>
      <c r="AU246" s="16"/>
      <c r="AV246" s="16"/>
      <c r="AW246" s="16"/>
      <c r="AX246" s="16"/>
      <c r="AY246" s="16"/>
      <c r="AZ246" s="16" t="n">
        <v>1</v>
      </c>
      <c r="BB246" s="16"/>
      <c r="BC246" s="16" t="e">
        <f aca="false">MatchData[cheval scored crossings]*5</f>
        <v>#VALUE!</v>
      </c>
      <c r="BD246" s="16" t="e">
        <f aca="false">MatchData[moat scored crosings]*5</f>
        <v>#VALUE!</v>
      </c>
      <c r="BE246" s="16" t="e">
        <f aca="false">MatchData[ramparts scored crossings]*5</f>
        <v>#VALUE!</v>
      </c>
      <c r="BF246" s="16" t="e">
        <f aca="false">MatchData[drawbridge scored crossings]*5</f>
        <v>#VALUE!</v>
      </c>
      <c r="BG246" s="16" t="e">
        <f aca="false">MatchData[sally port scored crossings]*5</f>
        <v>#VALUE!</v>
      </c>
      <c r="BH246" s="16" t="e">
        <f aca="false">MatchData[rock wall scored crossings]*5</f>
        <v>#VALUE!</v>
      </c>
      <c r="BI246" s="16" t="e">
        <f aca="false">MatchData[rough terrain scored crossings]*5</f>
        <v>#VALUE!</v>
      </c>
      <c r="BJ246" s="16" t="e">
        <f aca="false">MatchData[low bar scored crossings]*5</f>
        <v>#VALUE!</v>
      </c>
      <c r="BK246" s="16" t="e">
        <f aca="false">SUM(MatchData[[#this row],[low bar teleop crossings]:[rough terrain scored crossings]])</f>
        <v>#VALUE!</v>
      </c>
      <c r="BL246" s="16" t="e">
        <f aca="false">IFERROR(IF(OR(MatchData[[#this row],[challenge flag]],MatchData[[#this row],[climb flag]]),1,0),0)</f>
        <v>#VALUE!</v>
      </c>
      <c r="BM246" s="16" t="e">
        <f aca="false">MatchData[auto high goals]*10+MatchData[teleop high goals]*5</f>
        <v>#VALUE!</v>
      </c>
      <c r="BN246" s="16" t="e">
        <f aca="false">MatchData[auto low goals]*5+MatchData[teleop low goals]*2</f>
        <v>#VALUE!</v>
      </c>
      <c r="BO246" s="16" t="e">
        <f aca="false">MatchData[high goal score]+MatchData[low goal score]</f>
        <v>#VALUE!</v>
      </c>
      <c r="BP246" s="16" t="e">
        <f aca="false">MatchData[teleop high goals]+MatchData[teleop low goals]</f>
        <v>#VALUE!</v>
      </c>
      <c r="BQ246" s="16" t="e">
        <f aca="false">MatchData[[#this row],[auto reach flag]]*2+SUM(MatchData[[#this row],[portcullis auto crossings]:[low bar auto crossings]])*10+MatchData[[#this row],[auto low goals]]*5+MatchData[auto high goals]*10</f>
        <v>#VALUE!</v>
      </c>
      <c r="BR246" s="16" t="e">
        <f aca="false">SUM(MatchData[[#this row],[cheval teleop crossing score]:[low bar teleop crossing score]])</f>
        <v>#VALUE!</v>
      </c>
      <c r="BS246" s="16" t="e">
        <f aca="false">SUMIF(MatchData[team],MatchData[[#this row],[team]],MatchData[total auto score])/MatchData[match count]</f>
        <v>#VALUE!</v>
      </c>
      <c r="BT246" s="16" t="e">
        <f aca="false">MatchData[challenge flag]*5</f>
        <v>#VALUE!</v>
      </c>
      <c r="BU246" s="16" t="e">
        <f aca="false">MatchData[climb flag]*15</f>
        <v>#VALUE!</v>
      </c>
      <c r="BV246" s="16" t="e">
        <f aca="false">SUM(MatchData[[#this row],[total goal score]],MatchData[[#this row],[crossing score]],MatchData[[#this row],[challenge score]],MatchData[[#this row],[climb score]],MatchData[[#this row],[total auto score]])</f>
        <v>#VALUE!</v>
      </c>
      <c r="BW246" s="16" t="e">
        <f aca="false">ROUND(SUMIF(MatchData[team],MatchData[[#this row],[team]],MatchData[teleop low goals])/COUNTIF(MatchData[team],MatchData[[#this row],[team]]),2)</f>
        <v>#VALUE!</v>
      </c>
      <c r="BX246" s="16" t="e">
        <f aca="false">ROUND(SUMIF(MatchData[team],MatchData[[#this row],[team]],MatchData[teleop high goals])/COUNTIF(MatchData[team],MatchData[[#this row],[team]]),2)</f>
        <v>#VALUE!</v>
      </c>
      <c r="BY246" s="16" t="e">
        <f aca="false">COUNTIF(MatchData[team],MatchData[[#this row],[team]])</f>
        <v>#VALUE!</v>
      </c>
      <c r="BZ246" s="16" t="e">
        <f aca="false">SUMIF(MatchData[team],MatchData[[#this row],[team]],MatchData[portcullis available])</f>
        <v>#VALUE!</v>
      </c>
      <c r="CA246" s="16" t="e">
        <f aca="false">SUMIF(MatchData[team],MatchData[[#this row],[team]],MatchData[cheval available])</f>
        <v>#VALUE!</v>
      </c>
      <c r="CB246" s="16" t="e">
        <f aca="false">SUMIF(MatchData[team],MatchData[[#this row],[team]],MatchData[moat available])</f>
        <v>#VALUE!</v>
      </c>
      <c r="CC246" s="16" t="e">
        <f aca="false">SUMIF(MatchData[team],MatchData[[#this row],[team]],MatchData[ramparts available])</f>
        <v>#VALUE!</v>
      </c>
      <c r="CD246" s="16" t="e">
        <f aca="false">SUMIF(MatchData[team],MatchData[[#this row],[team]],MatchData[drawbridge available])</f>
        <v>#VALUE!</v>
      </c>
      <c r="CE246" s="16" t="e">
        <f aca="false">SUMIF(MatchData[team],MatchData[[#this row],[team]],MatchData[sally port available])</f>
        <v>#VALUE!</v>
      </c>
      <c r="CF246" s="16" t="e">
        <f aca="false">SUMIF(MatchData[team],MatchData[[#this row],[team]],MatchData[rock wall available])</f>
        <v>#VALUE!</v>
      </c>
      <c r="CG246" s="16" t="e">
        <f aca="false">SUMIF(MatchData[team],MatchData[[#this row],[team]],MatchData[rough terrain available])</f>
        <v>#VALUE!</v>
      </c>
      <c r="CH246" s="16" t="e">
        <f aca="false">SUMIF(MatchData[team],MatchData[[#this row],[team]],MatchData[low bar available])</f>
        <v>#VALUE!</v>
      </c>
      <c r="CI246" s="16" t="e">
        <f aca="false">SUMIF(MatchData[team],MatchData[[#this row],[team]],MatchData[portcullis teleop crossings]:MatchData[portcullis scored crossings])</f>
        <v>#VALUE!</v>
      </c>
      <c r="CJ246" s="16" t="e">
        <f aca="false">SUMIF(MatchData[team],MatchData[[#this row],[team]],MatchData[cheval teleop crossings])+SUMIF(MatchData[team],MatchData[[#this row],[team]],MatchData[cheval scored crossings])</f>
        <v>#VALUE!</v>
      </c>
      <c r="CK246" s="16" t="e">
        <f aca="false">SUMIF(MatchData[team],MatchData[[#this row],[team]],MatchData[moat teleop crossings])+SUMIF(MatchData[team],MatchData[[#this row],[team]],MatchData[moat scored crosings])</f>
        <v>#VALUE!</v>
      </c>
      <c r="CL246" s="16" t="e">
        <f aca="false">SUMIF(MatchData[team],MatchData[[#this row],[team]],MatchData[ramparts teleop crossings])+SUMIF(MatchData[team],MatchData[[#this row],[team]],MatchData[ramparts scored crossings])</f>
        <v>#VALUE!</v>
      </c>
      <c r="CM246" s="16" t="e">
        <f aca="false">SUMIF(MatchData[team],MatchData[[#this row],[team]],MatchData[drawbridge teleop crossings])+SUMIF(MatchData[team],MatchData[[#this row],[team]],MatchData[drawbridge scored crossings])</f>
        <v>#VALUE!</v>
      </c>
      <c r="CN246" s="16" t="e">
        <f aca="false">SUMIF(MatchData[team],MatchData[[#this row],[team]],MatchData[sally port teleop crossings])+SUMIF(MatchData[team],MatchData[[#this row],[team]],MatchData[sally port scored crossings])</f>
        <v>#VALUE!</v>
      </c>
      <c r="CO246" s="16" t="e">
        <f aca="false">SUMIF(MatchData[team],MatchData[[#this row],[team]],MatchData[rock wall teleop crossings])+SUMIF(MatchData[team],MatchData[[#this row],[team]],MatchData[rock wall scored crossings])</f>
        <v>#VALUE!</v>
      </c>
      <c r="CP246" s="16" t="e">
        <f aca="false">SUMIF(MatchData[team],MatchData[[#this row],[team]],MatchData[rough terrain teleop crossings])+SUMIF(MatchData[team],MatchData[[#this row],[team]],MatchData[rough terrain scored crossings])</f>
        <v>#VALUE!</v>
      </c>
      <c r="CQ246" s="16" t="e">
        <f aca="false">SUMIF(MatchData[team],MatchData[[#this row],[team]],MatchData[low bar teleop crossings])+SUMIF(MatchData[team],MatchData[[#this row],[team]],MatchData[low bar scored crossings])</f>
        <v>#VALUE!</v>
      </c>
      <c r="CR246" s="16" t="e">
        <f aca="false">IFERROR(ROUND(MatchData[[#this row],[portcullis sum]]/MatchData[[#this row],[portcullis avail count]],2),0)</f>
        <v>#VALUE!</v>
      </c>
      <c r="CS246" s="16" t="e">
        <f aca="false">IFERROR(ROUND(MatchData[[#this row],[cheval sum]]/MatchData[[#this row],[cheval avail count]],2),0)</f>
        <v>#VALUE!</v>
      </c>
      <c r="CT246" s="16" t="e">
        <f aca="false">IFERROR(ROUND(MatchData[[#this row],[moat sum]]/MatchData[[#this row],[moat avail count]],2),0)</f>
        <v>#VALUE!</v>
      </c>
      <c r="CU246" s="16" t="e">
        <f aca="false">IFERROR(ROUND(MatchData[[#this row],[ramparts sum]]/MatchData[[#this row],[ramparts avail count]],2),0)</f>
        <v>#VALUE!</v>
      </c>
      <c r="CV246" s="16" t="e">
        <f aca="false">IFERROR(ROUND(MatchData[[#this row],[drawbridge sum]]/MatchData[[#this row],[drawbridge avail countigh6]],2),0)</f>
        <v>#VALUE!</v>
      </c>
      <c r="CW246" s="16" t="e">
        <f aca="false">IFERROR(ROUND(MatchData[[#this row],[sally port sum]]/MatchData[[#this row],[sally port avail count]],2),0)</f>
        <v>#VALUE!</v>
      </c>
      <c r="CX246" s="5" t="e">
        <f aca="false">IFERROR(ROUND(MatchData[[#this row],[rock wall sum]]/MatchData[[#this row],[rock wall avail count]],2),0)</f>
        <v>#VALUE!</v>
      </c>
      <c r="CY246" s="5" t="e">
        <f aca="false">IFERROR(ROUND(MatchData[[#this row],[rough terrain sum]]/MatchData[[#this row],[rough terrain avail count]],2),0)</f>
        <v>#VALUE!</v>
      </c>
      <c r="CZ246" s="5" t="e">
        <f aca="false">IFERROR(ROUND(MatchData[[#this row],[low bar sum]]/MatchData[[#this row],[low bar avail count]],2),0)</f>
        <v>#VALUE!</v>
      </c>
      <c r="DA246" s="16" t="e">
        <f aca="false">SUM(MatchData[[#this row],[cheval sum]:[low bar sum]])/MatchData[match count]</f>
        <v>#VALUE!</v>
      </c>
      <c r="DB246" s="16" t="n">
        <f aca="false">MAX(IF(C$2:C$74=C246,BP$2:BP$74))</f>
        <v>-1.79769313486232E+308</v>
      </c>
      <c r="DC246" s="16" t="e">
        <f aca="false">AVERAGEIF(MatchData[team],MatchData[[#this row],[team]],MatchData[total score])</f>
        <v>#VALUE!</v>
      </c>
      <c r="DD246" s="16" t="e">
        <f aca="false">ROUND(AVERAGEIF(MatchData[team],MatchData[team],MatchData[climb or challenge flag]),2)</f>
        <v>#VALUE!</v>
      </c>
    </row>
    <row r="247" customFormat="false" ht="14.5" hidden="false" customHeight="false" outlineLevel="0" collapsed="false">
      <c r="A247" s="20" t="s">
        <v>108</v>
      </c>
      <c r="B247" s="21" t="n">
        <v>41</v>
      </c>
      <c r="C247" s="15" t="n">
        <v>5198</v>
      </c>
      <c r="D247" s="5" t="s">
        <v>113</v>
      </c>
      <c r="E247" s="5" t="s">
        <v>125</v>
      </c>
      <c r="G247" s="16"/>
      <c r="I247" s="16"/>
      <c r="J247" s="5" t="n">
        <v>1</v>
      </c>
      <c r="K247" s="16" t="n">
        <v>1</v>
      </c>
      <c r="N247" s="5" t="n">
        <v>1</v>
      </c>
      <c r="O247" s="0"/>
      <c r="P247" s="5" t="n">
        <v>1</v>
      </c>
      <c r="Q247" s="0"/>
      <c r="R247" s="5" t="n">
        <v>1</v>
      </c>
      <c r="S247" s="16"/>
      <c r="T247" s="0"/>
      <c r="U247" s="16"/>
      <c r="V247" s="16"/>
      <c r="W247" s="0"/>
      <c r="AD247" s="16"/>
      <c r="AE247" s="5"/>
      <c r="AF247" s="16"/>
      <c r="AG247" s="16"/>
      <c r="AH247" s="16"/>
      <c r="AJ247" s="16"/>
      <c r="AK247" s="5" t="n">
        <v>1</v>
      </c>
      <c r="AL247" s="16"/>
      <c r="AN247" s="16"/>
      <c r="AP247" s="16"/>
      <c r="AR247" s="16"/>
      <c r="AT247" s="16" t="n">
        <v>2</v>
      </c>
      <c r="AU247" s="16"/>
      <c r="AV247" s="16"/>
      <c r="AW247" s="16"/>
      <c r="AX247" s="16"/>
      <c r="AY247" s="16"/>
      <c r="AZ247" s="16"/>
      <c r="BB247" s="16"/>
      <c r="BC247" s="16" t="e">
        <f aca="false">MatchData[cheval scored crossings]*5</f>
        <v>#VALUE!</v>
      </c>
      <c r="BD247" s="16" t="e">
        <f aca="false">MatchData[moat scored crosings]*5</f>
        <v>#VALUE!</v>
      </c>
      <c r="BE247" s="16" t="e">
        <f aca="false">MatchData[ramparts scored crossings]*5</f>
        <v>#VALUE!</v>
      </c>
      <c r="BF247" s="16" t="e">
        <f aca="false">MatchData[drawbridge scored crossings]*5</f>
        <v>#VALUE!</v>
      </c>
      <c r="BG247" s="16" t="e">
        <f aca="false">MatchData[sally port scored crossings]*5</f>
        <v>#VALUE!</v>
      </c>
      <c r="BH247" s="16" t="e">
        <f aca="false">MatchData[rock wall scored crossings]*5</f>
        <v>#VALUE!</v>
      </c>
      <c r="BI247" s="16" t="e">
        <f aca="false">MatchData[rough terrain scored crossings]*5</f>
        <v>#VALUE!</v>
      </c>
      <c r="BJ247" s="16" t="e">
        <f aca="false">MatchData[low bar scored crossings]*5</f>
        <v>#VALUE!</v>
      </c>
      <c r="BK247" s="16" t="e">
        <f aca="false">SUM(MatchData[[#this row],[low bar teleop crossings]:[rough terrain scored crossings]])</f>
        <v>#VALUE!</v>
      </c>
      <c r="BL247" s="16" t="e">
        <f aca="false">IFERROR(IF(OR(MatchData[[#this row],[challenge flag]],MatchData[[#this row],[climb flag]]),1,0),0)</f>
        <v>#VALUE!</v>
      </c>
      <c r="BM247" s="16" t="e">
        <f aca="false">MatchData[auto high goals]*10+MatchData[teleop high goals]*5</f>
        <v>#VALUE!</v>
      </c>
      <c r="BN247" s="16" t="e">
        <f aca="false">MatchData[auto low goals]*5+MatchData[teleop low goals]*2</f>
        <v>#VALUE!</v>
      </c>
      <c r="BO247" s="16" t="e">
        <f aca="false">MatchData[high goal score]+MatchData[low goal score]</f>
        <v>#VALUE!</v>
      </c>
      <c r="BP247" s="16" t="e">
        <f aca="false">MatchData[teleop high goals]+MatchData[teleop low goals]</f>
        <v>#VALUE!</v>
      </c>
      <c r="BQ247" s="16" t="e">
        <f aca="false">MatchData[[#this row],[auto reach flag]]*2+SUM(MatchData[[#this row],[portcullis auto crossings]:[low bar auto crossings]])*10+MatchData[[#this row],[auto low goals]]*5+MatchData[auto high goals]*10</f>
        <v>#VALUE!</v>
      </c>
      <c r="BR247" s="16" t="e">
        <f aca="false">SUM(MatchData[[#this row],[cheval teleop crossing score]:[low bar teleop crossing score]])</f>
        <v>#VALUE!</v>
      </c>
      <c r="BS247" s="16" t="e">
        <f aca="false">SUMIF(MatchData[team],MatchData[[#this row],[team]],MatchData[total auto score])/MatchData[match count]</f>
        <v>#VALUE!</v>
      </c>
      <c r="BT247" s="16" t="e">
        <f aca="false">MatchData[challenge flag]*5</f>
        <v>#VALUE!</v>
      </c>
      <c r="BU247" s="16" t="e">
        <f aca="false">MatchData[climb flag]*15</f>
        <v>#VALUE!</v>
      </c>
      <c r="BV247" s="16" t="e">
        <f aca="false">SUM(MatchData[[#this row],[total goal score]],MatchData[[#this row],[crossing score]],MatchData[[#this row],[challenge score]],MatchData[[#this row],[climb score]],MatchData[[#this row],[total auto score]])</f>
        <v>#VALUE!</v>
      </c>
      <c r="BW247" s="16" t="e">
        <f aca="false">ROUND(SUMIF(MatchData[team],MatchData[[#this row],[team]],MatchData[teleop low goals])/COUNTIF(MatchData[team],MatchData[[#this row],[team]]),2)</f>
        <v>#VALUE!</v>
      </c>
      <c r="BX247" s="16" t="e">
        <f aca="false">ROUND(SUMIF(MatchData[team],MatchData[[#this row],[team]],MatchData[teleop high goals])/COUNTIF(MatchData[team],MatchData[[#this row],[team]]),2)</f>
        <v>#VALUE!</v>
      </c>
      <c r="BY247" s="16" t="e">
        <f aca="false">COUNTIF(MatchData[team],MatchData[[#this row],[team]])</f>
        <v>#VALUE!</v>
      </c>
      <c r="BZ247" s="16" t="e">
        <f aca="false">SUMIF(MatchData[team],MatchData[[#this row],[team]],MatchData[portcullis available])</f>
        <v>#VALUE!</v>
      </c>
      <c r="CA247" s="16" t="e">
        <f aca="false">SUMIF(MatchData[team],MatchData[[#this row],[team]],MatchData[cheval available])</f>
        <v>#VALUE!</v>
      </c>
      <c r="CB247" s="16" t="e">
        <f aca="false">SUMIF(MatchData[team],MatchData[[#this row],[team]],MatchData[moat available])</f>
        <v>#VALUE!</v>
      </c>
      <c r="CC247" s="16" t="e">
        <f aca="false">SUMIF(MatchData[team],MatchData[[#this row],[team]],MatchData[ramparts available])</f>
        <v>#VALUE!</v>
      </c>
      <c r="CD247" s="16" t="e">
        <f aca="false">SUMIF(MatchData[team],MatchData[[#this row],[team]],MatchData[drawbridge available])</f>
        <v>#VALUE!</v>
      </c>
      <c r="CE247" s="16" t="e">
        <f aca="false">SUMIF(MatchData[team],MatchData[[#this row],[team]],MatchData[sally port available])</f>
        <v>#VALUE!</v>
      </c>
      <c r="CF247" s="16" t="e">
        <f aca="false">SUMIF(MatchData[team],MatchData[[#this row],[team]],MatchData[rock wall available])</f>
        <v>#VALUE!</v>
      </c>
      <c r="CG247" s="16" t="e">
        <f aca="false">SUMIF(MatchData[team],MatchData[[#this row],[team]],MatchData[rough terrain available])</f>
        <v>#VALUE!</v>
      </c>
      <c r="CH247" s="16" t="e">
        <f aca="false">SUMIF(MatchData[team],MatchData[[#this row],[team]],MatchData[low bar available])</f>
        <v>#VALUE!</v>
      </c>
      <c r="CI247" s="16" t="e">
        <f aca="false">SUMIF(MatchData[team],MatchData[[#this row],[team]],MatchData[portcullis teleop crossings]:MatchData[portcullis scored crossings])</f>
        <v>#VALUE!</v>
      </c>
      <c r="CJ247" s="16" t="e">
        <f aca="false">SUMIF(MatchData[team],MatchData[[#this row],[team]],MatchData[cheval teleop crossings])+SUMIF(MatchData[team],MatchData[[#this row],[team]],MatchData[cheval scored crossings])</f>
        <v>#VALUE!</v>
      </c>
      <c r="CK247" s="16" t="e">
        <f aca="false">SUMIF(MatchData[team],MatchData[[#this row],[team]],MatchData[moat teleop crossings])+SUMIF(MatchData[team],MatchData[[#this row],[team]],MatchData[moat scored crosings])</f>
        <v>#VALUE!</v>
      </c>
      <c r="CL247" s="16" t="e">
        <f aca="false">SUMIF(MatchData[team],MatchData[[#this row],[team]],MatchData[ramparts teleop crossings])+SUMIF(MatchData[team],MatchData[[#this row],[team]],MatchData[ramparts scored crossings])</f>
        <v>#VALUE!</v>
      </c>
      <c r="CM247" s="16" t="e">
        <f aca="false">SUMIF(MatchData[team],MatchData[[#this row],[team]],MatchData[drawbridge teleop crossings])+SUMIF(MatchData[team],MatchData[[#this row],[team]],MatchData[drawbridge scored crossings])</f>
        <v>#VALUE!</v>
      </c>
      <c r="CN247" s="16" t="e">
        <f aca="false">SUMIF(MatchData[team],MatchData[[#this row],[team]],MatchData[sally port teleop crossings])+SUMIF(MatchData[team],MatchData[[#this row],[team]],MatchData[sally port scored crossings])</f>
        <v>#VALUE!</v>
      </c>
      <c r="CO247" s="16" t="e">
        <f aca="false">SUMIF(MatchData[team],MatchData[[#this row],[team]],MatchData[rock wall teleop crossings])+SUMIF(MatchData[team],MatchData[[#this row],[team]],MatchData[rock wall scored crossings])</f>
        <v>#VALUE!</v>
      </c>
      <c r="CP247" s="16" t="e">
        <f aca="false">SUMIF(MatchData[team],MatchData[[#this row],[team]],MatchData[rough terrain teleop crossings])+SUMIF(MatchData[team],MatchData[[#this row],[team]],MatchData[rough terrain scored crossings])</f>
        <v>#VALUE!</v>
      </c>
      <c r="CQ247" s="16" t="e">
        <f aca="false">SUMIF(MatchData[team],MatchData[[#this row],[team]],MatchData[low bar teleop crossings])+SUMIF(MatchData[team],MatchData[[#this row],[team]],MatchData[low bar scored crossings])</f>
        <v>#VALUE!</v>
      </c>
      <c r="CR247" s="16" t="e">
        <f aca="false">IFERROR(ROUND(MatchData[[#this row],[portcullis sum]]/MatchData[[#this row],[portcullis avail count]],2),0)</f>
        <v>#VALUE!</v>
      </c>
      <c r="CS247" s="16" t="e">
        <f aca="false">IFERROR(ROUND(MatchData[[#this row],[cheval sum]]/MatchData[[#this row],[cheval avail count]],2),0)</f>
        <v>#VALUE!</v>
      </c>
      <c r="CT247" s="16" t="e">
        <f aca="false">IFERROR(ROUND(MatchData[[#this row],[moat sum]]/MatchData[[#this row],[moat avail count]],2),0)</f>
        <v>#VALUE!</v>
      </c>
      <c r="CU247" s="16" t="e">
        <f aca="false">IFERROR(ROUND(MatchData[[#this row],[ramparts sum]]/MatchData[[#this row],[ramparts avail count]],2),0)</f>
        <v>#VALUE!</v>
      </c>
      <c r="CV247" s="16" t="e">
        <f aca="false">IFERROR(ROUND(MatchData[[#this row],[drawbridge sum]]/MatchData[[#this row],[drawbridge avail countigh6]],2),0)</f>
        <v>#VALUE!</v>
      </c>
      <c r="CW247" s="16" t="e">
        <f aca="false">IFERROR(ROUND(MatchData[[#this row],[sally port sum]]/MatchData[[#this row],[sally port avail count]],2),0)</f>
        <v>#VALUE!</v>
      </c>
      <c r="CX247" s="5" t="e">
        <f aca="false">IFERROR(ROUND(MatchData[[#this row],[rock wall sum]]/MatchData[[#this row],[rock wall avail count]],2),0)</f>
        <v>#VALUE!</v>
      </c>
      <c r="CY247" s="5" t="e">
        <f aca="false">IFERROR(ROUND(MatchData[[#this row],[rough terrain sum]]/MatchData[[#this row],[rough terrain avail count]],2),0)</f>
        <v>#VALUE!</v>
      </c>
      <c r="CZ247" s="5" t="e">
        <f aca="false">IFERROR(ROUND(MatchData[[#this row],[low bar sum]]/MatchData[[#this row],[low bar avail count]],2),0)</f>
        <v>#VALUE!</v>
      </c>
      <c r="DA247" s="16" t="e">
        <f aca="false">SUM(MatchData[[#this row],[cheval sum]:[low bar sum]])/MatchData[match count]</f>
        <v>#VALUE!</v>
      </c>
      <c r="DB247" s="16" t="n">
        <f aca="false">MAX(IF(C$2:C$74=C247,BP$2:BP$74))</f>
        <v>-1.79769313486232E+308</v>
      </c>
      <c r="DC247" s="16" t="e">
        <f aca="false">AVERAGEIF(MatchData[team],MatchData[[#this row],[team]],MatchData[total score])</f>
        <v>#VALUE!</v>
      </c>
      <c r="DD247" s="16" t="e">
        <f aca="false">ROUND(AVERAGEIF(MatchData[team],MatchData[team],MatchData[climb or challenge flag]),2)</f>
        <v>#VALUE!</v>
      </c>
    </row>
    <row r="248" customFormat="false" ht="14.5" hidden="false" customHeight="false" outlineLevel="0" collapsed="false">
      <c r="A248" s="20" t="s">
        <v>108</v>
      </c>
      <c r="B248" s="22" t="n">
        <v>42</v>
      </c>
      <c r="C248" s="15" t="n">
        <v>955</v>
      </c>
      <c r="D248" s="5" t="s">
        <v>109</v>
      </c>
      <c r="E248" s="5" t="s">
        <v>118</v>
      </c>
      <c r="G248" s="16" t="n">
        <v>2</v>
      </c>
      <c r="I248" s="16"/>
      <c r="J248" s="5" t="n">
        <v>1</v>
      </c>
      <c r="K248" s="16" t="n">
        <v>1</v>
      </c>
      <c r="N248" s="5" t="n">
        <v>1</v>
      </c>
      <c r="O248" s="0"/>
      <c r="P248" s="5" t="n">
        <v>1</v>
      </c>
      <c r="Q248" s="5" t="n">
        <v>1</v>
      </c>
      <c r="R248" s="0"/>
      <c r="S248" s="16"/>
      <c r="T248" s="0"/>
      <c r="U248" s="16"/>
      <c r="V248" s="16"/>
      <c r="W248" s="0"/>
      <c r="Z248" s="5" t="n">
        <v>1</v>
      </c>
      <c r="AD248" s="16"/>
      <c r="AE248" s="5"/>
      <c r="AF248" s="16"/>
      <c r="AG248" s="16"/>
      <c r="AH248" s="16"/>
      <c r="AJ248" s="16"/>
      <c r="AL248" s="16" t="n">
        <v>2</v>
      </c>
      <c r="AN248" s="16"/>
      <c r="AP248" s="16"/>
      <c r="AR248" s="16" t="n">
        <v>2</v>
      </c>
      <c r="AT248" s="16"/>
      <c r="AU248" s="16"/>
      <c r="AV248" s="16"/>
      <c r="AW248" s="16" t="n">
        <v>1</v>
      </c>
      <c r="AX248" s="16"/>
      <c r="AY248" s="16"/>
      <c r="AZ248" s="16"/>
      <c r="BB248" s="16" t="n">
        <v>1</v>
      </c>
      <c r="BC248" s="16" t="e">
        <f aca="false">MatchData[cheval scored crossings]*5</f>
        <v>#VALUE!</v>
      </c>
      <c r="BD248" s="16" t="e">
        <f aca="false">MatchData[moat scored crosings]*5</f>
        <v>#VALUE!</v>
      </c>
      <c r="BE248" s="16" t="e">
        <f aca="false">MatchData[ramparts scored crossings]*5</f>
        <v>#VALUE!</v>
      </c>
      <c r="BF248" s="16" t="e">
        <f aca="false">MatchData[drawbridge scored crossings]*5</f>
        <v>#VALUE!</v>
      </c>
      <c r="BG248" s="16" t="e">
        <f aca="false">MatchData[sally port scored crossings]*5</f>
        <v>#VALUE!</v>
      </c>
      <c r="BH248" s="16" t="e">
        <f aca="false">MatchData[rock wall scored crossings]*5</f>
        <v>#VALUE!</v>
      </c>
      <c r="BI248" s="16" t="e">
        <f aca="false">MatchData[rough terrain scored crossings]*5</f>
        <v>#VALUE!</v>
      </c>
      <c r="BJ248" s="16" t="e">
        <f aca="false">MatchData[low bar scored crossings]*5</f>
        <v>#VALUE!</v>
      </c>
      <c r="BK248" s="16" t="e">
        <f aca="false">SUM(MatchData[[#this row],[low bar teleop crossings]:[rough terrain scored crossings]])</f>
        <v>#VALUE!</v>
      </c>
      <c r="BL248" s="16" t="e">
        <f aca="false">IFERROR(IF(OR(MatchData[[#this row],[challenge flag]],MatchData[[#this row],[climb flag]]),1,0),0)</f>
        <v>#VALUE!</v>
      </c>
      <c r="BM248" s="16" t="e">
        <f aca="false">MatchData[auto high goals]*10+MatchData[teleop high goals]*5</f>
        <v>#VALUE!</v>
      </c>
      <c r="BN248" s="16" t="e">
        <f aca="false">MatchData[auto low goals]*5+MatchData[teleop low goals]*2</f>
        <v>#VALUE!</v>
      </c>
      <c r="BO248" s="16" t="e">
        <f aca="false">MatchData[high goal score]+MatchData[low goal score]</f>
        <v>#VALUE!</v>
      </c>
      <c r="BP248" s="16" t="e">
        <f aca="false">MatchData[teleop high goals]+MatchData[teleop low goals]</f>
        <v>#VALUE!</v>
      </c>
      <c r="BQ248" s="16" t="e">
        <f aca="false">MatchData[[#this row],[auto reach flag]]*2+SUM(MatchData[[#this row],[portcullis auto crossings]:[low bar auto crossings]])*10+MatchData[[#this row],[auto low goals]]*5+MatchData[auto high goals]*10</f>
        <v>#VALUE!</v>
      </c>
      <c r="BR248" s="16" t="e">
        <f aca="false">SUM(MatchData[[#this row],[cheval teleop crossing score]:[low bar teleop crossing score]])</f>
        <v>#VALUE!</v>
      </c>
      <c r="BS248" s="16" t="e">
        <f aca="false">SUMIF(MatchData[team],MatchData[[#this row],[team]],MatchData[total auto score])/MatchData[match count]</f>
        <v>#VALUE!</v>
      </c>
      <c r="BT248" s="16" t="e">
        <f aca="false">MatchData[challenge flag]*5</f>
        <v>#VALUE!</v>
      </c>
      <c r="BU248" s="16" t="e">
        <f aca="false">MatchData[climb flag]*15</f>
        <v>#VALUE!</v>
      </c>
      <c r="BV248" s="16" t="e">
        <f aca="false">SUM(MatchData[[#this row],[total goal score]],MatchData[[#this row],[crossing score]],MatchData[[#this row],[challenge score]],MatchData[[#this row],[climb score]],MatchData[[#this row],[total auto score]])</f>
        <v>#VALUE!</v>
      </c>
      <c r="BW248" s="16" t="e">
        <f aca="false">ROUND(SUMIF(MatchData[team],MatchData[[#this row],[team]],MatchData[teleop low goals])/COUNTIF(MatchData[team],MatchData[[#this row],[team]]),2)</f>
        <v>#VALUE!</v>
      </c>
      <c r="BX248" s="16" t="e">
        <f aca="false">ROUND(SUMIF(MatchData[team],MatchData[[#this row],[team]],MatchData[teleop high goals])/COUNTIF(MatchData[team],MatchData[[#this row],[team]]),2)</f>
        <v>#VALUE!</v>
      </c>
      <c r="BY248" s="16" t="e">
        <f aca="false">COUNTIF(MatchData[team],MatchData[[#this row],[team]])</f>
        <v>#VALUE!</v>
      </c>
      <c r="BZ248" s="16" t="e">
        <f aca="false">SUMIF(MatchData[team],MatchData[[#this row],[team]],MatchData[portcullis available])</f>
        <v>#VALUE!</v>
      </c>
      <c r="CA248" s="16" t="e">
        <f aca="false">SUMIF(MatchData[team],MatchData[[#this row],[team]],MatchData[cheval available])</f>
        <v>#VALUE!</v>
      </c>
      <c r="CB248" s="16" t="e">
        <f aca="false">SUMIF(MatchData[team],MatchData[[#this row],[team]],MatchData[moat available])</f>
        <v>#VALUE!</v>
      </c>
      <c r="CC248" s="16" t="e">
        <f aca="false">SUMIF(MatchData[team],MatchData[[#this row],[team]],MatchData[ramparts available])</f>
        <v>#VALUE!</v>
      </c>
      <c r="CD248" s="16" t="e">
        <f aca="false">SUMIF(MatchData[team],MatchData[[#this row],[team]],MatchData[drawbridge available])</f>
        <v>#VALUE!</v>
      </c>
      <c r="CE248" s="16" t="e">
        <f aca="false">SUMIF(MatchData[team],MatchData[[#this row],[team]],MatchData[sally port available])</f>
        <v>#VALUE!</v>
      </c>
      <c r="CF248" s="16" t="e">
        <f aca="false">SUMIF(MatchData[team],MatchData[[#this row],[team]],MatchData[rock wall available])</f>
        <v>#VALUE!</v>
      </c>
      <c r="CG248" s="16" t="e">
        <f aca="false">SUMIF(MatchData[team],MatchData[[#this row],[team]],MatchData[rough terrain available])</f>
        <v>#VALUE!</v>
      </c>
      <c r="CH248" s="16" t="e">
        <f aca="false">SUMIF(MatchData[team],MatchData[[#this row],[team]],MatchData[low bar available])</f>
        <v>#VALUE!</v>
      </c>
      <c r="CI248" s="16" t="e">
        <f aca="false">SUMIF(MatchData[team],MatchData[[#this row],[team]],MatchData[portcullis teleop crossings]:MatchData[portcullis scored crossings])</f>
        <v>#VALUE!</v>
      </c>
      <c r="CJ248" s="16" t="e">
        <f aca="false">SUMIF(MatchData[team],MatchData[[#this row],[team]],MatchData[cheval teleop crossings])+SUMIF(MatchData[team],MatchData[[#this row],[team]],MatchData[cheval scored crossings])</f>
        <v>#VALUE!</v>
      </c>
      <c r="CK248" s="16" t="e">
        <f aca="false">SUMIF(MatchData[team],MatchData[[#this row],[team]],MatchData[moat teleop crossings])+SUMIF(MatchData[team],MatchData[[#this row],[team]],MatchData[moat scored crosings])</f>
        <v>#VALUE!</v>
      </c>
      <c r="CL248" s="16" t="e">
        <f aca="false">SUMIF(MatchData[team],MatchData[[#this row],[team]],MatchData[ramparts teleop crossings])+SUMIF(MatchData[team],MatchData[[#this row],[team]],MatchData[ramparts scored crossings])</f>
        <v>#VALUE!</v>
      </c>
      <c r="CM248" s="16" t="e">
        <f aca="false">SUMIF(MatchData[team],MatchData[[#this row],[team]],MatchData[drawbridge teleop crossings])+SUMIF(MatchData[team],MatchData[[#this row],[team]],MatchData[drawbridge scored crossings])</f>
        <v>#VALUE!</v>
      </c>
      <c r="CN248" s="16" t="e">
        <f aca="false">SUMIF(MatchData[team],MatchData[[#this row],[team]],MatchData[sally port teleop crossings])+SUMIF(MatchData[team],MatchData[[#this row],[team]],MatchData[sally port scored crossings])</f>
        <v>#VALUE!</v>
      </c>
      <c r="CO248" s="16" t="e">
        <f aca="false">SUMIF(MatchData[team],MatchData[[#this row],[team]],MatchData[rock wall teleop crossings])+SUMIF(MatchData[team],MatchData[[#this row],[team]],MatchData[rock wall scored crossings])</f>
        <v>#VALUE!</v>
      </c>
      <c r="CP248" s="16" t="e">
        <f aca="false">SUMIF(MatchData[team],MatchData[[#this row],[team]],MatchData[rough terrain teleop crossings])+SUMIF(MatchData[team],MatchData[[#this row],[team]],MatchData[rough terrain scored crossings])</f>
        <v>#VALUE!</v>
      </c>
      <c r="CQ248" s="16" t="e">
        <f aca="false">SUMIF(MatchData[team],MatchData[[#this row],[team]],MatchData[low bar teleop crossings])+SUMIF(MatchData[team],MatchData[[#this row],[team]],MatchData[low bar scored crossings])</f>
        <v>#VALUE!</v>
      </c>
      <c r="CR248" s="16" t="e">
        <f aca="false">IFERROR(ROUND(MatchData[[#this row],[portcullis sum]]/MatchData[[#this row],[portcullis avail count]],2),0)</f>
        <v>#VALUE!</v>
      </c>
      <c r="CS248" s="16" t="e">
        <f aca="false">IFERROR(ROUND(MatchData[[#this row],[cheval sum]]/MatchData[[#this row],[cheval avail count]],2),0)</f>
        <v>#VALUE!</v>
      </c>
      <c r="CT248" s="16" t="e">
        <f aca="false">IFERROR(ROUND(MatchData[[#this row],[moat sum]]/MatchData[[#this row],[moat avail count]],2),0)</f>
        <v>#VALUE!</v>
      </c>
      <c r="CU248" s="16" t="e">
        <f aca="false">IFERROR(ROUND(MatchData[[#this row],[ramparts sum]]/MatchData[[#this row],[ramparts avail count]],2),0)</f>
        <v>#VALUE!</v>
      </c>
      <c r="CV248" s="16" t="e">
        <f aca="false">IFERROR(ROUND(MatchData[[#this row],[drawbridge sum]]/MatchData[[#this row],[drawbridge avail countigh6]],2),0)</f>
        <v>#VALUE!</v>
      </c>
      <c r="CW248" s="16" t="e">
        <f aca="false">IFERROR(ROUND(MatchData[[#this row],[sally port sum]]/MatchData[[#this row],[sally port avail count]],2),0)</f>
        <v>#VALUE!</v>
      </c>
      <c r="CX248" s="5" t="e">
        <f aca="false">IFERROR(ROUND(MatchData[[#this row],[rock wall sum]]/MatchData[[#this row],[rock wall avail count]],2),0)</f>
        <v>#VALUE!</v>
      </c>
      <c r="CY248" s="5" t="e">
        <f aca="false">IFERROR(ROUND(MatchData[[#this row],[rough terrain sum]]/MatchData[[#this row],[rough terrain avail count]],2),0)</f>
        <v>#VALUE!</v>
      </c>
      <c r="CZ248" s="5" t="e">
        <f aca="false">IFERROR(ROUND(MatchData[[#this row],[low bar sum]]/MatchData[[#this row],[low bar avail count]],2),0)</f>
        <v>#VALUE!</v>
      </c>
      <c r="DA248" s="16" t="e">
        <f aca="false">SUM(MatchData[[#this row],[cheval sum]:[low bar sum]])/MatchData[match count]</f>
        <v>#VALUE!</v>
      </c>
      <c r="DB248" s="16" t="n">
        <f aca="false">MAX(IF(C$2:C$74=C248,BP$2:BP$74))</f>
        <v>-1.79769313486232E+308</v>
      </c>
      <c r="DC248" s="16" t="e">
        <f aca="false">AVERAGEIF(MatchData[team],MatchData[[#this row],[team]],MatchData[total score])</f>
        <v>#VALUE!</v>
      </c>
      <c r="DD248" s="16" t="e">
        <f aca="false">ROUND(AVERAGEIF(MatchData[team],MatchData[team],MatchData[climb or challenge flag]),2)</f>
        <v>#VALUE!</v>
      </c>
    </row>
    <row r="249" customFormat="false" ht="14.5" hidden="false" customHeight="false" outlineLevel="0" collapsed="false">
      <c r="A249" s="20" t="s">
        <v>108</v>
      </c>
      <c r="B249" s="21" t="n">
        <v>42</v>
      </c>
      <c r="C249" s="15" t="n">
        <v>4488</v>
      </c>
      <c r="D249" s="5" t="s">
        <v>109</v>
      </c>
      <c r="E249" s="5" t="s">
        <v>152</v>
      </c>
      <c r="G249" s="16" t="n">
        <v>3</v>
      </c>
      <c r="I249" s="16"/>
      <c r="J249" s="5" t="n">
        <v>1</v>
      </c>
      <c r="K249" s="16" t="n">
        <v>1</v>
      </c>
      <c r="N249" s="5" t="n">
        <v>1</v>
      </c>
      <c r="O249" s="0"/>
      <c r="P249" s="5" t="n">
        <v>1</v>
      </c>
      <c r="Q249" s="5" t="n">
        <v>1</v>
      </c>
      <c r="R249" s="0"/>
      <c r="S249" s="16"/>
      <c r="T249" s="5" t="n">
        <v>1</v>
      </c>
      <c r="U249" s="16"/>
      <c r="V249" s="16"/>
      <c r="W249" s="0"/>
      <c r="AD249" s="16" t="n">
        <v>1</v>
      </c>
      <c r="AE249" s="5"/>
      <c r="AF249" s="16" t="n">
        <v>2</v>
      </c>
      <c r="AG249" s="16"/>
      <c r="AH249" s="16"/>
      <c r="AJ249" s="16"/>
      <c r="AL249" s="16"/>
      <c r="AN249" s="16"/>
      <c r="AP249" s="16"/>
      <c r="AR249" s="16"/>
      <c r="AT249" s="16"/>
      <c r="AU249" s="16" t="n">
        <v>1</v>
      </c>
      <c r="AV249" s="16"/>
      <c r="AW249" s="16" t="n">
        <v>1</v>
      </c>
      <c r="AX249" s="16"/>
      <c r="AY249" s="16"/>
      <c r="AZ249" s="16"/>
      <c r="BB249" s="16" t="n">
        <v>1</v>
      </c>
      <c r="BC249" s="16" t="e">
        <f aca="false">MatchData[cheval scored crossings]*5</f>
        <v>#VALUE!</v>
      </c>
      <c r="BD249" s="16" t="e">
        <f aca="false">MatchData[moat scored crosings]*5</f>
        <v>#VALUE!</v>
      </c>
      <c r="BE249" s="16" t="e">
        <f aca="false">MatchData[ramparts scored crossings]*5</f>
        <v>#VALUE!</v>
      </c>
      <c r="BF249" s="16" t="e">
        <f aca="false">MatchData[drawbridge scored crossings]*5</f>
        <v>#VALUE!</v>
      </c>
      <c r="BG249" s="16" t="e">
        <f aca="false">MatchData[sally port scored crossings]*5</f>
        <v>#VALUE!</v>
      </c>
      <c r="BH249" s="16" t="e">
        <f aca="false">MatchData[rock wall scored crossings]*5</f>
        <v>#VALUE!</v>
      </c>
      <c r="BI249" s="16" t="e">
        <f aca="false">MatchData[rough terrain scored crossings]*5</f>
        <v>#VALUE!</v>
      </c>
      <c r="BJ249" s="16" t="e">
        <f aca="false">MatchData[low bar scored crossings]*5</f>
        <v>#VALUE!</v>
      </c>
      <c r="BK249" s="16" t="e">
        <f aca="false">SUM(MatchData[[#this row],[low bar teleop crossings]:[rough terrain scored crossings]])</f>
        <v>#VALUE!</v>
      </c>
      <c r="BL249" s="16" t="e">
        <f aca="false">IFERROR(IF(OR(MatchData[[#this row],[challenge flag]],MatchData[[#this row],[climb flag]]),1,0),0)</f>
        <v>#VALUE!</v>
      </c>
      <c r="BM249" s="16" t="e">
        <f aca="false">MatchData[auto high goals]*10+MatchData[teleop high goals]*5</f>
        <v>#VALUE!</v>
      </c>
      <c r="BN249" s="16" t="e">
        <f aca="false">MatchData[auto low goals]*5+MatchData[teleop low goals]*2</f>
        <v>#VALUE!</v>
      </c>
      <c r="BO249" s="16" t="e">
        <f aca="false">MatchData[high goal score]+MatchData[low goal score]</f>
        <v>#VALUE!</v>
      </c>
      <c r="BP249" s="16" t="e">
        <f aca="false">MatchData[teleop high goals]+MatchData[teleop low goals]</f>
        <v>#VALUE!</v>
      </c>
      <c r="BQ249" s="16" t="e">
        <f aca="false">MatchData[[#this row],[auto reach flag]]*2+SUM(MatchData[[#this row],[portcullis auto crossings]:[low bar auto crossings]])*10+MatchData[[#this row],[auto low goals]]*5+MatchData[auto high goals]*10</f>
        <v>#VALUE!</v>
      </c>
      <c r="BR249" s="16" t="e">
        <f aca="false">SUM(MatchData[[#this row],[cheval teleop crossing score]:[low bar teleop crossing score]])</f>
        <v>#VALUE!</v>
      </c>
      <c r="BS249" s="16" t="e">
        <f aca="false">SUMIF(MatchData[team],MatchData[[#this row],[team]],MatchData[total auto score])/MatchData[match count]</f>
        <v>#VALUE!</v>
      </c>
      <c r="BT249" s="16" t="e">
        <f aca="false">MatchData[challenge flag]*5</f>
        <v>#VALUE!</v>
      </c>
      <c r="BU249" s="16" t="e">
        <f aca="false">MatchData[climb flag]*15</f>
        <v>#VALUE!</v>
      </c>
      <c r="BV249" s="16" t="e">
        <f aca="false">SUM(MatchData[[#this row],[total goal score]],MatchData[[#this row],[crossing score]],MatchData[[#this row],[challenge score]],MatchData[[#this row],[climb score]],MatchData[[#this row],[total auto score]])</f>
        <v>#VALUE!</v>
      </c>
      <c r="BW249" s="16" t="e">
        <f aca="false">ROUND(SUMIF(MatchData[team],MatchData[[#this row],[team]],MatchData[teleop low goals])/COUNTIF(MatchData[team],MatchData[[#this row],[team]]),2)</f>
        <v>#VALUE!</v>
      </c>
      <c r="BX249" s="16" t="e">
        <f aca="false">ROUND(SUMIF(MatchData[team],MatchData[[#this row],[team]],MatchData[teleop high goals])/COUNTIF(MatchData[team],MatchData[[#this row],[team]]),2)</f>
        <v>#VALUE!</v>
      </c>
      <c r="BY249" s="16" t="e">
        <f aca="false">COUNTIF(MatchData[team],MatchData[[#this row],[team]])</f>
        <v>#VALUE!</v>
      </c>
      <c r="BZ249" s="16" t="e">
        <f aca="false">SUMIF(MatchData[team],MatchData[[#this row],[team]],MatchData[portcullis available])</f>
        <v>#VALUE!</v>
      </c>
      <c r="CA249" s="16" t="e">
        <f aca="false">SUMIF(MatchData[team],MatchData[[#this row],[team]],MatchData[cheval available])</f>
        <v>#VALUE!</v>
      </c>
      <c r="CB249" s="16" t="e">
        <f aca="false">SUMIF(MatchData[team],MatchData[[#this row],[team]],MatchData[moat available])</f>
        <v>#VALUE!</v>
      </c>
      <c r="CC249" s="16" t="e">
        <f aca="false">SUMIF(MatchData[team],MatchData[[#this row],[team]],MatchData[ramparts available])</f>
        <v>#VALUE!</v>
      </c>
      <c r="CD249" s="16" t="e">
        <f aca="false">SUMIF(MatchData[team],MatchData[[#this row],[team]],MatchData[drawbridge available])</f>
        <v>#VALUE!</v>
      </c>
      <c r="CE249" s="16" t="e">
        <f aca="false">SUMIF(MatchData[team],MatchData[[#this row],[team]],MatchData[sally port available])</f>
        <v>#VALUE!</v>
      </c>
      <c r="CF249" s="16" t="e">
        <f aca="false">SUMIF(MatchData[team],MatchData[[#this row],[team]],MatchData[rock wall available])</f>
        <v>#VALUE!</v>
      </c>
      <c r="CG249" s="16" t="e">
        <f aca="false">SUMIF(MatchData[team],MatchData[[#this row],[team]],MatchData[rough terrain available])</f>
        <v>#VALUE!</v>
      </c>
      <c r="CH249" s="16" t="e">
        <f aca="false">SUMIF(MatchData[team],MatchData[[#this row],[team]],MatchData[low bar available])</f>
        <v>#VALUE!</v>
      </c>
      <c r="CI249" s="16" t="e">
        <f aca="false">SUMIF(MatchData[team],MatchData[[#this row],[team]],MatchData[portcullis teleop crossings]:MatchData[portcullis scored crossings])</f>
        <v>#VALUE!</v>
      </c>
      <c r="CJ249" s="16" t="e">
        <f aca="false">SUMIF(MatchData[team],MatchData[[#this row],[team]],MatchData[cheval teleop crossings])+SUMIF(MatchData[team],MatchData[[#this row],[team]],MatchData[cheval scored crossings])</f>
        <v>#VALUE!</v>
      </c>
      <c r="CK249" s="16" t="e">
        <f aca="false">SUMIF(MatchData[team],MatchData[[#this row],[team]],MatchData[moat teleop crossings])+SUMIF(MatchData[team],MatchData[[#this row],[team]],MatchData[moat scored crosings])</f>
        <v>#VALUE!</v>
      </c>
      <c r="CL249" s="16" t="e">
        <f aca="false">SUMIF(MatchData[team],MatchData[[#this row],[team]],MatchData[ramparts teleop crossings])+SUMIF(MatchData[team],MatchData[[#this row],[team]],MatchData[ramparts scored crossings])</f>
        <v>#VALUE!</v>
      </c>
      <c r="CM249" s="16" t="e">
        <f aca="false">SUMIF(MatchData[team],MatchData[[#this row],[team]],MatchData[drawbridge teleop crossings])+SUMIF(MatchData[team],MatchData[[#this row],[team]],MatchData[drawbridge scored crossings])</f>
        <v>#VALUE!</v>
      </c>
      <c r="CN249" s="16" t="e">
        <f aca="false">SUMIF(MatchData[team],MatchData[[#this row],[team]],MatchData[sally port teleop crossings])+SUMIF(MatchData[team],MatchData[[#this row],[team]],MatchData[sally port scored crossings])</f>
        <v>#VALUE!</v>
      </c>
      <c r="CO249" s="16" t="e">
        <f aca="false">SUMIF(MatchData[team],MatchData[[#this row],[team]],MatchData[rock wall teleop crossings])+SUMIF(MatchData[team],MatchData[[#this row],[team]],MatchData[rock wall scored crossings])</f>
        <v>#VALUE!</v>
      </c>
      <c r="CP249" s="16" t="e">
        <f aca="false">SUMIF(MatchData[team],MatchData[[#this row],[team]],MatchData[rough terrain teleop crossings])+SUMIF(MatchData[team],MatchData[[#this row],[team]],MatchData[rough terrain scored crossings])</f>
        <v>#VALUE!</v>
      </c>
      <c r="CQ249" s="16" t="e">
        <f aca="false">SUMIF(MatchData[team],MatchData[[#this row],[team]],MatchData[low bar teleop crossings])+SUMIF(MatchData[team],MatchData[[#this row],[team]],MatchData[low bar scored crossings])</f>
        <v>#VALUE!</v>
      </c>
      <c r="CR249" s="16" t="e">
        <f aca="false">IFERROR(ROUND(MatchData[[#this row],[portcullis sum]]/MatchData[[#this row],[portcullis avail count]],2),0)</f>
        <v>#VALUE!</v>
      </c>
      <c r="CS249" s="16" t="e">
        <f aca="false">IFERROR(ROUND(MatchData[[#this row],[cheval sum]]/MatchData[[#this row],[cheval avail count]],2),0)</f>
        <v>#VALUE!</v>
      </c>
      <c r="CT249" s="16" t="e">
        <f aca="false">IFERROR(ROUND(MatchData[[#this row],[moat sum]]/MatchData[[#this row],[moat avail count]],2),0)</f>
        <v>#VALUE!</v>
      </c>
      <c r="CU249" s="16" t="e">
        <f aca="false">IFERROR(ROUND(MatchData[[#this row],[ramparts sum]]/MatchData[[#this row],[ramparts avail count]],2),0)</f>
        <v>#VALUE!</v>
      </c>
      <c r="CV249" s="16" t="e">
        <f aca="false">IFERROR(ROUND(MatchData[[#this row],[drawbridge sum]]/MatchData[[#this row],[drawbridge avail countigh6]],2),0)</f>
        <v>#VALUE!</v>
      </c>
      <c r="CW249" s="16" t="e">
        <f aca="false">IFERROR(ROUND(MatchData[[#this row],[sally port sum]]/MatchData[[#this row],[sally port avail count]],2),0)</f>
        <v>#VALUE!</v>
      </c>
      <c r="CX249" s="5" t="e">
        <f aca="false">IFERROR(ROUND(MatchData[[#this row],[rock wall sum]]/MatchData[[#this row],[rock wall avail count]],2),0)</f>
        <v>#VALUE!</v>
      </c>
      <c r="CY249" s="5" t="e">
        <f aca="false">IFERROR(ROUND(MatchData[[#this row],[rough terrain sum]]/MatchData[[#this row],[rough terrain avail count]],2),0)</f>
        <v>#VALUE!</v>
      </c>
      <c r="CZ249" s="5" t="e">
        <f aca="false">IFERROR(ROUND(MatchData[[#this row],[low bar sum]]/MatchData[[#this row],[low bar avail count]],2),0)</f>
        <v>#VALUE!</v>
      </c>
      <c r="DA249" s="16" t="e">
        <f aca="false">SUM(MatchData[[#this row],[cheval sum]:[low bar sum]])/MatchData[match count]</f>
        <v>#VALUE!</v>
      </c>
      <c r="DB249" s="16" t="n">
        <f aca="false">MAX(IF(C$2:C$74=C249,BP$2:BP$74))</f>
        <v>-1.79769313486232E+308</v>
      </c>
      <c r="DC249" s="16" t="e">
        <f aca="false">AVERAGEIF(MatchData[team],MatchData[[#this row],[team]],MatchData[total score])</f>
        <v>#VALUE!</v>
      </c>
      <c r="DD249" s="16" t="e">
        <f aca="false">ROUND(AVERAGEIF(MatchData[team],MatchData[team],MatchData[climb or challenge flag]),2)</f>
        <v>#VALUE!</v>
      </c>
    </row>
    <row r="250" customFormat="false" ht="14.5" hidden="false" customHeight="false" outlineLevel="0" collapsed="false">
      <c r="A250" s="20" t="s">
        <v>108</v>
      </c>
      <c r="B250" s="22" t="n">
        <v>42</v>
      </c>
      <c r="C250" s="15" t="n">
        <v>5956</v>
      </c>
      <c r="D250" s="5" t="s">
        <v>109</v>
      </c>
      <c r="G250" s="16"/>
      <c r="I250" s="16"/>
      <c r="J250" s="5" t="n">
        <v>1</v>
      </c>
      <c r="K250" s="16" t="n">
        <v>1</v>
      </c>
      <c r="N250" s="5" t="n">
        <v>1</v>
      </c>
      <c r="O250" s="0"/>
      <c r="P250" s="5" t="n">
        <v>1</v>
      </c>
      <c r="Q250" s="5" t="n">
        <v>1</v>
      </c>
      <c r="R250" s="0"/>
      <c r="S250" s="16"/>
      <c r="U250" s="16"/>
      <c r="V250" s="16"/>
      <c r="W250" s="0"/>
      <c r="AD250" s="16" t="n">
        <v>1</v>
      </c>
      <c r="AE250" s="5"/>
      <c r="AF250" s="16"/>
      <c r="AG250" s="16"/>
      <c r="AH250" s="16"/>
      <c r="AJ250" s="16"/>
      <c r="AL250" s="16"/>
      <c r="AN250" s="16"/>
      <c r="AP250" s="16"/>
      <c r="AR250" s="16"/>
      <c r="AT250" s="16"/>
      <c r="AU250" s="16"/>
      <c r="AV250" s="16"/>
      <c r="AW250" s="16"/>
      <c r="AX250" s="16"/>
      <c r="AY250" s="16" t="n">
        <v>1</v>
      </c>
      <c r="AZ250" s="16" t="n">
        <v>1</v>
      </c>
      <c r="BB250" s="16" t="n">
        <v>1</v>
      </c>
      <c r="BC250" s="16" t="e">
        <f aca="false">MatchData[cheval scored crossings]*5</f>
        <v>#VALUE!</v>
      </c>
      <c r="BD250" s="16" t="e">
        <f aca="false">MatchData[moat scored crosings]*5</f>
        <v>#VALUE!</v>
      </c>
      <c r="BE250" s="16" t="e">
        <f aca="false">MatchData[ramparts scored crossings]*5</f>
        <v>#VALUE!</v>
      </c>
      <c r="BF250" s="16" t="e">
        <f aca="false">MatchData[drawbridge scored crossings]*5</f>
        <v>#VALUE!</v>
      </c>
      <c r="BG250" s="16" t="e">
        <f aca="false">MatchData[sally port scored crossings]*5</f>
        <v>#VALUE!</v>
      </c>
      <c r="BH250" s="16" t="e">
        <f aca="false">MatchData[rock wall scored crossings]*5</f>
        <v>#VALUE!</v>
      </c>
      <c r="BI250" s="16" t="e">
        <f aca="false">MatchData[rough terrain scored crossings]*5</f>
        <v>#VALUE!</v>
      </c>
      <c r="BJ250" s="16" t="e">
        <f aca="false">MatchData[low bar scored crossings]*5</f>
        <v>#VALUE!</v>
      </c>
      <c r="BK250" s="16" t="e">
        <f aca="false">SUM(MatchData[[#this row],[low bar teleop crossings]:[rough terrain scored crossings]])</f>
        <v>#VALUE!</v>
      </c>
      <c r="BL250" s="16" t="e">
        <f aca="false">IFERROR(IF(OR(MatchData[[#this row],[challenge flag]],MatchData[[#this row],[climb flag]]),1,0),0)</f>
        <v>#VALUE!</v>
      </c>
      <c r="BM250" s="16" t="e">
        <f aca="false">MatchData[auto high goals]*10+MatchData[teleop high goals]*5</f>
        <v>#VALUE!</v>
      </c>
      <c r="BN250" s="16" t="e">
        <f aca="false">MatchData[auto low goals]*5+MatchData[teleop low goals]*2</f>
        <v>#VALUE!</v>
      </c>
      <c r="BO250" s="16" t="e">
        <f aca="false">MatchData[high goal score]+MatchData[low goal score]</f>
        <v>#VALUE!</v>
      </c>
      <c r="BP250" s="16" t="e">
        <f aca="false">MatchData[teleop high goals]+MatchData[teleop low goals]</f>
        <v>#VALUE!</v>
      </c>
      <c r="BQ250" s="16" t="e">
        <f aca="false">MatchData[[#this row],[auto reach flag]]*2+SUM(MatchData[[#this row],[portcullis auto crossings]:[low bar auto crossings]])*10+MatchData[[#this row],[auto low goals]]*5+MatchData[auto high goals]*10</f>
        <v>#VALUE!</v>
      </c>
      <c r="BR250" s="16" t="e">
        <f aca="false">SUM(MatchData[[#this row],[cheval teleop crossing score]:[low bar teleop crossing score]])</f>
        <v>#VALUE!</v>
      </c>
      <c r="BS250" s="16" t="e">
        <f aca="false">SUMIF(MatchData[team],MatchData[[#this row],[team]],MatchData[total auto score])/MatchData[match count]</f>
        <v>#VALUE!</v>
      </c>
      <c r="BT250" s="16" t="e">
        <f aca="false">MatchData[challenge flag]*5</f>
        <v>#VALUE!</v>
      </c>
      <c r="BU250" s="16" t="e">
        <f aca="false">MatchData[climb flag]*15</f>
        <v>#VALUE!</v>
      </c>
      <c r="BV250" s="16" t="e">
        <f aca="false">SUM(MatchData[[#this row],[total goal score]],MatchData[[#this row],[crossing score]],MatchData[[#this row],[challenge score]],MatchData[[#this row],[climb score]],MatchData[[#this row],[total auto score]])</f>
        <v>#VALUE!</v>
      </c>
      <c r="BW250" s="16" t="e">
        <f aca="false">ROUND(SUMIF(MatchData[team],MatchData[[#this row],[team]],MatchData[teleop low goals])/COUNTIF(MatchData[team],MatchData[[#this row],[team]]),2)</f>
        <v>#VALUE!</v>
      </c>
      <c r="BX250" s="16" t="e">
        <f aca="false">ROUND(SUMIF(MatchData[team],MatchData[[#this row],[team]],MatchData[teleop high goals])/COUNTIF(MatchData[team],MatchData[[#this row],[team]]),2)</f>
        <v>#VALUE!</v>
      </c>
      <c r="BY250" s="16" t="e">
        <f aca="false">COUNTIF(MatchData[team],MatchData[[#this row],[team]])</f>
        <v>#VALUE!</v>
      </c>
      <c r="BZ250" s="16" t="e">
        <f aca="false">SUMIF(MatchData[team],MatchData[[#this row],[team]],MatchData[portcullis available])</f>
        <v>#VALUE!</v>
      </c>
      <c r="CA250" s="16" t="e">
        <f aca="false">SUMIF(MatchData[team],MatchData[[#this row],[team]],MatchData[cheval available])</f>
        <v>#VALUE!</v>
      </c>
      <c r="CB250" s="16" t="e">
        <f aca="false">SUMIF(MatchData[team],MatchData[[#this row],[team]],MatchData[moat available])</f>
        <v>#VALUE!</v>
      </c>
      <c r="CC250" s="16" t="e">
        <f aca="false">SUMIF(MatchData[team],MatchData[[#this row],[team]],MatchData[ramparts available])</f>
        <v>#VALUE!</v>
      </c>
      <c r="CD250" s="16" t="e">
        <f aca="false">SUMIF(MatchData[team],MatchData[[#this row],[team]],MatchData[drawbridge available])</f>
        <v>#VALUE!</v>
      </c>
      <c r="CE250" s="16" t="e">
        <f aca="false">SUMIF(MatchData[team],MatchData[[#this row],[team]],MatchData[sally port available])</f>
        <v>#VALUE!</v>
      </c>
      <c r="CF250" s="16" t="e">
        <f aca="false">SUMIF(MatchData[team],MatchData[[#this row],[team]],MatchData[rock wall available])</f>
        <v>#VALUE!</v>
      </c>
      <c r="CG250" s="16" t="e">
        <f aca="false">SUMIF(MatchData[team],MatchData[[#this row],[team]],MatchData[rough terrain available])</f>
        <v>#VALUE!</v>
      </c>
      <c r="CH250" s="16" t="e">
        <f aca="false">SUMIF(MatchData[team],MatchData[[#this row],[team]],MatchData[low bar available])</f>
        <v>#VALUE!</v>
      </c>
      <c r="CI250" s="16" t="e">
        <f aca="false">SUMIF(MatchData[team],MatchData[[#this row],[team]],MatchData[portcullis teleop crossings]:MatchData[portcullis scored crossings])</f>
        <v>#VALUE!</v>
      </c>
      <c r="CJ250" s="16" t="e">
        <f aca="false">SUMIF(MatchData[team],MatchData[[#this row],[team]],MatchData[cheval teleop crossings])+SUMIF(MatchData[team],MatchData[[#this row],[team]],MatchData[cheval scored crossings])</f>
        <v>#VALUE!</v>
      </c>
      <c r="CK250" s="16" t="e">
        <f aca="false">SUMIF(MatchData[team],MatchData[[#this row],[team]],MatchData[moat teleop crossings])+SUMIF(MatchData[team],MatchData[[#this row],[team]],MatchData[moat scored crosings])</f>
        <v>#VALUE!</v>
      </c>
      <c r="CL250" s="16" t="e">
        <f aca="false">SUMIF(MatchData[team],MatchData[[#this row],[team]],MatchData[ramparts teleop crossings])+SUMIF(MatchData[team],MatchData[[#this row],[team]],MatchData[ramparts scored crossings])</f>
        <v>#VALUE!</v>
      </c>
      <c r="CM250" s="16" t="e">
        <f aca="false">SUMIF(MatchData[team],MatchData[[#this row],[team]],MatchData[drawbridge teleop crossings])+SUMIF(MatchData[team],MatchData[[#this row],[team]],MatchData[drawbridge scored crossings])</f>
        <v>#VALUE!</v>
      </c>
      <c r="CN250" s="16" t="e">
        <f aca="false">SUMIF(MatchData[team],MatchData[[#this row],[team]],MatchData[sally port teleop crossings])+SUMIF(MatchData[team],MatchData[[#this row],[team]],MatchData[sally port scored crossings])</f>
        <v>#VALUE!</v>
      </c>
      <c r="CO250" s="16" t="e">
        <f aca="false">SUMIF(MatchData[team],MatchData[[#this row],[team]],MatchData[rock wall teleop crossings])+SUMIF(MatchData[team],MatchData[[#this row],[team]],MatchData[rock wall scored crossings])</f>
        <v>#VALUE!</v>
      </c>
      <c r="CP250" s="16" t="e">
        <f aca="false">SUMIF(MatchData[team],MatchData[[#this row],[team]],MatchData[rough terrain teleop crossings])+SUMIF(MatchData[team],MatchData[[#this row],[team]],MatchData[rough terrain scored crossings])</f>
        <v>#VALUE!</v>
      </c>
      <c r="CQ250" s="16" t="e">
        <f aca="false">SUMIF(MatchData[team],MatchData[[#this row],[team]],MatchData[low bar teleop crossings])+SUMIF(MatchData[team],MatchData[[#this row],[team]],MatchData[low bar scored crossings])</f>
        <v>#VALUE!</v>
      </c>
      <c r="CR250" s="16" t="e">
        <f aca="false">IFERROR(ROUND(MatchData[[#this row],[portcullis sum]]/MatchData[[#this row],[portcullis avail count]],2),0)</f>
        <v>#VALUE!</v>
      </c>
      <c r="CS250" s="16" t="e">
        <f aca="false">IFERROR(ROUND(MatchData[[#this row],[cheval sum]]/MatchData[[#this row],[cheval avail count]],2),0)</f>
        <v>#VALUE!</v>
      </c>
      <c r="CT250" s="16" t="e">
        <f aca="false">IFERROR(ROUND(MatchData[[#this row],[moat sum]]/MatchData[[#this row],[moat avail count]],2),0)</f>
        <v>#VALUE!</v>
      </c>
      <c r="CU250" s="16" t="e">
        <f aca="false">IFERROR(ROUND(MatchData[[#this row],[ramparts sum]]/MatchData[[#this row],[ramparts avail count]],2),0)</f>
        <v>#VALUE!</v>
      </c>
      <c r="CV250" s="16" t="e">
        <f aca="false">IFERROR(ROUND(MatchData[[#this row],[drawbridge sum]]/MatchData[[#this row],[drawbridge avail countigh6]],2),0)</f>
        <v>#VALUE!</v>
      </c>
      <c r="CW250" s="16" t="e">
        <f aca="false">IFERROR(ROUND(MatchData[[#this row],[sally port sum]]/MatchData[[#this row],[sally port avail count]],2),0)</f>
        <v>#VALUE!</v>
      </c>
      <c r="CX250" s="5" t="e">
        <f aca="false">IFERROR(ROUND(MatchData[[#this row],[rock wall sum]]/MatchData[[#this row],[rock wall avail count]],2),0)</f>
        <v>#VALUE!</v>
      </c>
      <c r="CY250" s="5" t="e">
        <f aca="false">IFERROR(ROUND(MatchData[[#this row],[rough terrain sum]]/MatchData[[#this row],[rough terrain avail count]],2),0)</f>
        <v>#VALUE!</v>
      </c>
      <c r="CZ250" s="5" t="e">
        <f aca="false">IFERROR(ROUND(MatchData[[#this row],[low bar sum]]/MatchData[[#this row],[low bar avail count]],2),0)</f>
        <v>#VALUE!</v>
      </c>
      <c r="DA250" s="16" t="e">
        <f aca="false">SUM(MatchData[[#this row],[cheval sum]:[low bar sum]])/MatchData[match count]</f>
        <v>#VALUE!</v>
      </c>
      <c r="DB250" s="16" t="n">
        <f aca="false">MAX(IF(C$2:C$74=C250,BP$2:BP$74))</f>
        <v>-1.79769313486232E+308</v>
      </c>
      <c r="DC250" s="16" t="e">
        <f aca="false">AVERAGEIF(MatchData[team],MatchData[[#this row],[team]],MatchData[total score])</f>
        <v>#VALUE!</v>
      </c>
      <c r="DD250" s="16" t="e">
        <f aca="false">ROUND(AVERAGEIF(MatchData[team],MatchData[team],MatchData[climb or challenge flag]),2)</f>
        <v>#VALUE!</v>
      </c>
    </row>
    <row r="251" customFormat="false" ht="14.5" hidden="false" customHeight="false" outlineLevel="0" collapsed="false">
      <c r="A251" s="20" t="s">
        <v>108</v>
      </c>
      <c r="B251" s="21" t="n">
        <v>42</v>
      </c>
      <c r="C251" s="15" t="n">
        <v>2471</v>
      </c>
      <c r="D251" s="5" t="s">
        <v>113</v>
      </c>
      <c r="E251" s="5" t="s">
        <v>124</v>
      </c>
      <c r="G251" s="16" t="n">
        <v>1</v>
      </c>
      <c r="I251" s="16"/>
      <c r="J251" s="5" t="n">
        <v>1</v>
      </c>
      <c r="K251" s="16"/>
      <c r="L251" s="5" t="n">
        <v>1</v>
      </c>
      <c r="N251" s="5" t="n">
        <v>1</v>
      </c>
      <c r="O251" s="0"/>
      <c r="P251" s="5" t="n">
        <v>1</v>
      </c>
      <c r="Q251" s="5" t="n">
        <v>1</v>
      </c>
      <c r="R251" s="0"/>
      <c r="S251" s="16"/>
      <c r="U251" s="16"/>
      <c r="V251" s="16"/>
      <c r="W251" s="5" t="n">
        <v>1</v>
      </c>
      <c r="AD251" s="16"/>
      <c r="AE251" s="5"/>
      <c r="AF251" s="16"/>
      <c r="AG251" s="16"/>
      <c r="AH251" s="16"/>
      <c r="AJ251" s="16"/>
      <c r="AK251" s="5" t="n">
        <v>2</v>
      </c>
      <c r="AL251" s="16" t="n">
        <v>2</v>
      </c>
      <c r="AN251" s="16"/>
      <c r="AP251" s="16" t="n">
        <v>2</v>
      </c>
      <c r="AR251" s="16"/>
      <c r="AT251" s="16"/>
      <c r="AU251" s="16"/>
      <c r="AV251" s="16"/>
      <c r="AW251" s="16"/>
      <c r="AX251" s="16"/>
      <c r="AY251" s="16"/>
      <c r="AZ251" s="16"/>
      <c r="BB251" s="16" t="n">
        <v>1</v>
      </c>
      <c r="BC251" s="16" t="e">
        <f aca="false">MatchData[cheval scored crossings]*5</f>
        <v>#VALUE!</v>
      </c>
      <c r="BD251" s="16" t="e">
        <f aca="false">MatchData[moat scored crosings]*5</f>
        <v>#VALUE!</v>
      </c>
      <c r="BE251" s="16" t="e">
        <f aca="false">MatchData[ramparts scored crossings]*5</f>
        <v>#VALUE!</v>
      </c>
      <c r="BF251" s="16" t="e">
        <f aca="false">MatchData[drawbridge scored crossings]*5</f>
        <v>#VALUE!</v>
      </c>
      <c r="BG251" s="16" t="e">
        <f aca="false">MatchData[sally port scored crossings]*5</f>
        <v>#VALUE!</v>
      </c>
      <c r="BH251" s="16" t="e">
        <f aca="false">MatchData[rock wall scored crossings]*5</f>
        <v>#VALUE!</v>
      </c>
      <c r="BI251" s="16" t="e">
        <f aca="false">MatchData[rough terrain scored crossings]*5</f>
        <v>#VALUE!</v>
      </c>
      <c r="BJ251" s="16" t="e">
        <f aca="false">MatchData[low bar scored crossings]*5</f>
        <v>#VALUE!</v>
      </c>
      <c r="BK251" s="16" t="e">
        <f aca="false">SUM(MatchData[[#this row],[low bar teleop crossings]:[rough terrain scored crossings]])</f>
        <v>#VALUE!</v>
      </c>
      <c r="BL251" s="16" t="e">
        <f aca="false">IFERROR(IF(OR(MatchData[[#this row],[challenge flag]],MatchData[[#this row],[climb flag]]),1,0),0)</f>
        <v>#VALUE!</v>
      </c>
      <c r="BM251" s="16" t="e">
        <f aca="false">MatchData[auto high goals]*10+MatchData[teleop high goals]*5</f>
        <v>#VALUE!</v>
      </c>
      <c r="BN251" s="16" t="e">
        <f aca="false">MatchData[auto low goals]*5+MatchData[teleop low goals]*2</f>
        <v>#VALUE!</v>
      </c>
      <c r="BO251" s="16" t="e">
        <f aca="false">MatchData[high goal score]+MatchData[low goal score]</f>
        <v>#VALUE!</v>
      </c>
      <c r="BP251" s="16" t="e">
        <f aca="false">MatchData[teleop high goals]+MatchData[teleop low goals]</f>
        <v>#VALUE!</v>
      </c>
      <c r="BQ251" s="16" t="e">
        <f aca="false">MatchData[[#this row],[auto reach flag]]*2+SUM(MatchData[[#this row],[portcullis auto crossings]:[low bar auto crossings]])*10+MatchData[[#this row],[auto low goals]]*5+MatchData[auto high goals]*10</f>
        <v>#VALUE!</v>
      </c>
      <c r="BR251" s="16" t="e">
        <f aca="false">SUM(MatchData[[#this row],[cheval teleop crossing score]:[low bar teleop crossing score]])</f>
        <v>#VALUE!</v>
      </c>
      <c r="BS251" s="16" t="e">
        <f aca="false">SUMIF(MatchData[team],MatchData[[#this row],[team]],MatchData[total auto score])/MatchData[match count]</f>
        <v>#VALUE!</v>
      </c>
      <c r="BT251" s="16" t="e">
        <f aca="false">MatchData[challenge flag]*5</f>
        <v>#VALUE!</v>
      </c>
      <c r="BU251" s="16" t="e">
        <f aca="false">MatchData[climb flag]*15</f>
        <v>#VALUE!</v>
      </c>
      <c r="BV251" s="16" t="e">
        <f aca="false">SUM(MatchData[[#this row],[total goal score]],MatchData[[#this row],[crossing score]],MatchData[[#this row],[challenge score]],MatchData[[#this row],[climb score]],MatchData[[#this row],[total auto score]])</f>
        <v>#VALUE!</v>
      </c>
      <c r="BW251" s="16" t="e">
        <f aca="false">ROUND(SUMIF(MatchData[team],MatchData[[#this row],[team]],MatchData[teleop low goals])/COUNTIF(MatchData[team],MatchData[[#this row],[team]]),2)</f>
        <v>#VALUE!</v>
      </c>
      <c r="BX251" s="16" t="e">
        <f aca="false">ROUND(SUMIF(MatchData[team],MatchData[[#this row],[team]],MatchData[teleop high goals])/COUNTIF(MatchData[team],MatchData[[#this row],[team]]),2)</f>
        <v>#VALUE!</v>
      </c>
      <c r="BY251" s="16" t="e">
        <f aca="false">COUNTIF(MatchData[team],MatchData[[#this row],[team]])</f>
        <v>#VALUE!</v>
      </c>
      <c r="BZ251" s="16" t="e">
        <f aca="false">SUMIF(MatchData[team],MatchData[[#this row],[team]],MatchData[portcullis available])</f>
        <v>#VALUE!</v>
      </c>
      <c r="CA251" s="16" t="e">
        <f aca="false">SUMIF(MatchData[team],MatchData[[#this row],[team]],MatchData[cheval available])</f>
        <v>#VALUE!</v>
      </c>
      <c r="CB251" s="16" t="e">
        <f aca="false">SUMIF(MatchData[team],MatchData[[#this row],[team]],MatchData[moat available])</f>
        <v>#VALUE!</v>
      </c>
      <c r="CC251" s="16" t="e">
        <f aca="false">SUMIF(MatchData[team],MatchData[[#this row],[team]],MatchData[ramparts available])</f>
        <v>#VALUE!</v>
      </c>
      <c r="CD251" s="16" t="e">
        <f aca="false">SUMIF(MatchData[team],MatchData[[#this row],[team]],MatchData[drawbridge available])</f>
        <v>#VALUE!</v>
      </c>
      <c r="CE251" s="16" t="e">
        <f aca="false">SUMIF(MatchData[team],MatchData[[#this row],[team]],MatchData[sally port available])</f>
        <v>#VALUE!</v>
      </c>
      <c r="CF251" s="16" t="e">
        <f aca="false">SUMIF(MatchData[team],MatchData[[#this row],[team]],MatchData[rock wall available])</f>
        <v>#VALUE!</v>
      </c>
      <c r="CG251" s="16" t="e">
        <f aca="false">SUMIF(MatchData[team],MatchData[[#this row],[team]],MatchData[rough terrain available])</f>
        <v>#VALUE!</v>
      </c>
      <c r="CH251" s="16" t="e">
        <f aca="false">SUMIF(MatchData[team],MatchData[[#this row],[team]],MatchData[low bar available])</f>
        <v>#VALUE!</v>
      </c>
      <c r="CI251" s="16" t="e">
        <f aca="false">SUMIF(MatchData[team],MatchData[[#this row],[team]],MatchData[portcullis teleop crossings]:MatchData[portcullis scored crossings])</f>
        <v>#VALUE!</v>
      </c>
      <c r="CJ251" s="16" t="e">
        <f aca="false">SUMIF(MatchData[team],MatchData[[#this row],[team]],MatchData[cheval teleop crossings])+SUMIF(MatchData[team],MatchData[[#this row],[team]],MatchData[cheval scored crossings])</f>
        <v>#VALUE!</v>
      </c>
      <c r="CK251" s="16" t="e">
        <f aca="false">SUMIF(MatchData[team],MatchData[[#this row],[team]],MatchData[moat teleop crossings])+SUMIF(MatchData[team],MatchData[[#this row],[team]],MatchData[moat scored crosings])</f>
        <v>#VALUE!</v>
      </c>
      <c r="CL251" s="16" t="e">
        <f aca="false">SUMIF(MatchData[team],MatchData[[#this row],[team]],MatchData[ramparts teleop crossings])+SUMIF(MatchData[team],MatchData[[#this row],[team]],MatchData[ramparts scored crossings])</f>
        <v>#VALUE!</v>
      </c>
      <c r="CM251" s="16" t="e">
        <f aca="false">SUMIF(MatchData[team],MatchData[[#this row],[team]],MatchData[drawbridge teleop crossings])+SUMIF(MatchData[team],MatchData[[#this row],[team]],MatchData[drawbridge scored crossings])</f>
        <v>#VALUE!</v>
      </c>
      <c r="CN251" s="16" t="e">
        <f aca="false">SUMIF(MatchData[team],MatchData[[#this row],[team]],MatchData[sally port teleop crossings])+SUMIF(MatchData[team],MatchData[[#this row],[team]],MatchData[sally port scored crossings])</f>
        <v>#VALUE!</v>
      </c>
      <c r="CO251" s="16" t="e">
        <f aca="false">SUMIF(MatchData[team],MatchData[[#this row],[team]],MatchData[rock wall teleop crossings])+SUMIF(MatchData[team],MatchData[[#this row],[team]],MatchData[rock wall scored crossings])</f>
        <v>#VALUE!</v>
      </c>
      <c r="CP251" s="16" t="e">
        <f aca="false">SUMIF(MatchData[team],MatchData[[#this row],[team]],MatchData[rough terrain teleop crossings])+SUMIF(MatchData[team],MatchData[[#this row],[team]],MatchData[rough terrain scored crossings])</f>
        <v>#VALUE!</v>
      </c>
      <c r="CQ251" s="16" t="e">
        <f aca="false">SUMIF(MatchData[team],MatchData[[#this row],[team]],MatchData[low bar teleop crossings])+SUMIF(MatchData[team],MatchData[[#this row],[team]],MatchData[low bar scored crossings])</f>
        <v>#VALUE!</v>
      </c>
      <c r="CR251" s="16" t="e">
        <f aca="false">IFERROR(ROUND(MatchData[[#this row],[portcullis sum]]/MatchData[[#this row],[portcullis avail count]],2),0)</f>
        <v>#VALUE!</v>
      </c>
      <c r="CS251" s="16" t="e">
        <f aca="false">IFERROR(ROUND(MatchData[[#this row],[cheval sum]]/MatchData[[#this row],[cheval avail count]],2),0)</f>
        <v>#VALUE!</v>
      </c>
      <c r="CT251" s="16" t="e">
        <f aca="false">IFERROR(ROUND(MatchData[[#this row],[moat sum]]/MatchData[[#this row],[moat avail count]],2),0)</f>
        <v>#VALUE!</v>
      </c>
      <c r="CU251" s="16" t="e">
        <f aca="false">IFERROR(ROUND(MatchData[[#this row],[ramparts sum]]/MatchData[[#this row],[ramparts avail count]],2),0)</f>
        <v>#VALUE!</v>
      </c>
      <c r="CV251" s="16" t="e">
        <f aca="false">IFERROR(ROUND(MatchData[[#this row],[drawbridge sum]]/MatchData[[#this row],[drawbridge avail countigh6]],2),0)</f>
        <v>#VALUE!</v>
      </c>
      <c r="CW251" s="16" t="e">
        <f aca="false">IFERROR(ROUND(MatchData[[#this row],[sally port sum]]/MatchData[[#this row],[sally port avail count]],2),0)</f>
        <v>#VALUE!</v>
      </c>
      <c r="CX251" s="5" t="e">
        <f aca="false">IFERROR(ROUND(MatchData[[#this row],[rock wall sum]]/MatchData[[#this row],[rock wall avail count]],2),0)</f>
        <v>#VALUE!</v>
      </c>
      <c r="CY251" s="5" t="e">
        <f aca="false">IFERROR(ROUND(MatchData[[#this row],[rough terrain sum]]/MatchData[[#this row],[rough terrain avail count]],2),0)</f>
        <v>#VALUE!</v>
      </c>
      <c r="CZ251" s="5" t="e">
        <f aca="false">IFERROR(ROUND(MatchData[[#this row],[low bar sum]]/MatchData[[#this row],[low bar avail count]],2),0)</f>
        <v>#VALUE!</v>
      </c>
      <c r="DA251" s="16" t="e">
        <f aca="false">SUM(MatchData[[#this row],[cheval sum]:[low bar sum]])/MatchData[match count]</f>
        <v>#VALUE!</v>
      </c>
      <c r="DB251" s="16" t="n">
        <f aca="false">MAX(IF(C$2:C$74=C251,BP$2:BP$74))</f>
        <v>-1.79769313486232E+308</v>
      </c>
      <c r="DC251" s="16" t="e">
        <f aca="false">AVERAGEIF(MatchData[team],MatchData[[#this row],[team]],MatchData[total score])</f>
        <v>#VALUE!</v>
      </c>
      <c r="DD251" s="16" t="e">
        <f aca="false">ROUND(AVERAGEIF(MatchData[team],MatchData[team],MatchData[climb or challenge flag]),2)</f>
        <v>#VALUE!</v>
      </c>
    </row>
    <row r="252" customFormat="false" ht="14.5" hidden="false" customHeight="false" outlineLevel="0" collapsed="false">
      <c r="A252" s="20" t="s">
        <v>108</v>
      </c>
      <c r="B252" s="22" t="n">
        <v>42</v>
      </c>
      <c r="C252" s="15" t="n">
        <v>2521</v>
      </c>
      <c r="D252" s="5" t="s">
        <v>113</v>
      </c>
      <c r="E252" s="5" t="s">
        <v>110</v>
      </c>
      <c r="G252" s="16"/>
      <c r="I252" s="16"/>
      <c r="J252" s="5" t="n">
        <v>1</v>
      </c>
      <c r="K252" s="16"/>
      <c r="L252" s="5" t="n">
        <v>1</v>
      </c>
      <c r="N252" s="5" t="n">
        <v>1</v>
      </c>
      <c r="O252" s="0"/>
      <c r="P252" s="5" t="n">
        <v>1</v>
      </c>
      <c r="Q252" s="5" t="n">
        <v>1</v>
      </c>
      <c r="R252" s="0"/>
      <c r="S252" s="16" t="n">
        <v>1</v>
      </c>
      <c r="U252" s="16"/>
      <c r="V252" s="16"/>
      <c r="W252" s="0"/>
      <c r="AD252" s="16"/>
      <c r="AE252" s="5"/>
      <c r="AF252" s="16"/>
      <c r="AG252" s="16"/>
      <c r="AH252" s="16"/>
      <c r="AJ252" s="16"/>
      <c r="AL252" s="16"/>
      <c r="AN252" s="16"/>
      <c r="AP252" s="16"/>
      <c r="AR252" s="16"/>
      <c r="AT252" s="16"/>
      <c r="AU252" s="16"/>
      <c r="AV252" s="16"/>
      <c r="AW252" s="16"/>
      <c r="AX252" s="16"/>
      <c r="AY252" s="16"/>
      <c r="AZ252" s="16" t="n">
        <v>1</v>
      </c>
      <c r="BB252" s="16" t="n">
        <v>1</v>
      </c>
      <c r="BC252" s="16" t="e">
        <f aca="false">MatchData[cheval scored crossings]*5</f>
        <v>#VALUE!</v>
      </c>
      <c r="BD252" s="16" t="e">
        <f aca="false">MatchData[moat scored crosings]*5</f>
        <v>#VALUE!</v>
      </c>
      <c r="BE252" s="16" t="e">
        <f aca="false">MatchData[ramparts scored crossings]*5</f>
        <v>#VALUE!</v>
      </c>
      <c r="BF252" s="16" t="e">
        <f aca="false">MatchData[drawbridge scored crossings]*5</f>
        <v>#VALUE!</v>
      </c>
      <c r="BG252" s="16" t="e">
        <f aca="false">MatchData[sally port scored crossings]*5</f>
        <v>#VALUE!</v>
      </c>
      <c r="BH252" s="16" t="e">
        <f aca="false">MatchData[rock wall scored crossings]*5</f>
        <v>#VALUE!</v>
      </c>
      <c r="BI252" s="16" t="e">
        <f aca="false">MatchData[rough terrain scored crossings]*5</f>
        <v>#VALUE!</v>
      </c>
      <c r="BJ252" s="16" t="e">
        <f aca="false">MatchData[low bar scored crossings]*5</f>
        <v>#VALUE!</v>
      </c>
      <c r="BK252" s="16" t="e">
        <f aca="false">SUM(MatchData[[#this row],[low bar teleop crossings]:[rough terrain scored crossings]])</f>
        <v>#VALUE!</v>
      </c>
      <c r="BL252" s="16" t="e">
        <f aca="false">IFERROR(IF(OR(MatchData[[#this row],[challenge flag]],MatchData[[#this row],[climb flag]]),1,0),0)</f>
        <v>#VALUE!</v>
      </c>
      <c r="BM252" s="16" t="e">
        <f aca="false">MatchData[auto high goals]*10+MatchData[teleop high goals]*5</f>
        <v>#VALUE!</v>
      </c>
      <c r="BN252" s="16" t="e">
        <f aca="false">MatchData[auto low goals]*5+MatchData[teleop low goals]*2</f>
        <v>#VALUE!</v>
      </c>
      <c r="BO252" s="16" t="e">
        <f aca="false">MatchData[high goal score]+MatchData[low goal score]</f>
        <v>#VALUE!</v>
      </c>
      <c r="BP252" s="16" t="e">
        <f aca="false">MatchData[teleop high goals]+MatchData[teleop low goals]</f>
        <v>#VALUE!</v>
      </c>
      <c r="BQ252" s="16" t="e">
        <f aca="false">MatchData[[#this row],[auto reach flag]]*2+SUM(MatchData[[#this row],[portcullis auto crossings]:[low bar auto crossings]])*10+MatchData[[#this row],[auto low goals]]*5+MatchData[auto high goals]*10</f>
        <v>#VALUE!</v>
      </c>
      <c r="BR252" s="16" t="e">
        <f aca="false">SUM(MatchData[[#this row],[cheval teleop crossing score]:[low bar teleop crossing score]])</f>
        <v>#VALUE!</v>
      </c>
      <c r="BS252" s="16" t="e">
        <f aca="false">SUMIF(MatchData[team],MatchData[[#this row],[team]],MatchData[total auto score])/MatchData[match count]</f>
        <v>#VALUE!</v>
      </c>
      <c r="BT252" s="16" t="e">
        <f aca="false">MatchData[challenge flag]*5</f>
        <v>#VALUE!</v>
      </c>
      <c r="BU252" s="16" t="e">
        <f aca="false">MatchData[climb flag]*15</f>
        <v>#VALUE!</v>
      </c>
      <c r="BV252" s="16" t="e">
        <f aca="false">SUM(MatchData[[#this row],[total goal score]],MatchData[[#this row],[crossing score]],MatchData[[#this row],[challenge score]],MatchData[[#this row],[climb score]],MatchData[[#this row],[total auto score]])</f>
        <v>#VALUE!</v>
      </c>
      <c r="BW252" s="16" t="e">
        <f aca="false">ROUND(SUMIF(MatchData[team],MatchData[[#this row],[team]],MatchData[teleop low goals])/COUNTIF(MatchData[team],MatchData[[#this row],[team]]),2)</f>
        <v>#VALUE!</v>
      </c>
      <c r="BX252" s="16" t="e">
        <f aca="false">ROUND(SUMIF(MatchData[team],MatchData[[#this row],[team]],MatchData[teleop high goals])/COUNTIF(MatchData[team],MatchData[[#this row],[team]]),2)</f>
        <v>#VALUE!</v>
      </c>
      <c r="BY252" s="16" t="e">
        <f aca="false">COUNTIF(MatchData[team],MatchData[[#this row],[team]])</f>
        <v>#VALUE!</v>
      </c>
      <c r="BZ252" s="16" t="e">
        <f aca="false">SUMIF(MatchData[team],MatchData[[#this row],[team]],MatchData[portcullis available])</f>
        <v>#VALUE!</v>
      </c>
      <c r="CA252" s="16" t="e">
        <f aca="false">SUMIF(MatchData[team],MatchData[[#this row],[team]],MatchData[cheval available])</f>
        <v>#VALUE!</v>
      </c>
      <c r="CB252" s="16" t="e">
        <f aca="false">SUMIF(MatchData[team],MatchData[[#this row],[team]],MatchData[moat available])</f>
        <v>#VALUE!</v>
      </c>
      <c r="CC252" s="16" t="e">
        <f aca="false">SUMIF(MatchData[team],MatchData[[#this row],[team]],MatchData[ramparts available])</f>
        <v>#VALUE!</v>
      </c>
      <c r="CD252" s="16" t="e">
        <f aca="false">SUMIF(MatchData[team],MatchData[[#this row],[team]],MatchData[drawbridge available])</f>
        <v>#VALUE!</v>
      </c>
      <c r="CE252" s="16" t="e">
        <f aca="false">SUMIF(MatchData[team],MatchData[[#this row],[team]],MatchData[sally port available])</f>
        <v>#VALUE!</v>
      </c>
      <c r="CF252" s="16" t="e">
        <f aca="false">SUMIF(MatchData[team],MatchData[[#this row],[team]],MatchData[rock wall available])</f>
        <v>#VALUE!</v>
      </c>
      <c r="CG252" s="16" t="e">
        <f aca="false">SUMIF(MatchData[team],MatchData[[#this row],[team]],MatchData[rough terrain available])</f>
        <v>#VALUE!</v>
      </c>
      <c r="CH252" s="16" t="e">
        <f aca="false">SUMIF(MatchData[team],MatchData[[#this row],[team]],MatchData[low bar available])</f>
        <v>#VALUE!</v>
      </c>
      <c r="CI252" s="16" t="e">
        <f aca="false">SUMIF(MatchData[team],MatchData[[#this row],[team]],MatchData[portcullis teleop crossings]:MatchData[portcullis scored crossings])</f>
        <v>#VALUE!</v>
      </c>
      <c r="CJ252" s="16" t="e">
        <f aca="false">SUMIF(MatchData[team],MatchData[[#this row],[team]],MatchData[cheval teleop crossings])+SUMIF(MatchData[team],MatchData[[#this row],[team]],MatchData[cheval scored crossings])</f>
        <v>#VALUE!</v>
      </c>
      <c r="CK252" s="16" t="e">
        <f aca="false">SUMIF(MatchData[team],MatchData[[#this row],[team]],MatchData[moat teleop crossings])+SUMIF(MatchData[team],MatchData[[#this row],[team]],MatchData[moat scored crosings])</f>
        <v>#VALUE!</v>
      </c>
      <c r="CL252" s="16" t="e">
        <f aca="false">SUMIF(MatchData[team],MatchData[[#this row],[team]],MatchData[ramparts teleop crossings])+SUMIF(MatchData[team],MatchData[[#this row],[team]],MatchData[ramparts scored crossings])</f>
        <v>#VALUE!</v>
      </c>
      <c r="CM252" s="16" t="e">
        <f aca="false">SUMIF(MatchData[team],MatchData[[#this row],[team]],MatchData[drawbridge teleop crossings])+SUMIF(MatchData[team],MatchData[[#this row],[team]],MatchData[drawbridge scored crossings])</f>
        <v>#VALUE!</v>
      </c>
      <c r="CN252" s="16" t="e">
        <f aca="false">SUMIF(MatchData[team],MatchData[[#this row],[team]],MatchData[sally port teleop crossings])+SUMIF(MatchData[team],MatchData[[#this row],[team]],MatchData[sally port scored crossings])</f>
        <v>#VALUE!</v>
      </c>
      <c r="CO252" s="16" t="e">
        <f aca="false">SUMIF(MatchData[team],MatchData[[#this row],[team]],MatchData[rock wall teleop crossings])+SUMIF(MatchData[team],MatchData[[#this row],[team]],MatchData[rock wall scored crossings])</f>
        <v>#VALUE!</v>
      </c>
      <c r="CP252" s="16" t="e">
        <f aca="false">SUMIF(MatchData[team],MatchData[[#this row],[team]],MatchData[rough terrain teleop crossings])+SUMIF(MatchData[team],MatchData[[#this row],[team]],MatchData[rough terrain scored crossings])</f>
        <v>#VALUE!</v>
      </c>
      <c r="CQ252" s="16" t="e">
        <f aca="false">SUMIF(MatchData[team],MatchData[[#this row],[team]],MatchData[low bar teleop crossings])+SUMIF(MatchData[team],MatchData[[#this row],[team]],MatchData[low bar scored crossings])</f>
        <v>#VALUE!</v>
      </c>
      <c r="CR252" s="16" t="e">
        <f aca="false">IFERROR(ROUND(MatchData[[#this row],[portcullis sum]]/MatchData[[#this row],[portcullis avail count]],2),0)</f>
        <v>#VALUE!</v>
      </c>
      <c r="CS252" s="16" t="e">
        <f aca="false">IFERROR(ROUND(MatchData[[#this row],[cheval sum]]/MatchData[[#this row],[cheval avail count]],2),0)</f>
        <v>#VALUE!</v>
      </c>
      <c r="CT252" s="16" t="e">
        <f aca="false">IFERROR(ROUND(MatchData[[#this row],[moat sum]]/MatchData[[#this row],[moat avail count]],2),0)</f>
        <v>#VALUE!</v>
      </c>
      <c r="CU252" s="16" t="e">
        <f aca="false">IFERROR(ROUND(MatchData[[#this row],[ramparts sum]]/MatchData[[#this row],[ramparts avail count]],2),0)</f>
        <v>#VALUE!</v>
      </c>
      <c r="CV252" s="16" t="e">
        <f aca="false">IFERROR(ROUND(MatchData[[#this row],[drawbridge sum]]/MatchData[[#this row],[drawbridge avail countigh6]],2),0)</f>
        <v>#VALUE!</v>
      </c>
      <c r="CW252" s="16" t="e">
        <f aca="false">IFERROR(ROUND(MatchData[[#this row],[sally port sum]]/MatchData[[#this row],[sally port avail count]],2),0)</f>
        <v>#VALUE!</v>
      </c>
      <c r="CX252" s="5" t="e">
        <f aca="false">IFERROR(ROUND(MatchData[[#this row],[rock wall sum]]/MatchData[[#this row],[rock wall avail count]],2),0)</f>
        <v>#VALUE!</v>
      </c>
      <c r="CY252" s="5" t="e">
        <f aca="false">IFERROR(ROUND(MatchData[[#this row],[rough terrain sum]]/MatchData[[#this row],[rough terrain avail count]],2),0)</f>
        <v>#VALUE!</v>
      </c>
      <c r="CZ252" s="5" t="e">
        <f aca="false">IFERROR(ROUND(MatchData[[#this row],[low bar sum]]/MatchData[[#this row],[low bar avail count]],2),0)</f>
        <v>#VALUE!</v>
      </c>
      <c r="DA252" s="16" t="e">
        <f aca="false">SUM(MatchData[[#this row],[cheval sum]:[low bar sum]])/MatchData[match count]</f>
        <v>#VALUE!</v>
      </c>
      <c r="DB252" s="16" t="n">
        <f aca="false">MAX(IF(C$2:C$74=C252,BP$2:BP$74))</f>
        <v>-1.79769313486232E+308</v>
      </c>
      <c r="DC252" s="16" t="e">
        <f aca="false">AVERAGEIF(MatchData[team],MatchData[[#this row],[team]],MatchData[total score])</f>
        <v>#VALUE!</v>
      </c>
      <c r="DD252" s="16" t="e">
        <f aca="false">ROUND(AVERAGEIF(MatchData[team],MatchData[team],MatchData[climb or challenge flag]),2)</f>
        <v>#VALUE!</v>
      </c>
    </row>
    <row r="253" customFormat="false" ht="14.5" hidden="false" customHeight="false" outlineLevel="0" collapsed="false">
      <c r="A253" s="20" t="s">
        <v>108</v>
      </c>
      <c r="B253" s="21" t="n">
        <v>42</v>
      </c>
      <c r="C253" s="15" t="n">
        <v>3674</v>
      </c>
      <c r="D253" s="5" t="s">
        <v>113</v>
      </c>
      <c r="E253" s="5" t="s">
        <v>128</v>
      </c>
      <c r="G253" s="16"/>
      <c r="I253" s="16"/>
      <c r="J253" s="5" t="n">
        <v>1</v>
      </c>
      <c r="K253" s="16"/>
      <c r="L253" s="5" t="n">
        <v>1</v>
      </c>
      <c r="N253" s="5" t="n">
        <v>1</v>
      </c>
      <c r="O253" s="0"/>
      <c r="P253" s="5" t="n">
        <v>1</v>
      </c>
      <c r="Q253" s="5" t="n">
        <v>1</v>
      </c>
      <c r="R253" s="0"/>
      <c r="S253" s="16"/>
      <c r="U253" s="16"/>
      <c r="V253" s="16"/>
      <c r="W253" s="0"/>
      <c r="AD253" s="16" t="n">
        <v>2</v>
      </c>
      <c r="AE253" s="5"/>
      <c r="AF253" s="16"/>
      <c r="AG253" s="16"/>
      <c r="AH253" s="16" t="n">
        <v>2</v>
      </c>
      <c r="AJ253" s="16"/>
      <c r="AL253" s="16"/>
      <c r="AN253" s="16"/>
      <c r="AP253" s="16"/>
      <c r="AR253" s="16"/>
      <c r="AT253" s="16"/>
      <c r="AU253" s="16"/>
      <c r="AV253" s="16"/>
      <c r="AW253" s="16" t="n">
        <v>1</v>
      </c>
      <c r="AX253" s="16"/>
      <c r="AY253" s="16"/>
      <c r="AZ253" s="16"/>
      <c r="BB253" s="16" t="n">
        <v>1</v>
      </c>
      <c r="BC253" s="16" t="e">
        <f aca="false">MatchData[cheval scored crossings]*5</f>
        <v>#VALUE!</v>
      </c>
      <c r="BD253" s="16" t="e">
        <f aca="false">MatchData[moat scored crosings]*5</f>
        <v>#VALUE!</v>
      </c>
      <c r="BE253" s="16" t="e">
        <f aca="false">MatchData[ramparts scored crossings]*5</f>
        <v>#VALUE!</v>
      </c>
      <c r="BF253" s="16" t="e">
        <f aca="false">MatchData[drawbridge scored crossings]*5</f>
        <v>#VALUE!</v>
      </c>
      <c r="BG253" s="16" t="e">
        <f aca="false">MatchData[sally port scored crossings]*5</f>
        <v>#VALUE!</v>
      </c>
      <c r="BH253" s="16" t="e">
        <f aca="false">MatchData[rock wall scored crossings]*5</f>
        <v>#VALUE!</v>
      </c>
      <c r="BI253" s="16" t="e">
        <f aca="false">MatchData[rough terrain scored crossings]*5</f>
        <v>#VALUE!</v>
      </c>
      <c r="BJ253" s="16" t="e">
        <f aca="false">MatchData[low bar scored crossings]*5</f>
        <v>#VALUE!</v>
      </c>
      <c r="BK253" s="16" t="e">
        <f aca="false">SUM(MatchData[[#this row],[low bar teleop crossings]:[rough terrain scored crossings]])</f>
        <v>#VALUE!</v>
      </c>
      <c r="BL253" s="16" t="e">
        <f aca="false">IFERROR(IF(OR(MatchData[[#this row],[challenge flag]],MatchData[[#this row],[climb flag]]),1,0),0)</f>
        <v>#VALUE!</v>
      </c>
      <c r="BM253" s="16" t="e">
        <f aca="false">MatchData[auto high goals]*10+MatchData[teleop high goals]*5</f>
        <v>#VALUE!</v>
      </c>
      <c r="BN253" s="16" t="e">
        <f aca="false">MatchData[auto low goals]*5+MatchData[teleop low goals]*2</f>
        <v>#VALUE!</v>
      </c>
      <c r="BO253" s="16" t="e">
        <f aca="false">MatchData[high goal score]+MatchData[low goal score]</f>
        <v>#VALUE!</v>
      </c>
      <c r="BP253" s="16" t="e">
        <f aca="false">MatchData[teleop high goals]+MatchData[teleop low goals]</f>
        <v>#VALUE!</v>
      </c>
      <c r="BQ253" s="16" t="e">
        <f aca="false">MatchData[[#this row],[auto reach flag]]*2+SUM(MatchData[[#this row],[portcullis auto crossings]:[low bar auto crossings]])*10+MatchData[[#this row],[auto low goals]]*5+MatchData[auto high goals]*10</f>
        <v>#VALUE!</v>
      </c>
      <c r="BR253" s="16" t="e">
        <f aca="false">SUM(MatchData[[#this row],[cheval teleop crossing score]:[low bar teleop crossing score]])</f>
        <v>#VALUE!</v>
      </c>
      <c r="BS253" s="16" t="e">
        <f aca="false">SUMIF(MatchData[team],MatchData[[#this row],[team]],MatchData[total auto score])/MatchData[match count]</f>
        <v>#VALUE!</v>
      </c>
      <c r="BT253" s="16" t="e">
        <f aca="false">MatchData[challenge flag]*5</f>
        <v>#VALUE!</v>
      </c>
      <c r="BU253" s="16" t="e">
        <f aca="false">MatchData[climb flag]*15</f>
        <v>#VALUE!</v>
      </c>
      <c r="BV253" s="16" t="e">
        <f aca="false">SUM(MatchData[[#this row],[total goal score]],MatchData[[#this row],[crossing score]],MatchData[[#this row],[challenge score]],MatchData[[#this row],[climb score]],MatchData[[#this row],[total auto score]])</f>
        <v>#VALUE!</v>
      </c>
      <c r="BW253" s="16" t="e">
        <f aca="false">ROUND(SUMIF(MatchData[team],MatchData[[#this row],[team]],MatchData[teleop low goals])/COUNTIF(MatchData[team],MatchData[[#this row],[team]]),2)</f>
        <v>#VALUE!</v>
      </c>
      <c r="BX253" s="16" t="e">
        <f aca="false">ROUND(SUMIF(MatchData[team],MatchData[[#this row],[team]],MatchData[teleop high goals])/COUNTIF(MatchData[team],MatchData[[#this row],[team]]),2)</f>
        <v>#VALUE!</v>
      </c>
      <c r="BY253" s="16" t="e">
        <f aca="false">COUNTIF(MatchData[team],MatchData[[#this row],[team]])</f>
        <v>#VALUE!</v>
      </c>
      <c r="BZ253" s="16" t="e">
        <f aca="false">SUMIF(MatchData[team],MatchData[[#this row],[team]],MatchData[portcullis available])</f>
        <v>#VALUE!</v>
      </c>
      <c r="CA253" s="16" t="e">
        <f aca="false">SUMIF(MatchData[team],MatchData[[#this row],[team]],MatchData[cheval available])</f>
        <v>#VALUE!</v>
      </c>
      <c r="CB253" s="16" t="e">
        <f aca="false">SUMIF(MatchData[team],MatchData[[#this row],[team]],MatchData[moat available])</f>
        <v>#VALUE!</v>
      </c>
      <c r="CC253" s="16" t="e">
        <f aca="false">SUMIF(MatchData[team],MatchData[[#this row],[team]],MatchData[ramparts available])</f>
        <v>#VALUE!</v>
      </c>
      <c r="CD253" s="16" t="e">
        <f aca="false">SUMIF(MatchData[team],MatchData[[#this row],[team]],MatchData[drawbridge available])</f>
        <v>#VALUE!</v>
      </c>
      <c r="CE253" s="16" t="e">
        <f aca="false">SUMIF(MatchData[team],MatchData[[#this row],[team]],MatchData[sally port available])</f>
        <v>#VALUE!</v>
      </c>
      <c r="CF253" s="16" t="e">
        <f aca="false">SUMIF(MatchData[team],MatchData[[#this row],[team]],MatchData[rock wall available])</f>
        <v>#VALUE!</v>
      </c>
      <c r="CG253" s="16" t="e">
        <f aca="false">SUMIF(MatchData[team],MatchData[[#this row],[team]],MatchData[rough terrain available])</f>
        <v>#VALUE!</v>
      </c>
      <c r="CH253" s="16" t="e">
        <f aca="false">SUMIF(MatchData[team],MatchData[[#this row],[team]],MatchData[low bar available])</f>
        <v>#VALUE!</v>
      </c>
      <c r="CI253" s="16" t="e">
        <f aca="false">SUMIF(MatchData[team],MatchData[[#this row],[team]],MatchData[portcullis teleop crossings]:MatchData[portcullis scored crossings])</f>
        <v>#VALUE!</v>
      </c>
      <c r="CJ253" s="16" t="e">
        <f aca="false">SUMIF(MatchData[team],MatchData[[#this row],[team]],MatchData[cheval teleop crossings])+SUMIF(MatchData[team],MatchData[[#this row],[team]],MatchData[cheval scored crossings])</f>
        <v>#VALUE!</v>
      </c>
      <c r="CK253" s="16" t="e">
        <f aca="false">SUMIF(MatchData[team],MatchData[[#this row],[team]],MatchData[moat teleop crossings])+SUMIF(MatchData[team],MatchData[[#this row],[team]],MatchData[moat scored crosings])</f>
        <v>#VALUE!</v>
      </c>
      <c r="CL253" s="16" t="e">
        <f aca="false">SUMIF(MatchData[team],MatchData[[#this row],[team]],MatchData[ramparts teleop crossings])+SUMIF(MatchData[team],MatchData[[#this row],[team]],MatchData[ramparts scored crossings])</f>
        <v>#VALUE!</v>
      </c>
      <c r="CM253" s="16" t="e">
        <f aca="false">SUMIF(MatchData[team],MatchData[[#this row],[team]],MatchData[drawbridge teleop crossings])+SUMIF(MatchData[team],MatchData[[#this row],[team]],MatchData[drawbridge scored crossings])</f>
        <v>#VALUE!</v>
      </c>
      <c r="CN253" s="16" t="e">
        <f aca="false">SUMIF(MatchData[team],MatchData[[#this row],[team]],MatchData[sally port teleop crossings])+SUMIF(MatchData[team],MatchData[[#this row],[team]],MatchData[sally port scored crossings])</f>
        <v>#VALUE!</v>
      </c>
      <c r="CO253" s="16" t="e">
        <f aca="false">SUMIF(MatchData[team],MatchData[[#this row],[team]],MatchData[rock wall teleop crossings])+SUMIF(MatchData[team],MatchData[[#this row],[team]],MatchData[rock wall scored crossings])</f>
        <v>#VALUE!</v>
      </c>
      <c r="CP253" s="16" t="e">
        <f aca="false">SUMIF(MatchData[team],MatchData[[#this row],[team]],MatchData[rough terrain teleop crossings])+SUMIF(MatchData[team],MatchData[[#this row],[team]],MatchData[rough terrain scored crossings])</f>
        <v>#VALUE!</v>
      </c>
      <c r="CQ253" s="16" t="e">
        <f aca="false">SUMIF(MatchData[team],MatchData[[#this row],[team]],MatchData[low bar teleop crossings])+SUMIF(MatchData[team],MatchData[[#this row],[team]],MatchData[low bar scored crossings])</f>
        <v>#VALUE!</v>
      </c>
      <c r="CR253" s="16" t="e">
        <f aca="false">IFERROR(ROUND(MatchData[[#this row],[portcullis sum]]/MatchData[[#this row],[portcullis avail count]],2),0)</f>
        <v>#VALUE!</v>
      </c>
      <c r="CS253" s="16" t="e">
        <f aca="false">IFERROR(ROUND(MatchData[[#this row],[cheval sum]]/MatchData[[#this row],[cheval avail count]],2),0)</f>
        <v>#VALUE!</v>
      </c>
      <c r="CT253" s="16" t="e">
        <f aca="false">IFERROR(ROUND(MatchData[[#this row],[moat sum]]/MatchData[[#this row],[moat avail count]],2),0)</f>
        <v>#VALUE!</v>
      </c>
      <c r="CU253" s="16" t="e">
        <f aca="false">IFERROR(ROUND(MatchData[[#this row],[ramparts sum]]/MatchData[[#this row],[ramparts avail count]],2),0)</f>
        <v>#VALUE!</v>
      </c>
      <c r="CV253" s="16" t="e">
        <f aca="false">IFERROR(ROUND(MatchData[[#this row],[drawbridge sum]]/MatchData[[#this row],[drawbridge avail countigh6]],2),0)</f>
        <v>#VALUE!</v>
      </c>
      <c r="CW253" s="16" t="e">
        <f aca="false">IFERROR(ROUND(MatchData[[#this row],[sally port sum]]/MatchData[[#this row],[sally port avail count]],2),0)</f>
        <v>#VALUE!</v>
      </c>
      <c r="CX253" s="5" t="e">
        <f aca="false">IFERROR(ROUND(MatchData[[#this row],[rock wall sum]]/MatchData[[#this row],[rock wall avail count]],2),0)</f>
        <v>#VALUE!</v>
      </c>
      <c r="CY253" s="5" t="e">
        <f aca="false">IFERROR(ROUND(MatchData[[#this row],[rough terrain sum]]/MatchData[[#this row],[rough terrain avail count]],2),0)</f>
        <v>#VALUE!</v>
      </c>
      <c r="CZ253" s="5" t="e">
        <f aca="false">IFERROR(ROUND(MatchData[[#this row],[low bar sum]]/MatchData[[#this row],[low bar avail count]],2),0)</f>
        <v>#VALUE!</v>
      </c>
      <c r="DA253" s="16" t="e">
        <f aca="false">SUM(MatchData[[#this row],[cheval sum]:[low bar sum]])/MatchData[match count]</f>
        <v>#VALUE!</v>
      </c>
      <c r="DB253" s="16" t="n">
        <f aca="false">MAX(IF(C$2:C$74=C253,BP$2:BP$74))</f>
        <v>-1.79769313486232E+308</v>
      </c>
      <c r="DC253" s="16" t="e">
        <f aca="false">AVERAGEIF(MatchData[team],MatchData[[#this row],[team]],MatchData[total score])</f>
        <v>#VALUE!</v>
      </c>
      <c r="DD253" s="16" t="e">
        <f aca="false">ROUND(AVERAGEIF(MatchData[team],MatchData[team],MatchData[climb or challenge flag]),2)</f>
        <v>#VALUE!</v>
      </c>
    </row>
    <row r="254" customFormat="false" ht="14.5" hidden="false" customHeight="false" outlineLevel="0" collapsed="false">
      <c r="A254" s="20" t="s">
        <v>108</v>
      </c>
      <c r="B254" s="22" t="n">
        <v>43</v>
      </c>
      <c r="C254" s="15" t="n">
        <v>2915</v>
      </c>
      <c r="D254" s="5" t="s">
        <v>109</v>
      </c>
      <c r="E254" s="5" t="s">
        <v>110</v>
      </c>
      <c r="G254" s="16"/>
      <c r="I254" s="16"/>
      <c r="J254" s="5" t="n">
        <v>1</v>
      </c>
      <c r="K254" s="16"/>
      <c r="L254" s="5" t="n">
        <v>1</v>
      </c>
      <c r="M254" s="5" t="n">
        <v>1</v>
      </c>
      <c r="N254" s="0"/>
      <c r="O254" s="0"/>
      <c r="P254" s="5" t="n">
        <v>1</v>
      </c>
      <c r="Q254" s="0"/>
      <c r="R254" s="5" t="n">
        <v>1</v>
      </c>
      <c r="S254" s="16"/>
      <c r="U254" s="16"/>
      <c r="V254" s="16"/>
      <c r="W254" s="0"/>
      <c r="AD254" s="16"/>
      <c r="AE254" s="5"/>
      <c r="AF254" s="16"/>
      <c r="AG254" s="16"/>
      <c r="AH254" s="16"/>
      <c r="AJ254" s="16"/>
      <c r="AL254" s="16"/>
      <c r="AN254" s="16"/>
      <c r="AP254" s="16"/>
      <c r="AR254" s="16"/>
      <c r="AT254" s="16" t="n">
        <v>1</v>
      </c>
      <c r="AU254" s="16"/>
      <c r="AV254" s="16"/>
      <c r="AW254" s="16" t="n">
        <v>1</v>
      </c>
      <c r="AX254" s="16"/>
      <c r="AY254" s="16"/>
      <c r="AZ254" s="16" t="n">
        <v>1</v>
      </c>
      <c r="BB254" s="16"/>
      <c r="BC254" s="16" t="e">
        <f aca="false">MatchData[cheval scored crossings]*5</f>
        <v>#VALUE!</v>
      </c>
      <c r="BD254" s="16" t="e">
        <f aca="false">MatchData[moat scored crosings]*5</f>
        <v>#VALUE!</v>
      </c>
      <c r="BE254" s="16" t="e">
        <f aca="false">MatchData[ramparts scored crossings]*5</f>
        <v>#VALUE!</v>
      </c>
      <c r="BF254" s="16" t="e">
        <f aca="false">MatchData[drawbridge scored crossings]*5</f>
        <v>#VALUE!</v>
      </c>
      <c r="BG254" s="16" t="e">
        <f aca="false">MatchData[sally port scored crossings]*5</f>
        <v>#VALUE!</v>
      </c>
      <c r="BH254" s="16" t="e">
        <f aca="false">MatchData[rock wall scored crossings]*5</f>
        <v>#VALUE!</v>
      </c>
      <c r="BI254" s="16" t="e">
        <f aca="false">MatchData[rough terrain scored crossings]*5</f>
        <v>#VALUE!</v>
      </c>
      <c r="BJ254" s="16" t="e">
        <f aca="false">MatchData[low bar scored crossings]*5</f>
        <v>#VALUE!</v>
      </c>
      <c r="BK254" s="16" t="e">
        <f aca="false">SUM(MatchData[[#this row],[low bar teleop crossings]:[rough terrain scored crossings]])</f>
        <v>#VALUE!</v>
      </c>
      <c r="BL254" s="16" t="e">
        <f aca="false">IFERROR(IF(OR(MatchData[[#this row],[challenge flag]],MatchData[[#this row],[climb flag]]),1,0),0)</f>
        <v>#VALUE!</v>
      </c>
      <c r="BM254" s="16" t="e">
        <f aca="false">MatchData[auto high goals]*10+MatchData[teleop high goals]*5</f>
        <v>#VALUE!</v>
      </c>
      <c r="BN254" s="16" t="e">
        <f aca="false">MatchData[auto low goals]*5+MatchData[teleop low goals]*2</f>
        <v>#VALUE!</v>
      </c>
      <c r="BO254" s="16" t="e">
        <f aca="false">MatchData[high goal score]+MatchData[low goal score]</f>
        <v>#VALUE!</v>
      </c>
      <c r="BP254" s="16" t="e">
        <f aca="false">MatchData[teleop high goals]+MatchData[teleop low goals]</f>
        <v>#VALUE!</v>
      </c>
      <c r="BQ254" s="16" t="e">
        <f aca="false">MatchData[[#this row],[auto reach flag]]*2+SUM(MatchData[[#this row],[portcullis auto crossings]:[low bar auto crossings]])*10+MatchData[[#this row],[auto low goals]]*5+MatchData[auto high goals]*10</f>
        <v>#VALUE!</v>
      </c>
      <c r="BR254" s="16" t="e">
        <f aca="false">SUM(MatchData[[#this row],[cheval teleop crossing score]:[low bar teleop crossing score]])</f>
        <v>#VALUE!</v>
      </c>
      <c r="BS254" s="16" t="e">
        <f aca="false">SUMIF(MatchData[team],MatchData[[#this row],[team]],MatchData[total auto score])/MatchData[match count]</f>
        <v>#VALUE!</v>
      </c>
      <c r="BT254" s="16" t="e">
        <f aca="false">MatchData[challenge flag]*5</f>
        <v>#VALUE!</v>
      </c>
      <c r="BU254" s="16" t="e">
        <f aca="false">MatchData[climb flag]*15</f>
        <v>#VALUE!</v>
      </c>
      <c r="BV254" s="16" t="e">
        <f aca="false">SUM(MatchData[[#this row],[total goal score]],MatchData[[#this row],[crossing score]],MatchData[[#this row],[challenge score]],MatchData[[#this row],[climb score]],MatchData[[#this row],[total auto score]])</f>
        <v>#VALUE!</v>
      </c>
      <c r="BW254" s="16" t="e">
        <f aca="false">ROUND(SUMIF(MatchData[team],MatchData[[#this row],[team]],MatchData[teleop low goals])/COUNTIF(MatchData[team],MatchData[[#this row],[team]]),2)</f>
        <v>#VALUE!</v>
      </c>
      <c r="BX254" s="16" t="e">
        <f aca="false">ROUND(SUMIF(MatchData[team],MatchData[[#this row],[team]],MatchData[teleop high goals])/COUNTIF(MatchData[team],MatchData[[#this row],[team]]),2)</f>
        <v>#VALUE!</v>
      </c>
      <c r="BY254" s="16" t="e">
        <f aca="false">COUNTIF(MatchData[team],MatchData[[#this row],[team]])</f>
        <v>#VALUE!</v>
      </c>
      <c r="BZ254" s="16" t="e">
        <f aca="false">SUMIF(MatchData[team],MatchData[[#this row],[team]],MatchData[portcullis available])</f>
        <v>#VALUE!</v>
      </c>
      <c r="CA254" s="16" t="e">
        <f aca="false">SUMIF(MatchData[team],MatchData[[#this row],[team]],MatchData[cheval available])</f>
        <v>#VALUE!</v>
      </c>
      <c r="CB254" s="16" t="e">
        <f aca="false">SUMIF(MatchData[team],MatchData[[#this row],[team]],MatchData[moat available])</f>
        <v>#VALUE!</v>
      </c>
      <c r="CC254" s="16" t="e">
        <f aca="false">SUMIF(MatchData[team],MatchData[[#this row],[team]],MatchData[ramparts available])</f>
        <v>#VALUE!</v>
      </c>
      <c r="CD254" s="16" t="e">
        <f aca="false">SUMIF(MatchData[team],MatchData[[#this row],[team]],MatchData[drawbridge available])</f>
        <v>#VALUE!</v>
      </c>
      <c r="CE254" s="16" t="e">
        <f aca="false">SUMIF(MatchData[team],MatchData[[#this row],[team]],MatchData[sally port available])</f>
        <v>#VALUE!</v>
      </c>
      <c r="CF254" s="16" t="e">
        <f aca="false">SUMIF(MatchData[team],MatchData[[#this row],[team]],MatchData[rock wall available])</f>
        <v>#VALUE!</v>
      </c>
      <c r="CG254" s="16" t="e">
        <f aca="false">SUMIF(MatchData[team],MatchData[[#this row],[team]],MatchData[rough terrain available])</f>
        <v>#VALUE!</v>
      </c>
      <c r="CH254" s="16" t="e">
        <f aca="false">SUMIF(MatchData[team],MatchData[[#this row],[team]],MatchData[low bar available])</f>
        <v>#VALUE!</v>
      </c>
      <c r="CI254" s="16" t="e">
        <f aca="false">SUMIF(MatchData[team],MatchData[[#this row],[team]],MatchData[portcullis teleop crossings]:MatchData[portcullis scored crossings])</f>
        <v>#VALUE!</v>
      </c>
      <c r="CJ254" s="16" t="e">
        <f aca="false">SUMIF(MatchData[team],MatchData[[#this row],[team]],MatchData[cheval teleop crossings])+SUMIF(MatchData[team],MatchData[[#this row],[team]],MatchData[cheval scored crossings])</f>
        <v>#VALUE!</v>
      </c>
      <c r="CK254" s="16" t="e">
        <f aca="false">SUMIF(MatchData[team],MatchData[[#this row],[team]],MatchData[moat teleop crossings])+SUMIF(MatchData[team],MatchData[[#this row],[team]],MatchData[moat scored crosings])</f>
        <v>#VALUE!</v>
      </c>
      <c r="CL254" s="16" t="e">
        <f aca="false">SUMIF(MatchData[team],MatchData[[#this row],[team]],MatchData[ramparts teleop crossings])+SUMIF(MatchData[team],MatchData[[#this row],[team]],MatchData[ramparts scored crossings])</f>
        <v>#VALUE!</v>
      </c>
      <c r="CM254" s="16" t="e">
        <f aca="false">SUMIF(MatchData[team],MatchData[[#this row],[team]],MatchData[drawbridge teleop crossings])+SUMIF(MatchData[team],MatchData[[#this row],[team]],MatchData[drawbridge scored crossings])</f>
        <v>#VALUE!</v>
      </c>
      <c r="CN254" s="16" t="e">
        <f aca="false">SUMIF(MatchData[team],MatchData[[#this row],[team]],MatchData[sally port teleop crossings])+SUMIF(MatchData[team],MatchData[[#this row],[team]],MatchData[sally port scored crossings])</f>
        <v>#VALUE!</v>
      </c>
      <c r="CO254" s="16" t="e">
        <f aca="false">SUMIF(MatchData[team],MatchData[[#this row],[team]],MatchData[rock wall teleop crossings])+SUMIF(MatchData[team],MatchData[[#this row],[team]],MatchData[rock wall scored crossings])</f>
        <v>#VALUE!</v>
      </c>
      <c r="CP254" s="16" t="e">
        <f aca="false">SUMIF(MatchData[team],MatchData[[#this row],[team]],MatchData[rough terrain teleop crossings])+SUMIF(MatchData[team],MatchData[[#this row],[team]],MatchData[rough terrain scored crossings])</f>
        <v>#VALUE!</v>
      </c>
      <c r="CQ254" s="16" t="e">
        <f aca="false">SUMIF(MatchData[team],MatchData[[#this row],[team]],MatchData[low bar teleop crossings])+SUMIF(MatchData[team],MatchData[[#this row],[team]],MatchData[low bar scored crossings])</f>
        <v>#VALUE!</v>
      </c>
      <c r="CR254" s="16" t="e">
        <f aca="false">IFERROR(ROUND(MatchData[[#this row],[portcullis sum]]/MatchData[[#this row],[portcullis avail count]],2),0)</f>
        <v>#VALUE!</v>
      </c>
      <c r="CS254" s="16" t="e">
        <f aca="false">IFERROR(ROUND(MatchData[[#this row],[cheval sum]]/MatchData[[#this row],[cheval avail count]],2),0)</f>
        <v>#VALUE!</v>
      </c>
      <c r="CT254" s="16" t="e">
        <f aca="false">IFERROR(ROUND(MatchData[[#this row],[moat sum]]/MatchData[[#this row],[moat avail count]],2),0)</f>
        <v>#VALUE!</v>
      </c>
      <c r="CU254" s="16" t="e">
        <f aca="false">IFERROR(ROUND(MatchData[[#this row],[ramparts sum]]/MatchData[[#this row],[ramparts avail count]],2),0)</f>
        <v>#VALUE!</v>
      </c>
      <c r="CV254" s="16" t="e">
        <f aca="false">IFERROR(ROUND(MatchData[[#this row],[drawbridge sum]]/MatchData[[#this row],[drawbridge avail countigh6]],2),0)</f>
        <v>#VALUE!</v>
      </c>
      <c r="CW254" s="16" t="e">
        <f aca="false">IFERROR(ROUND(MatchData[[#this row],[sally port sum]]/MatchData[[#this row],[sally port avail count]],2),0)</f>
        <v>#VALUE!</v>
      </c>
      <c r="CX254" s="5" t="e">
        <f aca="false">IFERROR(ROUND(MatchData[[#this row],[rock wall sum]]/MatchData[[#this row],[rock wall avail count]],2),0)</f>
        <v>#VALUE!</v>
      </c>
      <c r="CY254" s="5" t="e">
        <f aca="false">IFERROR(ROUND(MatchData[[#this row],[rough terrain sum]]/MatchData[[#this row],[rough terrain avail count]],2),0)</f>
        <v>#VALUE!</v>
      </c>
      <c r="CZ254" s="5" t="e">
        <f aca="false">IFERROR(ROUND(MatchData[[#this row],[low bar sum]]/MatchData[[#this row],[low bar avail count]],2),0)</f>
        <v>#VALUE!</v>
      </c>
      <c r="DA254" s="16" t="e">
        <f aca="false">SUM(MatchData[[#this row],[cheval sum]:[low bar sum]])/MatchData[match count]</f>
        <v>#VALUE!</v>
      </c>
      <c r="DB254" s="16" t="n">
        <f aca="false">MAX(IF(C$2:C$74=C254,BP$2:BP$74))</f>
        <v>-1.79769313486232E+308</v>
      </c>
      <c r="DC254" s="16" t="e">
        <f aca="false">AVERAGEIF(MatchData[team],MatchData[[#this row],[team]],MatchData[total score])</f>
        <v>#VALUE!</v>
      </c>
      <c r="DD254" s="16" t="e">
        <f aca="false">ROUND(AVERAGEIF(MatchData[team],MatchData[team],MatchData[climb or challenge flag]),2)</f>
        <v>#VALUE!</v>
      </c>
    </row>
    <row r="255" customFormat="false" ht="14.5" hidden="false" customHeight="false" outlineLevel="0" collapsed="false">
      <c r="A255" s="20" t="s">
        <v>108</v>
      </c>
      <c r="B255" s="22" t="n">
        <v>43</v>
      </c>
      <c r="C255" s="15" t="n">
        <v>4051</v>
      </c>
      <c r="D255" s="5" t="s">
        <v>109</v>
      </c>
      <c r="E255" s="5" t="s">
        <v>128</v>
      </c>
      <c r="G255" s="16"/>
      <c r="I255" s="16"/>
      <c r="J255" s="5" t="n">
        <v>1</v>
      </c>
      <c r="K255" s="16"/>
      <c r="L255" s="5" t="n">
        <v>1</v>
      </c>
      <c r="M255" s="5" t="n">
        <v>1</v>
      </c>
      <c r="N255" s="0"/>
      <c r="O255" s="0"/>
      <c r="P255" s="5" t="n">
        <v>1</v>
      </c>
      <c r="Q255" s="0"/>
      <c r="R255" s="5" t="n">
        <v>1</v>
      </c>
      <c r="S255" s="16"/>
      <c r="U255" s="16"/>
      <c r="V255" s="16"/>
      <c r="W255" s="0"/>
      <c r="AD255" s="16"/>
      <c r="AE255" s="5"/>
      <c r="AF255" s="16"/>
      <c r="AG255" s="16"/>
      <c r="AH255" s="16"/>
      <c r="AJ255" s="16" t="n">
        <v>1</v>
      </c>
      <c r="AL255" s="16"/>
      <c r="AN255" s="16"/>
      <c r="AP255" s="16" t="n">
        <v>1</v>
      </c>
      <c r="AR255" s="16"/>
      <c r="AT255" s="16"/>
      <c r="AU255" s="16"/>
      <c r="AV255" s="16"/>
      <c r="AW255" s="16" t="n">
        <v>1</v>
      </c>
      <c r="AX255" s="16"/>
      <c r="AY255" s="16"/>
      <c r="AZ255" s="16" t="n">
        <v>1</v>
      </c>
      <c r="BB255" s="16"/>
      <c r="BC255" s="16" t="e">
        <f aca="false">MatchData[cheval scored crossings]*5</f>
        <v>#VALUE!</v>
      </c>
      <c r="BD255" s="16" t="e">
        <f aca="false">MatchData[moat scored crosings]*5</f>
        <v>#VALUE!</v>
      </c>
      <c r="BE255" s="16" t="e">
        <f aca="false">MatchData[ramparts scored crossings]*5</f>
        <v>#VALUE!</v>
      </c>
      <c r="BF255" s="16" t="e">
        <f aca="false">MatchData[drawbridge scored crossings]*5</f>
        <v>#VALUE!</v>
      </c>
      <c r="BG255" s="16" t="e">
        <f aca="false">MatchData[sally port scored crossings]*5</f>
        <v>#VALUE!</v>
      </c>
      <c r="BH255" s="16" t="e">
        <f aca="false">MatchData[rock wall scored crossings]*5</f>
        <v>#VALUE!</v>
      </c>
      <c r="BI255" s="16" t="e">
        <f aca="false">MatchData[rough terrain scored crossings]*5</f>
        <v>#VALUE!</v>
      </c>
      <c r="BJ255" s="16" t="e">
        <f aca="false">MatchData[low bar scored crossings]*5</f>
        <v>#VALUE!</v>
      </c>
      <c r="BK255" s="16" t="e">
        <f aca="false">SUM(MatchData[[#this row],[low bar teleop crossings]:[rough terrain scored crossings]])</f>
        <v>#VALUE!</v>
      </c>
      <c r="BL255" s="16" t="e">
        <f aca="false">IFERROR(IF(OR(MatchData[[#this row],[challenge flag]],MatchData[[#this row],[climb flag]]),1,0),0)</f>
        <v>#VALUE!</v>
      </c>
      <c r="BM255" s="16" t="e">
        <f aca="false">MatchData[auto high goals]*10+MatchData[teleop high goals]*5</f>
        <v>#VALUE!</v>
      </c>
      <c r="BN255" s="16" t="e">
        <f aca="false">MatchData[auto low goals]*5+MatchData[teleop low goals]*2</f>
        <v>#VALUE!</v>
      </c>
      <c r="BO255" s="16" t="e">
        <f aca="false">MatchData[high goal score]+MatchData[low goal score]</f>
        <v>#VALUE!</v>
      </c>
      <c r="BP255" s="16" t="e">
        <f aca="false">MatchData[teleop high goals]+MatchData[teleop low goals]</f>
        <v>#VALUE!</v>
      </c>
      <c r="BQ255" s="16" t="e">
        <f aca="false">MatchData[[#this row],[auto reach flag]]*2+SUM(MatchData[[#this row],[portcullis auto crossings]:[low bar auto crossings]])*10+MatchData[[#this row],[auto low goals]]*5+MatchData[auto high goals]*10</f>
        <v>#VALUE!</v>
      </c>
      <c r="BR255" s="16" t="e">
        <f aca="false">SUM(MatchData[[#this row],[cheval teleop crossing score]:[low bar teleop crossing score]])</f>
        <v>#VALUE!</v>
      </c>
      <c r="BS255" s="16" t="e">
        <f aca="false">SUMIF(MatchData[team],MatchData[[#this row],[team]],MatchData[total auto score])/MatchData[match count]</f>
        <v>#VALUE!</v>
      </c>
      <c r="BT255" s="16" t="e">
        <f aca="false">MatchData[challenge flag]*5</f>
        <v>#VALUE!</v>
      </c>
      <c r="BU255" s="16" t="e">
        <f aca="false">MatchData[climb flag]*15</f>
        <v>#VALUE!</v>
      </c>
      <c r="BV255" s="16" t="e">
        <f aca="false">SUM(MatchData[[#this row],[total goal score]],MatchData[[#this row],[crossing score]],MatchData[[#this row],[challenge score]],MatchData[[#this row],[climb score]],MatchData[[#this row],[total auto score]])</f>
        <v>#VALUE!</v>
      </c>
      <c r="BW255" s="16" t="e">
        <f aca="false">ROUND(SUMIF(MatchData[team],MatchData[[#this row],[team]],MatchData[teleop low goals])/COUNTIF(MatchData[team],MatchData[[#this row],[team]]),2)</f>
        <v>#VALUE!</v>
      </c>
      <c r="BX255" s="16" t="e">
        <f aca="false">ROUND(SUMIF(MatchData[team],MatchData[[#this row],[team]],MatchData[teleop high goals])/COUNTIF(MatchData[team],MatchData[[#this row],[team]]),2)</f>
        <v>#VALUE!</v>
      </c>
      <c r="BY255" s="16" t="e">
        <f aca="false">COUNTIF(MatchData[team],MatchData[[#this row],[team]])</f>
        <v>#VALUE!</v>
      </c>
      <c r="BZ255" s="16" t="e">
        <f aca="false">SUMIF(MatchData[team],MatchData[[#this row],[team]],MatchData[portcullis available])</f>
        <v>#VALUE!</v>
      </c>
      <c r="CA255" s="16" t="e">
        <f aca="false">SUMIF(MatchData[team],MatchData[[#this row],[team]],MatchData[cheval available])</f>
        <v>#VALUE!</v>
      </c>
      <c r="CB255" s="16" t="e">
        <f aca="false">SUMIF(MatchData[team],MatchData[[#this row],[team]],MatchData[moat available])</f>
        <v>#VALUE!</v>
      </c>
      <c r="CC255" s="16" t="e">
        <f aca="false">SUMIF(MatchData[team],MatchData[[#this row],[team]],MatchData[ramparts available])</f>
        <v>#VALUE!</v>
      </c>
      <c r="CD255" s="16" t="e">
        <f aca="false">SUMIF(MatchData[team],MatchData[[#this row],[team]],MatchData[drawbridge available])</f>
        <v>#VALUE!</v>
      </c>
      <c r="CE255" s="16" t="e">
        <f aca="false">SUMIF(MatchData[team],MatchData[[#this row],[team]],MatchData[sally port available])</f>
        <v>#VALUE!</v>
      </c>
      <c r="CF255" s="16" t="e">
        <f aca="false">SUMIF(MatchData[team],MatchData[[#this row],[team]],MatchData[rock wall available])</f>
        <v>#VALUE!</v>
      </c>
      <c r="CG255" s="16" t="e">
        <f aca="false">SUMIF(MatchData[team],MatchData[[#this row],[team]],MatchData[rough terrain available])</f>
        <v>#VALUE!</v>
      </c>
      <c r="CH255" s="16" t="e">
        <f aca="false">SUMIF(MatchData[team],MatchData[[#this row],[team]],MatchData[low bar available])</f>
        <v>#VALUE!</v>
      </c>
      <c r="CI255" s="16" t="e">
        <f aca="false">SUMIF(MatchData[team],MatchData[[#this row],[team]],MatchData[portcullis teleop crossings]:MatchData[portcullis scored crossings])</f>
        <v>#VALUE!</v>
      </c>
      <c r="CJ255" s="16" t="e">
        <f aca="false">SUMIF(MatchData[team],MatchData[[#this row],[team]],MatchData[cheval teleop crossings])+SUMIF(MatchData[team],MatchData[[#this row],[team]],MatchData[cheval scored crossings])</f>
        <v>#VALUE!</v>
      </c>
      <c r="CK255" s="16" t="e">
        <f aca="false">SUMIF(MatchData[team],MatchData[[#this row],[team]],MatchData[moat teleop crossings])+SUMIF(MatchData[team],MatchData[[#this row],[team]],MatchData[moat scored crosings])</f>
        <v>#VALUE!</v>
      </c>
      <c r="CL255" s="16" t="e">
        <f aca="false">SUMIF(MatchData[team],MatchData[[#this row],[team]],MatchData[ramparts teleop crossings])+SUMIF(MatchData[team],MatchData[[#this row],[team]],MatchData[ramparts scored crossings])</f>
        <v>#VALUE!</v>
      </c>
      <c r="CM255" s="16" t="e">
        <f aca="false">SUMIF(MatchData[team],MatchData[[#this row],[team]],MatchData[drawbridge teleop crossings])+SUMIF(MatchData[team],MatchData[[#this row],[team]],MatchData[drawbridge scored crossings])</f>
        <v>#VALUE!</v>
      </c>
      <c r="CN255" s="16" t="e">
        <f aca="false">SUMIF(MatchData[team],MatchData[[#this row],[team]],MatchData[sally port teleop crossings])+SUMIF(MatchData[team],MatchData[[#this row],[team]],MatchData[sally port scored crossings])</f>
        <v>#VALUE!</v>
      </c>
      <c r="CO255" s="16" t="e">
        <f aca="false">SUMIF(MatchData[team],MatchData[[#this row],[team]],MatchData[rock wall teleop crossings])+SUMIF(MatchData[team],MatchData[[#this row],[team]],MatchData[rock wall scored crossings])</f>
        <v>#VALUE!</v>
      </c>
      <c r="CP255" s="16" t="e">
        <f aca="false">SUMIF(MatchData[team],MatchData[[#this row],[team]],MatchData[rough terrain teleop crossings])+SUMIF(MatchData[team],MatchData[[#this row],[team]],MatchData[rough terrain scored crossings])</f>
        <v>#VALUE!</v>
      </c>
      <c r="CQ255" s="16" t="e">
        <f aca="false">SUMIF(MatchData[team],MatchData[[#this row],[team]],MatchData[low bar teleop crossings])+SUMIF(MatchData[team],MatchData[[#this row],[team]],MatchData[low bar scored crossings])</f>
        <v>#VALUE!</v>
      </c>
      <c r="CR255" s="16" t="e">
        <f aca="false">IFERROR(ROUND(MatchData[[#this row],[portcullis sum]]/MatchData[[#this row],[portcullis avail count]],2),0)</f>
        <v>#VALUE!</v>
      </c>
      <c r="CS255" s="16" t="e">
        <f aca="false">IFERROR(ROUND(MatchData[[#this row],[cheval sum]]/MatchData[[#this row],[cheval avail count]],2),0)</f>
        <v>#VALUE!</v>
      </c>
      <c r="CT255" s="16" t="e">
        <f aca="false">IFERROR(ROUND(MatchData[[#this row],[moat sum]]/MatchData[[#this row],[moat avail count]],2),0)</f>
        <v>#VALUE!</v>
      </c>
      <c r="CU255" s="16" t="e">
        <f aca="false">IFERROR(ROUND(MatchData[[#this row],[ramparts sum]]/MatchData[[#this row],[ramparts avail count]],2),0)</f>
        <v>#VALUE!</v>
      </c>
      <c r="CV255" s="16" t="e">
        <f aca="false">IFERROR(ROUND(MatchData[[#this row],[drawbridge sum]]/MatchData[[#this row],[drawbridge avail countigh6]],2),0)</f>
        <v>#VALUE!</v>
      </c>
      <c r="CW255" s="16" t="e">
        <f aca="false">IFERROR(ROUND(MatchData[[#this row],[sally port sum]]/MatchData[[#this row],[sally port avail count]],2),0)</f>
        <v>#VALUE!</v>
      </c>
      <c r="CX255" s="5" t="e">
        <f aca="false">IFERROR(ROUND(MatchData[[#this row],[rock wall sum]]/MatchData[[#this row],[rock wall avail count]],2),0)</f>
        <v>#VALUE!</v>
      </c>
      <c r="CY255" s="5" t="e">
        <f aca="false">IFERROR(ROUND(MatchData[[#this row],[rough terrain sum]]/MatchData[[#this row],[rough terrain avail count]],2),0)</f>
        <v>#VALUE!</v>
      </c>
      <c r="CZ255" s="5" t="e">
        <f aca="false">IFERROR(ROUND(MatchData[[#this row],[low bar sum]]/MatchData[[#this row],[low bar avail count]],2),0)</f>
        <v>#VALUE!</v>
      </c>
      <c r="DA255" s="16" t="e">
        <f aca="false">SUM(MatchData[[#this row],[cheval sum]:[low bar sum]])/MatchData[match count]</f>
        <v>#VALUE!</v>
      </c>
      <c r="DB255" s="16" t="n">
        <f aca="false">MAX(IF(C$2:C$74=C255,BP$2:BP$74))</f>
        <v>-1.79769313486232E+308</v>
      </c>
      <c r="DC255" s="16" t="e">
        <f aca="false">AVERAGEIF(MatchData[team],MatchData[[#this row],[team]],MatchData[total score])</f>
        <v>#VALUE!</v>
      </c>
      <c r="DD255" s="16" t="e">
        <f aca="false">ROUND(AVERAGEIF(MatchData[team],MatchData[team],MatchData[climb or challenge flag]),2)</f>
        <v>#VALUE!</v>
      </c>
    </row>
    <row r="256" customFormat="false" ht="14.5" hidden="false" customHeight="false" outlineLevel="0" collapsed="false">
      <c r="A256" s="20" t="s">
        <v>108</v>
      </c>
      <c r="B256" s="21" t="n">
        <v>43</v>
      </c>
      <c r="C256" s="15" t="n">
        <v>5468</v>
      </c>
      <c r="D256" s="5" t="s">
        <v>109</v>
      </c>
      <c r="E256" s="5" t="s">
        <v>118</v>
      </c>
      <c r="G256" s="16" t="n">
        <v>1</v>
      </c>
      <c r="I256" s="16"/>
      <c r="J256" s="5" t="n">
        <v>1</v>
      </c>
      <c r="K256" s="16"/>
      <c r="L256" s="5" t="n">
        <v>1</v>
      </c>
      <c r="M256" s="5" t="n">
        <v>1</v>
      </c>
      <c r="N256" s="0"/>
      <c r="O256" s="0"/>
      <c r="P256" s="5" t="n">
        <v>1</v>
      </c>
      <c r="Q256" s="0"/>
      <c r="R256" s="5" t="n">
        <v>1</v>
      </c>
      <c r="S256" s="16"/>
      <c r="U256" s="16"/>
      <c r="V256" s="16"/>
      <c r="W256" s="0"/>
      <c r="AB256" s="5" t="n">
        <v>1</v>
      </c>
      <c r="AD256" s="16" t="n">
        <v>1</v>
      </c>
      <c r="AE256" s="5"/>
      <c r="AF256" s="16"/>
      <c r="AG256" s="16"/>
      <c r="AH256" s="16"/>
      <c r="AJ256" s="16" t="n">
        <v>1</v>
      </c>
      <c r="AL256" s="16"/>
      <c r="AN256" s="16"/>
      <c r="AP256" s="16"/>
      <c r="AR256" s="16"/>
      <c r="AT256" s="16" t="n">
        <v>1</v>
      </c>
      <c r="AU256" s="16"/>
      <c r="AV256" s="16" t="n">
        <v>1</v>
      </c>
      <c r="AW256" s="16" t="n">
        <v>1</v>
      </c>
      <c r="AX256" s="16"/>
      <c r="AY256" s="16"/>
      <c r="AZ256" s="16"/>
      <c r="BB256" s="16"/>
      <c r="BC256" s="16" t="e">
        <f aca="false">MatchData[cheval scored crossings]*5</f>
        <v>#VALUE!</v>
      </c>
      <c r="BD256" s="16" t="e">
        <f aca="false">MatchData[moat scored crosings]*5</f>
        <v>#VALUE!</v>
      </c>
      <c r="BE256" s="16" t="e">
        <f aca="false">MatchData[ramparts scored crossings]*5</f>
        <v>#VALUE!</v>
      </c>
      <c r="BF256" s="16" t="e">
        <f aca="false">MatchData[drawbridge scored crossings]*5</f>
        <v>#VALUE!</v>
      </c>
      <c r="BG256" s="16" t="e">
        <f aca="false">MatchData[sally port scored crossings]*5</f>
        <v>#VALUE!</v>
      </c>
      <c r="BH256" s="16" t="e">
        <f aca="false">MatchData[rock wall scored crossings]*5</f>
        <v>#VALUE!</v>
      </c>
      <c r="BI256" s="16" t="e">
        <f aca="false">MatchData[rough terrain scored crossings]*5</f>
        <v>#VALUE!</v>
      </c>
      <c r="BJ256" s="16" t="e">
        <f aca="false">MatchData[low bar scored crossings]*5</f>
        <v>#VALUE!</v>
      </c>
      <c r="BK256" s="16" t="e">
        <f aca="false">SUM(MatchData[[#this row],[low bar teleop crossings]:[rough terrain scored crossings]])</f>
        <v>#VALUE!</v>
      </c>
      <c r="BL256" s="16" t="e">
        <f aca="false">IFERROR(IF(OR(MatchData[[#this row],[challenge flag]],MatchData[[#this row],[climb flag]]),1,0),0)</f>
        <v>#VALUE!</v>
      </c>
      <c r="BM256" s="16" t="e">
        <f aca="false">MatchData[auto high goals]*10+MatchData[teleop high goals]*5</f>
        <v>#VALUE!</v>
      </c>
      <c r="BN256" s="16" t="e">
        <f aca="false">MatchData[auto low goals]*5+MatchData[teleop low goals]*2</f>
        <v>#VALUE!</v>
      </c>
      <c r="BO256" s="16" t="e">
        <f aca="false">MatchData[high goal score]+MatchData[low goal score]</f>
        <v>#VALUE!</v>
      </c>
      <c r="BP256" s="16" t="e">
        <f aca="false">MatchData[teleop high goals]+MatchData[teleop low goals]</f>
        <v>#VALUE!</v>
      </c>
      <c r="BQ256" s="16" t="e">
        <f aca="false">MatchData[[#this row],[auto reach flag]]*2+SUM(MatchData[[#this row],[portcullis auto crossings]:[low bar auto crossings]])*10+MatchData[[#this row],[auto low goals]]*5+MatchData[auto high goals]*10</f>
        <v>#VALUE!</v>
      </c>
      <c r="BR256" s="16" t="e">
        <f aca="false">SUM(MatchData[[#this row],[cheval teleop crossing score]:[low bar teleop crossing score]])</f>
        <v>#VALUE!</v>
      </c>
      <c r="BS256" s="16" t="e">
        <f aca="false">SUMIF(MatchData[team],MatchData[[#this row],[team]],MatchData[total auto score])/MatchData[match count]</f>
        <v>#VALUE!</v>
      </c>
      <c r="BT256" s="16" t="e">
        <f aca="false">MatchData[challenge flag]*5</f>
        <v>#VALUE!</v>
      </c>
      <c r="BU256" s="16" t="e">
        <f aca="false">MatchData[climb flag]*15</f>
        <v>#VALUE!</v>
      </c>
      <c r="BV256" s="16" t="e">
        <f aca="false">SUM(MatchData[[#this row],[total goal score]],MatchData[[#this row],[crossing score]],MatchData[[#this row],[challenge score]],MatchData[[#this row],[climb score]],MatchData[[#this row],[total auto score]])</f>
        <v>#VALUE!</v>
      </c>
      <c r="BW256" s="16" t="e">
        <f aca="false">ROUND(SUMIF(MatchData[team],MatchData[[#this row],[team]],MatchData[teleop low goals])/COUNTIF(MatchData[team],MatchData[[#this row],[team]]),2)</f>
        <v>#VALUE!</v>
      </c>
      <c r="BX256" s="16" t="e">
        <f aca="false">ROUND(SUMIF(MatchData[team],MatchData[[#this row],[team]],MatchData[teleop high goals])/COUNTIF(MatchData[team],MatchData[[#this row],[team]]),2)</f>
        <v>#VALUE!</v>
      </c>
      <c r="BY256" s="16" t="e">
        <f aca="false">COUNTIF(MatchData[team],MatchData[[#this row],[team]])</f>
        <v>#VALUE!</v>
      </c>
      <c r="BZ256" s="16" t="e">
        <f aca="false">SUMIF(MatchData[team],MatchData[[#this row],[team]],MatchData[portcullis available])</f>
        <v>#VALUE!</v>
      </c>
      <c r="CA256" s="16" t="e">
        <f aca="false">SUMIF(MatchData[team],MatchData[[#this row],[team]],MatchData[cheval available])</f>
        <v>#VALUE!</v>
      </c>
      <c r="CB256" s="16" t="e">
        <f aca="false">SUMIF(MatchData[team],MatchData[[#this row],[team]],MatchData[moat available])</f>
        <v>#VALUE!</v>
      </c>
      <c r="CC256" s="16" t="e">
        <f aca="false">SUMIF(MatchData[team],MatchData[[#this row],[team]],MatchData[ramparts available])</f>
        <v>#VALUE!</v>
      </c>
      <c r="CD256" s="16" t="e">
        <f aca="false">SUMIF(MatchData[team],MatchData[[#this row],[team]],MatchData[drawbridge available])</f>
        <v>#VALUE!</v>
      </c>
      <c r="CE256" s="16" t="e">
        <f aca="false">SUMIF(MatchData[team],MatchData[[#this row],[team]],MatchData[sally port available])</f>
        <v>#VALUE!</v>
      </c>
      <c r="CF256" s="16" t="e">
        <f aca="false">SUMIF(MatchData[team],MatchData[[#this row],[team]],MatchData[rock wall available])</f>
        <v>#VALUE!</v>
      </c>
      <c r="CG256" s="16" t="e">
        <f aca="false">SUMIF(MatchData[team],MatchData[[#this row],[team]],MatchData[rough terrain available])</f>
        <v>#VALUE!</v>
      </c>
      <c r="CH256" s="16" t="e">
        <f aca="false">SUMIF(MatchData[team],MatchData[[#this row],[team]],MatchData[low bar available])</f>
        <v>#VALUE!</v>
      </c>
      <c r="CI256" s="16" t="e">
        <f aca="false">SUMIF(MatchData[team],MatchData[[#this row],[team]],MatchData[portcullis teleop crossings]:MatchData[portcullis scored crossings])</f>
        <v>#VALUE!</v>
      </c>
      <c r="CJ256" s="16" t="e">
        <f aca="false">SUMIF(MatchData[team],MatchData[[#this row],[team]],MatchData[cheval teleop crossings])+SUMIF(MatchData[team],MatchData[[#this row],[team]],MatchData[cheval scored crossings])</f>
        <v>#VALUE!</v>
      </c>
      <c r="CK256" s="16" t="e">
        <f aca="false">SUMIF(MatchData[team],MatchData[[#this row],[team]],MatchData[moat teleop crossings])+SUMIF(MatchData[team],MatchData[[#this row],[team]],MatchData[moat scored crosings])</f>
        <v>#VALUE!</v>
      </c>
      <c r="CL256" s="16" t="e">
        <f aca="false">SUMIF(MatchData[team],MatchData[[#this row],[team]],MatchData[ramparts teleop crossings])+SUMIF(MatchData[team],MatchData[[#this row],[team]],MatchData[ramparts scored crossings])</f>
        <v>#VALUE!</v>
      </c>
      <c r="CM256" s="16" t="e">
        <f aca="false">SUMIF(MatchData[team],MatchData[[#this row],[team]],MatchData[drawbridge teleop crossings])+SUMIF(MatchData[team],MatchData[[#this row],[team]],MatchData[drawbridge scored crossings])</f>
        <v>#VALUE!</v>
      </c>
      <c r="CN256" s="16" t="e">
        <f aca="false">SUMIF(MatchData[team],MatchData[[#this row],[team]],MatchData[sally port teleop crossings])+SUMIF(MatchData[team],MatchData[[#this row],[team]],MatchData[sally port scored crossings])</f>
        <v>#VALUE!</v>
      </c>
      <c r="CO256" s="16" t="e">
        <f aca="false">SUMIF(MatchData[team],MatchData[[#this row],[team]],MatchData[rock wall teleop crossings])+SUMIF(MatchData[team],MatchData[[#this row],[team]],MatchData[rock wall scored crossings])</f>
        <v>#VALUE!</v>
      </c>
      <c r="CP256" s="16" t="e">
        <f aca="false">SUMIF(MatchData[team],MatchData[[#this row],[team]],MatchData[rough terrain teleop crossings])+SUMIF(MatchData[team],MatchData[[#this row],[team]],MatchData[rough terrain scored crossings])</f>
        <v>#VALUE!</v>
      </c>
      <c r="CQ256" s="16" t="e">
        <f aca="false">SUMIF(MatchData[team],MatchData[[#this row],[team]],MatchData[low bar teleop crossings])+SUMIF(MatchData[team],MatchData[[#this row],[team]],MatchData[low bar scored crossings])</f>
        <v>#VALUE!</v>
      </c>
      <c r="CR256" s="16" t="e">
        <f aca="false">IFERROR(ROUND(MatchData[[#this row],[portcullis sum]]/MatchData[[#this row],[portcullis avail count]],2),0)</f>
        <v>#VALUE!</v>
      </c>
      <c r="CS256" s="16" t="e">
        <f aca="false">IFERROR(ROUND(MatchData[[#this row],[cheval sum]]/MatchData[[#this row],[cheval avail count]],2),0)</f>
        <v>#VALUE!</v>
      </c>
      <c r="CT256" s="16" t="e">
        <f aca="false">IFERROR(ROUND(MatchData[[#this row],[moat sum]]/MatchData[[#this row],[moat avail count]],2),0)</f>
        <v>#VALUE!</v>
      </c>
      <c r="CU256" s="16" t="e">
        <f aca="false">IFERROR(ROUND(MatchData[[#this row],[ramparts sum]]/MatchData[[#this row],[ramparts avail count]],2),0)</f>
        <v>#VALUE!</v>
      </c>
      <c r="CV256" s="16" t="e">
        <f aca="false">IFERROR(ROUND(MatchData[[#this row],[drawbridge sum]]/MatchData[[#this row],[drawbridge avail countigh6]],2),0)</f>
        <v>#VALUE!</v>
      </c>
      <c r="CW256" s="16" t="e">
        <f aca="false">IFERROR(ROUND(MatchData[[#this row],[sally port sum]]/MatchData[[#this row],[sally port avail count]],2),0)</f>
        <v>#VALUE!</v>
      </c>
      <c r="CX256" s="5" t="e">
        <f aca="false">IFERROR(ROUND(MatchData[[#this row],[rock wall sum]]/MatchData[[#this row],[rock wall avail count]],2),0)</f>
        <v>#VALUE!</v>
      </c>
      <c r="CY256" s="5" t="e">
        <f aca="false">IFERROR(ROUND(MatchData[[#this row],[rough terrain sum]]/MatchData[[#this row],[rough terrain avail count]],2),0)</f>
        <v>#VALUE!</v>
      </c>
      <c r="CZ256" s="5" t="e">
        <f aca="false">IFERROR(ROUND(MatchData[[#this row],[low bar sum]]/MatchData[[#this row],[low bar avail count]],2),0)</f>
        <v>#VALUE!</v>
      </c>
      <c r="DA256" s="16" t="e">
        <f aca="false">SUM(MatchData[[#this row],[cheval sum]:[low bar sum]])/MatchData[match count]</f>
        <v>#VALUE!</v>
      </c>
      <c r="DB256" s="16" t="n">
        <f aca="false">MAX(IF(C$2:C$74=C256,BP$2:BP$74))</f>
        <v>-1.79769313486232E+308</v>
      </c>
      <c r="DC256" s="16" t="e">
        <f aca="false">AVERAGEIF(MatchData[team],MatchData[[#this row],[team]],MatchData[total score])</f>
        <v>#VALUE!</v>
      </c>
      <c r="DD256" s="16" t="e">
        <f aca="false">ROUND(AVERAGEIF(MatchData[team],MatchData[team],MatchData[climb or challenge flag]),2)</f>
        <v>#VALUE!</v>
      </c>
    </row>
    <row r="257" customFormat="false" ht="14.5" hidden="false" customHeight="false" outlineLevel="0" collapsed="false">
      <c r="A257" s="20" t="s">
        <v>108</v>
      </c>
      <c r="B257" s="21" t="n">
        <v>43</v>
      </c>
      <c r="C257" s="15" t="n">
        <v>957</v>
      </c>
      <c r="D257" s="5" t="s">
        <v>113</v>
      </c>
      <c r="E257" s="5" t="s">
        <v>151</v>
      </c>
      <c r="G257" s="16"/>
      <c r="I257" s="16"/>
      <c r="J257" s="5" t="n">
        <v>1</v>
      </c>
      <c r="K257" s="16" t="n">
        <v>1</v>
      </c>
      <c r="N257" s="5" t="n">
        <v>1</v>
      </c>
      <c r="O257" s="5" t="n">
        <v>1</v>
      </c>
      <c r="P257" s="0"/>
      <c r="Q257" s="0"/>
      <c r="R257" s="5" t="n">
        <v>1</v>
      </c>
      <c r="S257" s="16"/>
      <c r="U257" s="16"/>
      <c r="V257" s="16"/>
      <c r="W257" s="0"/>
      <c r="AD257" s="16"/>
      <c r="AE257" s="5"/>
      <c r="AF257" s="16"/>
      <c r="AG257" s="16"/>
      <c r="AH257" s="16"/>
      <c r="AJ257" s="16"/>
      <c r="AL257" s="16" t="n">
        <v>1</v>
      </c>
      <c r="AN257" s="16"/>
      <c r="AP257" s="16"/>
      <c r="AR257" s="16"/>
      <c r="AT257" s="16"/>
      <c r="AU257" s="16"/>
      <c r="AV257" s="16"/>
      <c r="AW257" s="16"/>
      <c r="AX257" s="16"/>
      <c r="AY257" s="16"/>
      <c r="AZ257" s="16" t="n">
        <v>1</v>
      </c>
      <c r="BB257" s="16"/>
      <c r="BC257" s="16" t="e">
        <f aca="false">MatchData[cheval scored crossings]*5</f>
        <v>#VALUE!</v>
      </c>
      <c r="BD257" s="16" t="e">
        <f aca="false">MatchData[moat scored crosings]*5</f>
        <v>#VALUE!</v>
      </c>
      <c r="BE257" s="16" t="e">
        <f aca="false">MatchData[ramparts scored crossings]*5</f>
        <v>#VALUE!</v>
      </c>
      <c r="BF257" s="16" t="e">
        <f aca="false">MatchData[drawbridge scored crossings]*5</f>
        <v>#VALUE!</v>
      </c>
      <c r="BG257" s="16" t="e">
        <f aca="false">MatchData[sally port scored crossings]*5</f>
        <v>#VALUE!</v>
      </c>
      <c r="BH257" s="16" t="e">
        <f aca="false">MatchData[rock wall scored crossings]*5</f>
        <v>#VALUE!</v>
      </c>
      <c r="BI257" s="16" t="e">
        <f aca="false">MatchData[rough terrain scored crossings]*5</f>
        <v>#VALUE!</v>
      </c>
      <c r="BJ257" s="16" t="e">
        <f aca="false">MatchData[low bar scored crossings]*5</f>
        <v>#VALUE!</v>
      </c>
      <c r="BK257" s="16" t="e">
        <f aca="false">SUM(MatchData[[#this row],[low bar teleop crossings]:[rough terrain scored crossings]])</f>
        <v>#VALUE!</v>
      </c>
      <c r="BL257" s="16" t="e">
        <f aca="false">IFERROR(IF(OR(MatchData[[#this row],[challenge flag]],MatchData[[#this row],[climb flag]]),1,0),0)</f>
        <v>#VALUE!</v>
      </c>
      <c r="BM257" s="16" t="e">
        <f aca="false">MatchData[auto high goals]*10+MatchData[teleop high goals]*5</f>
        <v>#VALUE!</v>
      </c>
      <c r="BN257" s="16" t="e">
        <f aca="false">MatchData[auto low goals]*5+MatchData[teleop low goals]*2</f>
        <v>#VALUE!</v>
      </c>
      <c r="BO257" s="16" t="e">
        <f aca="false">MatchData[high goal score]+MatchData[low goal score]</f>
        <v>#VALUE!</v>
      </c>
      <c r="BP257" s="16" t="e">
        <f aca="false">MatchData[teleop high goals]+MatchData[teleop low goals]</f>
        <v>#VALUE!</v>
      </c>
      <c r="BQ257" s="16" t="e">
        <f aca="false">MatchData[[#this row],[auto reach flag]]*2+SUM(MatchData[[#this row],[portcullis auto crossings]:[low bar auto crossings]])*10+MatchData[[#this row],[auto low goals]]*5+MatchData[auto high goals]*10</f>
        <v>#VALUE!</v>
      </c>
      <c r="BR257" s="16" t="e">
        <f aca="false">SUM(MatchData[[#this row],[cheval teleop crossing score]:[low bar teleop crossing score]])</f>
        <v>#VALUE!</v>
      </c>
      <c r="BS257" s="16" t="e">
        <f aca="false">SUMIF(MatchData[team],MatchData[[#this row],[team]],MatchData[total auto score])/MatchData[match count]</f>
        <v>#VALUE!</v>
      </c>
      <c r="BT257" s="16" t="e">
        <f aca="false">MatchData[challenge flag]*5</f>
        <v>#VALUE!</v>
      </c>
      <c r="BU257" s="16" t="e">
        <f aca="false">MatchData[climb flag]*15</f>
        <v>#VALUE!</v>
      </c>
      <c r="BV257" s="16" t="e">
        <f aca="false">SUM(MatchData[[#this row],[total goal score]],MatchData[[#this row],[crossing score]],MatchData[[#this row],[challenge score]],MatchData[[#this row],[climb score]],MatchData[[#this row],[total auto score]])</f>
        <v>#VALUE!</v>
      </c>
      <c r="BW257" s="16" t="e">
        <f aca="false">ROUND(SUMIF(MatchData[team],MatchData[[#this row],[team]],MatchData[teleop low goals])/COUNTIF(MatchData[team],MatchData[[#this row],[team]]),2)</f>
        <v>#VALUE!</v>
      </c>
      <c r="BX257" s="16" t="e">
        <f aca="false">ROUND(SUMIF(MatchData[team],MatchData[[#this row],[team]],MatchData[teleop high goals])/COUNTIF(MatchData[team],MatchData[[#this row],[team]]),2)</f>
        <v>#VALUE!</v>
      </c>
      <c r="BY257" s="16" t="e">
        <f aca="false">COUNTIF(MatchData[team],MatchData[[#this row],[team]])</f>
        <v>#VALUE!</v>
      </c>
      <c r="BZ257" s="16" t="e">
        <f aca="false">SUMIF(MatchData[team],MatchData[[#this row],[team]],MatchData[portcullis available])</f>
        <v>#VALUE!</v>
      </c>
      <c r="CA257" s="16" t="e">
        <f aca="false">SUMIF(MatchData[team],MatchData[[#this row],[team]],MatchData[cheval available])</f>
        <v>#VALUE!</v>
      </c>
      <c r="CB257" s="16" t="e">
        <f aca="false">SUMIF(MatchData[team],MatchData[[#this row],[team]],MatchData[moat available])</f>
        <v>#VALUE!</v>
      </c>
      <c r="CC257" s="16" t="e">
        <f aca="false">SUMIF(MatchData[team],MatchData[[#this row],[team]],MatchData[ramparts available])</f>
        <v>#VALUE!</v>
      </c>
      <c r="CD257" s="16" t="e">
        <f aca="false">SUMIF(MatchData[team],MatchData[[#this row],[team]],MatchData[drawbridge available])</f>
        <v>#VALUE!</v>
      </c>
      <c r="CE257" s="16" t="e">
        <f aca="false">SUMIF(MatchData[team],MatchData[[#this row],[team]],MatchData[sally port available])</f>
        <v>#VALUE!</v>
      </c>
      <c r="CF257" s="16" t="e">
        <f aca="false">SUMIF(MatchData[team],MatchData[[#this row],[team]],MatchData[rock wall available])</f>
        <v>#VALUE!</v>
      </c>
      <c r="CG257" s="16" t="e">
        <f aca="false">SUMIF(MatchData[team],MatchData[[#this row],[team]],MatchData[rough terrain available])</f>
        <v>#VALUE!</v>
      </c>
      <c r="CH257" s="16" t="e">
        <f aca="false">SUMIF(MatchData[team],MatchData[[#this row],[team]],MatchData[low bar available])</f>
        <v>#VALUE!</v>
      </c>
      <c r="CI257" s="16" t="e">
        <f aca="false">SUMIF(MatchData[team],MatchData[[#this row],[team]],MatchData[portcullis teleop crossings]:MatchData[portcullis scored crossings])</f>
        <v>#VALUE!</v>
      </c>
      <c r="CJ257" s="16" t="e">
        <f aca="false">SUMIF(MatchData[team],MatchData[[#this row],[team]],MatchData[cheval teleop crossings])+SUMIF(MatchData[team],MatchData[[#this row],[team]],MatchData[cheval scored crossings])</f>
        <v>#VALUE!</v>
      </c>
      <c r="CK257" s="16" t="e">
        <f aca="false">SUMIF(MatchData[team],MatchData[[#this row],[team]],MatchData[moat teleop crossings])+SUMIF(MatchData[team],MatchData[[#this row],[team]],MatchData[moat scored crosings])</f>
        <v>#VALUE!</v>
      </c>
      <c r="CL257" s="16" t="e">
        <f aca="false">SUMIF(MatchData[team],MatchData[[#this row],[team]],MatchData[ramparts teleop crossings])+SUMIF(MatchData[team],MatchData[[#this row],[team]],MatchData[ramparts scored crossings])</f>
        <v>#VALUE!</v>
      </c>
      <c r="CM257" s="16" t="e">
        <f aca="false">SUMIF(MatchData[team],MatchData[[#this row],[team]],MatchData[drawbridge teleop crossings])+SUMIF(MatchData[team],MatchData[[#this row],[team]],MatchData[drawbridge scored crossings])</f>
        <v>#VALUE!</v>
      </c>
      <c r="CN257" s="16" t="e">
        <f aca="false">SUMIF(MatchData[team],MatchData[[#this row],[team]],MatchData[sally port teleop crossings])+SUMIF(MatchData[team],MatchData[[#this row],[team]],MatchData[sally port scored crossings])</f>
        <v>#VALUE!</v>
      </c>
      <c r="CO257" s="16" t="e">
        <f aca="false">SUMIF(MatchData[team],MatchData[[#this row],[team]],MatchData[rock wall teleop crossings])+SUMIF(MatchData[team],MatchData[[#this row],[team]],MatchData[rock wall scored crossings])</f>
        <v>#VALUE!</v>
      </c>
      <c r="CP257" s="16" t="e">
        <f aca="false">SUMIF(MatchData[team],MatchData[[#this row],[team]],MatchData[rough terrain teleop crossings])+SUMIF(MatchData[team],MatchData[[#this row],[team]],MatchData[rough terrain scored crossings])</f>
        <v>#VALUE!</v>
      </c>
      <c r="CQ257" s="16" t="e">
        <f aca="false">SUMIF(MatchData[team],MatchData[[#this row],[team]],MatchData[low bar teleop crossings])+SUMIF(MatchData[team],MatchData[[#this row],[team]],MatchData[low bar scored crossings])</f>
        <v>#VALUE!</v>
      </c>
      <c r="CR257" s="16" t="e">
        <f aca="false">IFERROR(ROUND(MatchData[[#this row],[portcullis sum]]/MatchData[[#this row],[portcullis avail count]],2),0)</f>
        <v>#VALUE!</v>
      </c>
      <c r="CS257" s="16" t="e">
        <f aca="false">IFERROR(ROUND(MatchData[[#this row],[cheval sum]]/MatchData[[#this row],[cheval avail count]],2),0)</f>
        <v>#VALUE!</v>
      </c>
      <c r="CT257" s="16" t="e">
        <f aca="false">IFERROR(ROUND(MatchData[[#this row],[moat sum]]/MatchData[[#this row],[moat avail count]],2),0)</f>
        <v>#VALUE!</v>
      </c>
      <c r="CU257" s="16" t="e">
        <f aca="false">IFERROR(ROUND(MatchData[[#this row],[ramparts sum]]/MatchData[[#this row],[ramparts avail count]],2),0)</f>
        <v>#VALUE!</v>
      </c>
      <c r="CV257" s="16" t="e">
        <f aca="false">IFERROR(ROUND(MatchData[[#this row],[drawbridge sum]]/MatchData[[#this row],[drawbridge avail countigh6]],2),0)</f>
        <v>#VALUE!</v>
      </c>
      <c r="CW257" s="16" t="e">
        <f aca="false">IFERROR(ROUND(MatchData[[#this row],[sally port sum]]/MatchData[[#this row],[sally port avail count]],2),0)</f>
        <v>#VALUE!</v>
      </c>
      <c r="CX257" s="5" t="e">
        <f aca="false">IFERROR(ROUND(MatchData[[#this row],[rock wall sum]]/MatchData[[#this row],[rock wall avail count]],2),0)</f>
        <v>#VALUE!</v>
      </c>
      <c r="CY257" s="5" t="e">
        <f aca="false">IFERROR(ROUND(MatchData[[#this row],[rough terrain sum]]/MatchData[[#this row],[rough terrain avail count]],2),0)</f>
        <v>#VALUE!</v>
      </c>
      <c r="CZ257" s="5" t="e">
        <f aca="false">IFERROR(ROUND(MatchData[[#this row],[low bar sum]]/MatchData[[#this row],[low bar avail count]],2),0)</f>
        <v>#VALUE!</v>
      </c>
      <c r="DA257" s="16" t="e">
        <f aca="false">SUM(MatchData[[#this row],[cheval sum]:[low bar sum]])/MatchData[match count]</f>
        <v>#VALUE!</v>
      </c>
      <c r="DB257" s="16" t="n">
        <f aca="false">MAX(IF(C$2:C$74=C257,BP$2:BP$74))</f>
        <v>-1.79769313486232E+308</v>
      </c>
      <c r="DC257" s="16" t="e">
        <f aca="false">AVERAGEIF(MatchData[team],MatchData[[#this row],[team]],MatchData[total score])</f>
        <v>#VALUE!</v>
      </c>
      <c r="DD257" s="16" t="e">
        <f aca="false">ROUND(AVERAGEIF(MatchData[team],MatchData[team],MatchData[climb or challenge flag]),2)</f>
        <v>#VALUE!</v>
      </c>
    </row>
    <row r="258" customFormat="false" ht="14.5" hidden="false" customHeight="false" outlineLevel="0" collapsed="false">
      <c r="A258" s="20" t="s">
        <v>108</v>
      </c>
      <c r="B258" s="21" t="n">
        <v>43</v>
      </c>
      <c r="C258" s="15" t="n">
        <v>1540</v>
      </c>
      <c r="D258" s="5" t="s">
        <v>113</v>
      </c>
      <c r="E258" s="5" t="s">
        <v>124</v>
      </c>
      <c r="G258" s="16" t="n">
        <v>4</v>
      </c>
      <c r="I258" s="16"/>
      <c r="J258" s="5" t="n">
        <v>1</v>
      </c>
      <c r="K258" s="16" t="n">
        <v>1</v>
      </c>
      <c r="N258" s="5" t="n">
        <v>1</v>
      </c>
      <c r="O258" s="5" t="n">
        <v>1</v>
      </c>
      <c r="P258" s="0"/>
      <c r="Q258" s="0"/>
      <c r="R258" s="5" t="n">
        <v>1</v>
      </c>
      <c r="S258" s="16"/>
      <c r="U258" s="16"/>
      <c r="V258" s="16"/>
      <c r="W258" s="0"/>
      <c r="AA258" s="5" t="n">
        <v>1</v>
      </c>
      <c r="AD258" s="16"/>
      <c r="AE258" s="5" t="n">
        <v>1</v>
      </c>
      <c r="AF258" s="16" t="n">
        <v>2</v>
      </c>
      <c r="AG258" s="16"/>
      <c r="AH258" s="16"/>
      <c r="AJ258" s="16"/>
      <c r="AL258" s="16"/>
      <c r="AN258" s="16"/>
      <c r="AP258" s="16"/>
      <c r="AR258" s="16"/>
      <c r="AT258" s="16" t="n">
        <v>1</v>
      </c>
      <c r="AU258" s="16"/>
      <c r="AV258" s="16"/>
      <c r="AW258" s="16" t="n">
        <v>1</v>
      </c>
      <c r="AX258" s="16"/>
      <c r="AY258" s="16"/>
      <c r="AZ258" s="16"/>
      <c r="BB258" s="16" t="n">
        <v>1</v>
      </c>
      <c r="BC258" s="16" t="e">
        <f aca="false">MatchData[cheval scored crossings]*5</f>
        <v>#VALUE!</v>
      </c>
      <c r="BD258" s="16" t="e">
        <f aca="false">MatchData[moat scored crosings]*5</f>
        <v>#VALUE!</v>
      </c>
      <c r="BE258" s="16" t="e">
        <f aca="false">MatchData[ramparts scored crossings]*5</f>
        <v>#VALUE!</v>
      </c>
      <c r="BF258" s="16" t="e">
        <f aca="false">MatchData[drawbridge scored crossings]*5</f>
        <v>#VALUE!</v>
      </c>
      <c r="BG258" s="16" t="e">
        <f aca="false">MatchData[sally port scored crossings]*5</f>
        <v>#VALUE!</v>
      </c>
      <c r="BH258" s="16" t="e">
        <f aca="false">MatchData[rock wall scored crossings]*5</f>
        <v>#VALUE!</v>
      </c>
      <c r="BI258" s="16" t="e">
        <f aca="false">MatchData[rough terrain scored crossings]*5</f>
        <v>#VALUE!</v>
      </c>
      <c r="BJ258" s="16" t="e">
        <f aca="false">MatchData[low bar scored crossings]*5</f>
        <v>#VALUE!</v>
      </c>
      <c r="BK258" s="16" t="e">
        <f aca="false">SUM(MatchData[[#this row],[low bar teleop crossings]:[rough terrain scored crossings]])</f>
        <v>#VALUE!</v>
      </c>
      <c r="BL258" s="16" t="e">
        <f aca="false">IFERROR(IF(OR(MatchData[[#this row],[challenge flag]],MatchData[[#this row],[climb flag]]),1,0),0)</f>
        <v>#VALUE!</v>
      </c>
      <c r="BM258" s="16" t="e">
        <f aca="false">MatchData[auto high goals]*10+MatchData[teleop high goals]*5</f>
        <v>#VALUE!</v>
      </c>
      <c r="BN258" s="16" t="e">
        <f aca="false">MatchData[auto low goals]*5+MatchData[teleop low goals]*2</f>
        <v>#VALUE!</v>
      </c>
      <c r="BO258" s="16" t="e">
        <f aca="false">MatchData[high goal score]+MatchData[low goal score]</f>
        <v>#VALUE!</v>
      </c>
      <c r="BP258" s="16" t="e">
        <f aca="false">MatchData[teleop high goals]+MatchData[teleop low goals]</f>
        <v>#VALUE!</v>
      </c>
      <c r="BQ258" s="16" t="e">
        <f aca="false">MatchData[[#this row],[auto reach flag]]*2+SUM(MatchData[[#this row],[portcullis auto crossings]:[low bar auto crossings]])*10+MatchData[[#this row],[auto low goals]]*5+MatchData[auto high goals]*10</f>
        <v>#VALUE!</v>
      </c>
      <c r="BR258" s="16" t="e">
        <f aca="false">SUM(MatchData[[#this row],[cheval teleop crossing score]:[low bar teleop crossing score]])</f>
        <v>#VALUE!</v>
      </c>
      <c r="BS258" s="16" t="e">
        <f aca="false">SUMIF(MatchData[team],MatchData[[#this row],[team]],MatchData[total auto score])/MatchData[match count]</f>
        <v>#VALUE!</v>
      </c>
      <c r="BT258" s="16" t="e">
        <f aca="false">MatchData[challenge flag]*5</f>
        <v>#VALUE!</v>
      </c>
      <c r="BU258" s="16" t="e">
        <f aca="false">MatchData[climb flag]*15</f>
        <v>#VALUE!</v>
      </c>
      <c r="BV258" s="16" t="e">
        <f aca="false">SUM(MatchData[[#this row],[total goal score]],MatchData[[#this row],[crossing score]],MatchData[[#this row],[challenge score]],MatchData[[#this row],[climb score]],MatchData[[#this row],[total auto score]])</f>
        <v>#VALUE!</v>
      </c>
      <c r="BW258" s="16" t="e">
        <f aca="false">ROUND(SUMIF(MatchData[team],MatchData[[#this row],[team]],MatchData[teleop low goals])/COUNTIF(MatchData[team],MatchData[[#this row],[team]]),2)</f>
        <v>#VALUE!</v>
      </c>
      <c r="BX258" s="16" t="e">
        <f aca="false">ROUND(SUMIF(MatchData[team],MatchData[[#this row],[team]],MatchData[teleop high goals])/COUNTIF(MatchData[team],MatchData[[#this row],[team]]),2)</f>
        <v>#VALUE!</v>
      </c>
      <c r="BY258" s="16" t="e">
        <f aca="false">COUNTIF(MatchData[team],MatchData[[#this row],[team]])</f>
        <v>#VALUE!</v>
      </c>
      <c r="BZ258" s="16" t="e">
        <f aca="false">SUMIF(MatchData[team],MatchData[[#this row],[team]],MatchData[portcullis available])</f>
        <v>#VALUE!</v>
      </c>
      <c r="CA258" s="16" t="e">
        <f aca="false">SUMIF(MatchData[team],MatchData[[#this row],[team]],MatchData[cheval available])</f>
        <v>#VALUE!</v>
      </c>
      <c r="CB258" s="16" t="e">
        <f aca="false">SUMIF(MatchData[team],MatchData[[#this row],[team]],MatchData[moat available])</f>
        <v>#VALUE!</v>
      </c>
      <c r="CC258" s="16" t="e">
        <f aca="false">SUMIF(MatchData[team],MatchData[[#this row],[team]],MatchData[ramparts available])</f>
        <v>#VALUE!</v>
      </c>
      <c r="CD258" s="16" t="e">
        <f aca="false">SUMIF(MatchData[team],MatchData[[#this row],[team]],MatchData[drawbridge available])</f>
        <v>#VALUE!</v>
      </c>
      <c r="CE258" s="16" t="e">
        <f aca="false">SUMIF(MatchData[team],MatchData[[#this row],[team]],MatchData[sally port available])</f>
        <v>#VALUE!</v>
      </c>
      <c r="CF258" s="16" t="e">
        <f aca="false">SUMIF(MatchData[team],MatchData[[#this row],[team]],MatchData[rock wall available])</f>
        <v>#VALUE!</v>
      </c>
      <c r="CG258" s="16" t="e">
        <f aca="false">SUMIF(MatchData[team],MatchData[[#this row],[team]],MatchData[rough terrain available])</f>
        <v>#VALUE!</v>
      </c>
      <c r="CH258" s="16" t="e">
        <f aca="false">SUMIF(MatchData[team],MatchData[[#this row],[team]],MatchData[low bar available])</f>
        <v>#VALUE!</v>
      </c>
      <c r="CI258" s="16" t="e">
        <f aca="false">SUMIF(MatchData[team],MatchData[[#this row],[team]],MatchData[portcullis teleop crossings]:MatchData[portcullis scored crossings])</f>
        <v>#VALUE!</v>
      </c>
      <c r="CJ258" s="16" t="e">
        <f aca="false">SUMIF(MatchData[team],MatchData[[#this row],[team]],MatchData[cheval teleop crossings])+SUMIF(MatchData[team],MatchData[[#this row],[team]],MatchData[cheval scored crossings])</f>
        <v>#VALUE!</v>
      </c>
      <c r="CK258" s="16" t="e">
        <f aca="false">SUMIF(MatchData[team],MatchData[[#this row],[team]],MatchData[moat teleop crossings])+SUMIF(MatchData[team],MatchData[[#this row],[team]],MatchData[moat scored crosings])</f>
        <v>#VALUE!</v>
      </c>
      <c r="CL258" s="16" t="e">
        <f aca="false">SUMIF(MatchData[team],MatchData[[#this row],[team]],MatchData[ramparts teleop crossings])+SUMIF(MatchData[team],MatchData[[#this row],[team]],MatchData[ramparts scored crossings])</f>
        <v>#VALUE!</v>
      </c>
      <c r="CM258" s="16" t="e">
        <f aca="false">SUMIF(MatchData[team],MatchData[[#this row],[team]],MatchData[drawbridge teleop crossings])+SUMIF(MatchData[team],MatchData[[#this row],[team]],MatchData[drawbridge scored crossings])</f>
        <v>#VALUE!</v>
      </c>
      <c r="CN258" s="16" t="e">
        <f aca="false">SUMIF(MatchData[team],MatchData[[#this row],[team]],MatchData[sally port teleop crossings])+SUMIF(MatchData[team],MatchData[[#this row],[team]],MatchData[sally port scored crossings])</f>
        <v>#VALUE!</v>
      </c>
      <c r="CO258" s="16" t="e">
        <f aca="false">SUMIF(MatchData[team],MatchData[[#this row],[team]],MatchData[rock wall teleop crossings])+SUMIF(MatchData[team],MatchData[[#this row],[team]],MatchData[rock wall scored crossings])</f>
        <v>#VALUE!</v>
      </c>
      <c r="CP258" s="16" t="e">
        <f aca="false">SUMIF(MatchData[team],MatchData[[#this row],[team]],MatchData[rough terrain teleop crossings])+SUMIF(MatchData[team],MatchData[[#this row],[team]],MatchData[rough terrain scored crossings])</f>
        <v>#VALUE!</v>
      </c>
      <c r="CQ258" s="16" t="e">
        <f aca="false">SUMIF(MatchData[team],MatchData[[#this row],[team]],MatchData[low bar teleop crossings])+SUMIF(MatchData[team],MatchData[[#this row],[team]],MatchData[low bar scored crossings])</f>
        <v>#VALUE!</v>
      </c>
      <c r="CR258" s="16" t="e">
        <f aca="false">IFERROR(ROUND(MatchData[[#this row],[portcullis sum]]/MatchData[[#this row],[portcullis avail count]],2),0)</f>
        <v>#VALUE!</v>
      </c>
      <c r="CS258" s="16" t="e">
        <f aca="false">IFERROR(ROUND(MatchData[[#this row],[cheval sum]]/MatchData[[#this row],[cheval avail count]],2),0)</f>
        <v>#VALUE!</v>
      </c>
      <c r="CT258" s="16" t="e">
        <f aca="false">IFERROR(ROUND(MatchData[[#this row],[moat sum]]/MatchData[[#this row],[moat avail count]],2),0)</f>
        <v>#VALUE!</v>
      </c>
      <c r="CU258" s="16" t="e">
        <f aca="false">IFERROR(ROUND(MatchData[[#this row],[ramparts sum]]/MatchData[[#this row],[ramparts avail count]],2),0)</f>
        <v>#VALUE!</v>
      </c>
      <c r="CV258" s="16" t="e">
        <f aca="false">IFERROR(ROUND(MatchData[[#this row],[drawbridge sum]]/MatchData[[#this row],[drawbridge avail countigh6]],2),0)</f>
        <v>#VALUE!</v>
      </c>
      <c r="CW258" s="16" t="e">
        <f aca="false">IFERROR(ROUND(MatchData[[#this row],[sally port sum]]/MatchData[[#this row],[sally port avail count]],2),0)</f>
        <v>#VALUE!</v>
      </c>
      <c r="CX258" s="5" t="e">
        <f aca="false">IFERROR(ROUND(MatchData[[#this row],[rock wall sum]]/MatchData[[#this row],[rock wall avail count]],2),0)</f>
        <v>#VALUE!</v>
      </c>
      <c r="CY258" s="5" t="e">
        <f aca="false">IFERROR(ROUND(MatchData[[#this row],[rough terrain sum]]/MatchData[[#this row],[rough terrain avail count]],2),0)</f>
        <v>#VALUE!</v>
      </c>
      <c r="CZ258" s="5" t="e">
        <f aca="false">IFERROR(ROUND(MatchData[[#this row],[low bar sum]]/MatchData[[#this row],[low bar avail count]],2),0)</f>
        <v>#VALUE!</v>
      </c>
      <c r="DA258" s="16" t="e">
        <f aca="false">SUM(MatchData[[#this row],[cheval sum]:[low bar sum]])/MatchData[match count]</f>
        <v>#VALUE!</v>
      </c>
      <c r="DB258" s="16" t="n">
        <f aca="false">MAX(IF(C$2:C$74=C258,BP$2:BP$74))</f>
        <v>-1.79769313486232E+308</v>
      </c>
      <c r="DC258" s="16" t="e">
        <f aca="false">AVERAGEIF(MatchData[team],MatchData[[#this row],[team]],MatchData[total score])</f>
        <v>#VALUE!</v>
      </c>
      <c r="DD258" s="16" t="e">
        <f aca="false">ROUND(AVERAGEIF(MatchData[team],MatchData[team],MatchData[climb or challenge flag]),2)</f>
        <v>#VALUE!</v>
      </c>
    </row>
    <row r="259" customFormat="false" ht="14.5" hidden="false" customHeight="false" outlineLevel="0" collapsed="false">
      <c r="A259" s="20" t="s">
        <v>108</v>
      </c>
      <c r="B259" s="23" t="n">
        <v>43</v>
      </c>
      <c r="C259" s="15" t="n">
        <v>5977</v>
      </c>
      <c r="D259" s="5" t="s">
        <v>113</v>
      </c>
      <c r="E259" s="5" t="s">
        <v>152</v>
      </c>
      <c r="G259" s="16"/>
      <c r="I259" s="16"/>
      <c r="J259" s="5" t="n">
        <v>1</v>
      </c>
      <c r="K259" s="16" t="n">
        <v>1</v>
      </c>
      <c r="N259" s="5" t="n">
        <v>1</v>
      </c>
      <c r="O259" s="5" t="n">
        <v>1</v>
      </c>
      <c r="P259" s="0"/>
      <c r="Q259" s="0"/>
      <c r="R259" s="5" t="n">
        <v>1</v>
      </c>
      <c r="S259" s="16"/>
      <c r="U259" s="16"/>
      <c r="V259" s="16"/>
      <c r="W259" s="0"/>
      <c r="AD259" s="16"/>
      <c r="AE259" s="5"/>
      <c r="AF259" s="16"/>
      <c r="AG259" s="16"/>
      <c r="AH259" s="16"/>
      <c r="AJ259" s="16"/>
      <c r="AL259" s="16"/>
      <c r="AN259" s="16"/>
      <c r="AP259" s="16"/>
      <c r="AR259" s="16"/>
      <c r="AT259" s="16" t="n">
        <v>2</v>
      </c>
      <c r="AU259" s="16"/>
      <c r="AV259" s="16"/>
      <c r="AW259" s="16"/>
      <c r="AX259" s="16"/>
      <c r="AY259" s="16"/>
      <c r="AZ259" s="16" t="n">
        <v>1</v>
      </c>
      <c r="BB259" s="16"/>
      <c r="BC259" s="16" t="e">
        <f aca="false">MatchData[cheval scored crossings]*5</f>
        <v>#VALUE!</v>
      </c>
      <c r="BD259" s="16" t="e">
        <f aca="false">MatchData[moat scored crosings]*5</f>
        <v>#VALUE!</v>
      </c>
      <c r="BE259" s="16" t="e">
        <f aca="false">MatchData[ramparts scored crossings]*5</f>
        <v>#VALUE!</v>
      </c>
      <c r="BF259" s="16" t="e">
        <f aca="false">MatchData[drawbridge scored crossings]*5</f>
        <v>#VALUE!</v>
      </c>
      <c r="BG259" s="16" t="e">
        <f aca="false">MatchData[sally port scored crossings]*5</f>
        <v>#VALUE!</v>
      </c>
      <c r="BH259" s="16" t="e">
        <f aca="false">MatchData[rock wall scored crossings]*5</f>
        <v>#VALUE!</v>
      </c>
      <c r="BI259" s="16" t="e">
        <f aca="false">MatchData[rough terrain scored crossings]*5</f>
        <v>#VALUE!</v>
      </c>
      <c r="BJ259" s="16" t="e">
        <f aca="false">MatchData[low bar scored crossings]*5</f>
        <v>#VALUE!</v>
      </c>
      <c r="BK259" s="16" t="e">
        <f aca="false">SUM(MatchData[[#this row],[low bar teleop crossings]:[rough terrain scored crossings]])</f>
        <v>#VALUE!</v>
      </c>
      <c r="BL259" s="16" t="e">
        <f aca="false">IFERROR(IF(OR(MatchData[[#this row],[challenge flag]],MatchData[[#this row],[climb flag]]),1,0),0)</f>
        <v>#VALUE!</v>
      </c>
      <c r="BM259" s="16" t="e">
        <f aca="false">MatchData[auto high goals]*10+MatchData[teleop high goals]*5</f>
        <v>#VALUE!</v>
      </c>
      <c r="BN259" s="16" t="e">
        <f aca="false">MatchData[auto low goals]*5+MatchData[teleop low goals]*2</f>
        <v>#VALUE!</v>
      </c>
      <c r="BO259" s="16" t="e">
        <f aca="false">MatchData[high goal score]+MatchData[low goal score]</f>
        <v>#VALUE!</v>
      </c>
      <c r="BP259" s="16" t="e">
        <f aca="false">MatchData[teleop high goals]+MatchData[teleop low goals]</f>
        <v>#VALUE!</v>
      </c>
      <c r="BQ259" s="16" t="e">
        <f aca="false">MatchData[[#this row],[auto reach flag]]*2+SUM(MatchData[[#this row],[portcullis auto crossings]:[low bar auto crossings]])*10+MatchData[[#this row],[auto low goals]]*5+MatchData[auto high goals]*10</f>
        <v>#VALUE!</v>
      </c>
      <c r="BR259" s="16" t="e">
        <f aca="false">SUM(MatchData[[#this row],[cheval teleop crossing score]:[low bar teleop crossing score]])</f>
        <v>#VALUE!</v>
      </c>
      <c r="BS259" s="16" t="e">
        <f aca="false">SUMIF(MatchData[team],MatchData[[#this row],[team]],MatchData[total auto score])/MatchData[match count]</f>
        <v>#VALUE!</v>
      </c>
      <c r="BT259" s="16" t="e">
        <f aca="false">MatchData[challenge flag]*5</f>
        <v>#VALUE!</v>
      </c>
      <c r="BU259" s="16" t="e">
        <f aca="false">MatchData[climb flag]*15</f>
        <v>#VALUE!</v>
      </c>
      <c r="BV259" s="16" t="e">
        <f aca="false">SUM(MatchData[[#this row],[total goal score]],MatchData[[#this row],[crossing score]],MatchData[[#this row],[challenge score]],MatchData[[#this row],[climb score]],MatchData[[#this row],[total auto score]])</f>
        <v>#VALUE!</v>
      </c>
      <c r="BW259" s="16" t="e">
        <f aca="false">ROUND(SUMIF(MatchData[team],MatchData[[#this row],[team]],MatchData[teleop low goals])/COUNTIF(MatchData[team],MatchData[[#this row],[team]]),2)</f>
        <v>#VALUE!</v>
      </c>
      <c r="BX259" s="16" t="e">
        <f aca="false">ROUND(SUMIF(MatchData[team],MatchData[[#this row],[team]],MatchData[teleop high goals])/COUNTIF(MatchData[team],MatchData[[#this row],[team]]),2)</f>
        <v>#VALUE!</v>
      </c>
      <c r="BY259" s="16" t="e">
        <f aca="false">COUNTIF(MatchData[team],MatchData[[#this row],[team]])</f>
        <v>#VALUE!</v>
      </c>
      <c r="BZ259" s="16" t="e">
        <f aca="false">SUMIF(MatchData[team],MatchData[[#this row],[team]],MatchData[portcullis available])</f>
        <v>#VALUE!</v>
      </c>
      <c r="CA259" s="16" t="e">
        <f aca="false">SUMIF(MatchData[team],MatchData[[#this row],[team]],MatchData[cheval available])</f>
        <v>#VALUE!</v>
      </c>
      <c r="CB259" s="16" t="e">
        <f aca="false">SUMIF(MatchData[team],MatchData[[#this row],[team]],MatchData[moat available])</f>
        <v>#VALUE!</v>
      </c>
      <c r="CC259" s="16" t="e">
        <f aca="false">SUMIF(MatchData[team],MatchData[[#this row],[team]],MatchData[ramparts available])</f>
        <v>#VALUE!</v>
      </c>
      <c r="CD259" s="16" t="e">
        <f aca="false">SUMIF(MatchData[team],MatchData[[#this row],[team]],MatchData[drawbridge available])</f>
        <v>#VALUE!</v>
      </c>
      <c r="CE259" s="16" t="e">
        <f aca="false">SUMIF(MatchData[team],MatchData[[#this row],[team]],MatchData[sally port available])</f>
        <v>#VALUE!</v>
      </c>
      <c r="CF259" s="16" t="e">
        <f aca="false">SUMIF(MatchData[team],MatchData[[#this row],[team]],MatchData[rock wall available])</f>
        <v>#VALUE!</v>
      </c>
      <c r="CG259" s="16" t="e">
        <f aca="false">SUMIF(MatchData[team],MatchData[[#this row],[team]],MatchData[rough terrain available])</f>
        <v>#VALUE!</v>
      </c>
      <c r="CH259" s="16" t="e">
        <f aca="false">SUMIF(MatchData[team],MatchData[[#this row],[team]],MatchData[low bar available])</f>
        <v>#VALUE!</v>
      </c>
      <c r="CI259" s="16" t="e">
        <f aca="false">SUMIF(MatchData[team],MatchData[[#this row],[team]],MatchData[portcullis teleop crossings]:MatchData[portcullis scored crossings])</f>
        <v>#VALUE!</v>
      </c>
      <c r="CJ259" s="16" t="e">
        <f aca="false">SUMIF(MatchData[team],MatchData[[#this row],[team]],MatchData[cheval teleop crossings])+SUMIF(MatchData[team],MatchData[[#this row],[team]],MatchData[cheval scored crossings])</f>
        <v>#VALUE!</v>
      </c>
      <c r="CK259" s="16" t="e">
        <f aca="false">SUMIF(MatchData[team],MatchData[[#this row],[team]],MatchData[moat teleop crossings])+SUMIF(MatchData[team],MatchData[[#this row],[team]],MatchData[moat scored crosings])</f>
        <v>#VALUE!</v>
      </c>
      <c r="CL259" s="16" t="e">
        <f aca="false">SUMIF(MatchData[team],MatchData[[#this row],[team]],MatchData[ramparts teleop crossings])+SUMIF(MatchData[team],MatchData[[#this row],[team]],MatchData[ramparts scored crossings])</f>
        <v>#VALUE!</v>
      </c>
      <c r="CM259" s="16" t="e">
        <f aca="false">SUMIF(MatchData[team],MatchData[[#this row],[team]],MatchData[drawbridge teleop crossings])+SUMIF(MatchData[team],MatchData[[#this row],[team]],MatchData[drawbridge scored crossings])</f>
        <v>#VALUE!</v>
      </c>
      <c r="CN259" s="16" t="e">
        <f aca="false">SUMIF(MatchData[team],MatchData[[#this row],[team]],MatchData[sally port teleop crossings])+SUMIF(MatchData[team],MatchData[[#this row],[team]],MatchData[sally port scored crossings])</f>
        <v>#VALUE!</v>
      </c>
      <c r="CO259" s="16" t="e">
        <f aca="false">SUMIF(MatchData[team],MatchData[[#this row],[team]],MatchData[rock wall teleop crossings])+SUMIF(MatchData[team],MatchData[[#this row],[team]],MatchData[rock wall scored crossings])</f>
        <v>#VALUE!</v>
      </c>
      <c r="CP259" s="16" t="e">
        <f aca="false">SUMIF(MatchData[team],MatchData[[#this row],[team]],MatchData[rough terrain teleop crossings])+SUMIF(MatchData[team],MatchData[[#this row],[team]],MatchData[rough terrain scored crossings])</f>
        <v>#VALUE!</v>
      </c>
      <c r="CQ259" s="16" t="e">
        <f aca="false">SUMIF(MatchData[team],MatchData[[#this row],[team]],MatchData[low bar teleop crossings])+SUMIF(MatchData[team],MatchData[[#this row],[team]],MatchData[low bar scored crossings])</f>
        <v>#VALUE!</v>
      </c>
      <c r="CR259" s="16" t="e">
        <f aca="false">IFERROR(ROUND(MatchData[[#this row],[portcullis sum]]/MatchData[[#this row],[portcullis avail count]],2),0)</f>
        <v>#VALUE!</v>
      </c>
      <c r="CS259" s="16" t="e">
        <f aca="false">IFERROR(ROUND(MatchData[[#this row],[cheval sum]]/MatchData[[#this row],[cheval avail count]],2),0)</f>
        <v>#VALUE!</v>
      </c>
      <c r="CT259" s="16" t="e">
        <f aca="false">IFERROR(ROUND(MatchData[[#this row],[moat sum]]/MatchData[[#this row],[moat avail count]],2),0)</f>
        <v>#VALUE!</v>
      </c>
      <c r="CU259" s="16" t="e">
        <f aca="false">IFERROR(ROUND(MatchData[[#this row],[ramparts sum]]/MatchData[[#this row],[ramparts avail count]],2),0)</f>
        <v>#VALUE!</v>
      </c>
      <c r="CV259" s="16" t="e">
        <f aca="false">IFERROR(ROUND(MatchData[[#this row],[drawbridge sum]]/MatchData[[#this row],[drawbridge avail countigh6]],2),0)</f>
        <v>#VALUE!</v>
      </c>
      <c r="CW259" s="16" t="e">
        <f aca="false">IFERROR(ROUND(MatchData[[#this row],[sally port sum]]/MatchData[[#this row],[sally port avail count]],2),0)</f>
        <v>#VALUE!</v>
      </c>
      <c r="CX259" s="5" t="e">
        <f aca="false">IFERROR(ROUND(MatchData[[#this row],[rock wall sum]]/MatchData[[#this row],[rock wall avail count]],2),0)</f>
        <v>#VALUE!</v>
      </c>
      <c r="CY259" s="5" t="e">
        <f aca="false">IFERROR(ROUND(MatchData[[#this row],[rough terrain sum]]/MatchData[[#this row],[rough terrain avail count]],2),0)</f>
        <v>#VALUE!</v>
      </c>
      <c r="CZ259" s="5" t="e">
        <f aca="false">IFERROR(ROUND(MatchData[[#this row],[low bar sum]]/MatchData[[#this row],[low bar avail count]],2),0)</f>
        <v>#VALUE!</v>
      </c>
      <c r="DA259" s="16" t="e">
        <f aca="false">SUM(MatchData[[#this row],[cheval sum]:[low bar sum]])/MatchData[match count]</f>
        <v>#VALUE!</v>
      </c>
      <c r="DB259" s="16" t="n">
        <f aca="false">MAX(IF(C$2:C$74=C259,BP$2:BP$74))</f>
        <v>-1.79769313486232E+308</v>
      </c>
      <c r="DC259" s="16" t="e">
        <f aca="false">AVERAGEIF(MatchData[team],MatchData[[#this row],[team]],MatchData[total score])</f>
        <v>#VALUE!</v>
      </c>
      <c r="DD259" s="16" t="e">
        <f aca="false">ROUND(AVERAGEIF(MatchData[team],MatchData[team],MatchData[climb or challenge flag]),2)</f>
        <v>#VALUE!</v>
      </c>
    </row>
    <row r="260" customFormat="false" ht="14.5" hidden="false" customHeight="false" outlineLevel="0" collapsed="false">
      <c r="A260" s="20" t="s">
        <v>108</v>
      </c>
      <c r="B260" s="14" t="n">
        <v>44</v>
      </c>
      <c r="C260" s="15" t="n">
        <v>1571</v>
      </c>
      <c r="D260" s="5" t="s">
        <v>109</v>
      </c>
      <c r="E260" s="5" t="s">
        <v>128</v>
      </c>
      <c r="G260" s="16"/>
      <c r="I260" s="16"/>
      <c r="J260" s="5" t="n">
        <v>1</v>
      </c>
      <c r="K260" s="16"/>
      <c r="L260" s="5" t="n">
        <v>1</v>
      </c>
      <c r="M260" s="5" t="n">
        <v>1</v>
      </c>
      <c r="N260" s="0"/>
      <c r="O260" s="0"/>
      <c r="P260" s="5" t="n">
        <v>1</v>
      </c>
      <c r="Q260" s="0"/>
      <c r="R260" s="5" t="n">
        <v>1</v>
      </c>
      <c r="S260" s="16"/>
      <c r="U260" s="16"/>
      <c r="V260" s="16"/>
      <c r="W260" s="0"/>
      <c r="AD260" s="16"/>
      <c r="AE260" s="5"/>
      <c r="AF260" s="16"/>
      <c r="AG260" s="16"/>
      <c r="AH260" s="16"/>
      <c r="AJ260" s="16"/>
      <c r="AL260" s="16"/>
      <c r="AN260" s="16"/>
      <c r="AP260" s="16"/>
      <c r="AR260" s="16"/>
      <c r="AT260" s="16"/>
      <c r="AU260" s="16"/>
      <c r="AV260" s="16"/>
      <c r="AW260" s="16"/>
      <c r="AX260" s="16"/>
      <c r="AY260" s="16"/>
      <c r="AZ260" s="16" t="n">
        <v>1</v>
      </c>
      <c r="BB260" s="16"/>
      <c r="BC260" s="16" t="e">
        <f aca="false">MatchData[cheval scored crossings]*5</f>
        <v>#VALUE!</v>
      </c>
      <c r="BD260" s="16" t="e">
        <f aca="false">MatchData[moat scored crosings]*5</f>
        <v>#VALUE!</v>
      </c>
      <c r="BE260" s="16" t="e">
        <f aca="false">MatchData[ramparts scored crossings]*5</f>
        <v>#VALUE!</v>
      </c>
      <c r="BF260" s="16" t="e">
        <f aca="false">MatchData[drawbridge scored crossings]*5</f>
        <v>#VALUE!</v>
      </c>
      <c r="BG260" s="16" t="e">
        <f aca="false">MatchData[sally port scored crossings]*5</f>
        <v>#VALUE!</v>
      </c>
      <c r="BH260" s="16" t="e">
        <f aca="false">MatchData[rock wall scored crossings]*5</f>
        <v>#VALUE!</v>
      </c>
      <c r="BI260" s="16" t="e">
        <f aca="false">MatchData[rough terrain scored crossings]*5</f>
        <v>#VALUE!</v>
      </c>
      <c r="BJ260" s="16" t="e">
        <f aca="false">MatchData[low bar scored crossings]*5</f>
        <v>#VALUE!</v>
      </c>
      <c r="BK260" s="16" t="e">
        <f aca="false">SUM(MatchData[[#this row],[low bar teleop crossings]:[rough terrain scored crossings]])</f>
        <v>#VALUE!</v>
      </c>
      <c r="BL260" s="16" t="e">
        <f aca="false">IFERROR(IF(OR(MatchData[[#this row],[challenge flag]],MatchData[[#this row],[climb flag]]),1,0),0)</f>
        <v>#VALUE!</v>
      </c>
      <c r="BM260" s="16" t="e">
        <f aca="false">MatchData[auto high goals]*10+MatchData[teleop high goals]*5</f>
        <v>#VALUE!</v>
      </c>
      <c r="BN260" s="16" t="e">
        <f aca="false">MatchData[auto low goals]*5+MatchData[teleop low goals]*2</f>
        <v>#VALUE!</v>
      </c>
      <c r="BO260" s="16" t="e">
        <f aca="false">MatchData[high goal score]+MatchData[low goal score]</f>
        <v>#VALUE!</v>
      </c>
      <c r="BP260" s="16" t="e">
        <f aca="false">MatchData[teleop high goals]+MatchData[teleop low goals]</f>
        <v>#VALUE!</v>
      </c>
      <c r="BQ260" s="16" t="e">
        <f aca="false">MatchData[[#this row],[auto reach flag]]*2+SUM(MatchData[[#this row],[portcullis auto crossings]:[low bar auto crossings]])*10+MatchData[[#this row],[auto low goals]]*5+MatchData[auto high goals]*10</f>
        <v>#VALUE!</v>
      </c>
      <c r="BR260" s="16" t="e">
        <f aca="false">SUM(MatchData[[#this row],[cheval teleop crossing score]:[low bar teleop crossing score]])</f>
        <v>#VALUE!</v>
      </c>
      <c r="BS260" s="16" t="e">
        <f aca="false">SUMIF(MatchData[team],MatchData[[#this row],[team]],MatchData[total auto score])/MatchData[match count]</f>
        <v>#VALUE!</v>
      </c>
      <c r="BT260" s="16" t="e">
        <f aca="false">MatchData[challenge flag]*5</f>
        <v>#VALUE!</v>
      </c>
      <c r="BU260" s="16" t="e">
        <f aca="false">MatchData[climb flag]*15</f>
        <v>#VALUE!</v>
      </c>
      <c r="BV260" s="16" t="e">
        <f aca="false">SUM(MatchData[[#this row],[total goal score]],MatchData[[#this row],[crossing score]],MatchData[[#this row],[challenge score]],MatchData[[#this row],[climb score]],MatchData[[#this row],[total auto score]])</f>
        <v>#VALUE!</v>
      </c>
      <c r="BW260" s="16" t="e">
        <f aca="false">ROUND(SUMIF(MatchData[team],MatchData[[#this row],[team]],MatchData[teleop low goals])/COUNTIF(MatchData[team],MatchData[[#this row],[team]]),2)</f>
        <v>#VALUE!</v>
      </c>
      <c r="BX260" s="16" t="e">
        <f aca="false">ROUND(SUMIF(MatchData[team],MatchData[[#this row],[team]],MatchData[teleop high goals])/COUNTIF(MatchData[team],MatchData[[#this row],[team]]),2)</f>
        <v>#VALUE!</v>
      </c>
      <c r="BY260" s="16" t="e">
        <f aca="false">COUNTIF(MatchData[team],MatchData[[#this row],[team]])</f>
        <v>#VALUE!</v>
      </c>
      <c r="BZ260" s="16" t="e">
        <f aca="false">SUMIF(MatchData[team],MatchData[[#this row],[team]],MatchData[portcullis available])</f>
        <v>#VALUE!</v>
      </c>
      <c r="CA260" s="16" t="e">
        <f aca="false">SUMIF(MatchData[team],MatchData[[#this row],[team]],MatchData[cheval available])</f>
        <v>#VALUE!</v>
      </c>
      <c r="CB260" s="16" t="e">
        <f aca="false">SUMIF(MatchData[team],MatchData[[#this row],[team]],MatchData[moat available])</f>
        <v>#VALUE!</v>
      </c>
      <c r="CC260" s="16" t="e">
        <f aca="false">SUMIF(MatchData[team],MatchData[[#this row],[team]],MatchData[ramparts available])</f>
        <v>#VALUE!</v>
      </c>
      <c r="CD260" s="16" t="e">
        <f aca="false">SUMIF(MatchData[team],MatchData[[#this row],[team]],MatchData[drawbridge available])</f>
        <v>#VALUE!</v>
      </c>
      <c r="CE260" s="16" t="e">
        <f aca="false">SUMIF(MatchData[team],MatchData[[#this row],[team]],MatchData[sally port available])</f>
        <v>#VALUE!</v>
      </c>
      <c r="CF260" s="16" t="e">
        <f aca="false">SUMIF(MatchData[team],MatchData[[#this row],[team]],MatchData[rock wall available])</f>
        <v>#VALUE!</v>
      </c>
      <c r="CG260" s="16" t="e">
        <f aca="false">SUMIF(MatchData[team],MatchData[[#this row],[team]],MatchData[rough terrain available])</f>
        <v>#VALUE!</v>
      </c>
      <c r="CH260" s="16" t="e">
        <f aca="false">SUMIF(MatchData[team],MatchData[[#this row],[team]],MatchData[low bar available])</f>
        <v>#VALUE!</v>
      </c>
      <c r="CI260" s="16" t="e">
        <f aca="false">SUMIF(MatchData[team],MatchData[[#this row],[team]],MatchData[portcullis teleop crossings]:MatchData[portcullis scored crossings])</f>
        <v>#VALUE!</v>
      </c>
      <c r="CJ260" s="16" t="e">
        <f aca="false">SUMIF(MatchData[team],MatchData[[#this row],[team]],MatchData[cheval teleop crossings])+SUMIF(MatchData[team],MatchData[[#this row],[team]],MatchData[cheval scored crossings])</f>
        <v>#VALUE!</v>
      </c>
      <c r="CK260" s="16" t="e">
        <f aca="false">SUMIF(MatchData[team],MatchData[[#this row],[team]],MatchData[moat teleop crossings])+SUMIF(MatchData[team],MatchData[[#this row],[team]],MatchData[moat scored crosings])</f>
        <v>#VALUE!</v>
      </c>
      <c r="CL260" s="16" t="e">
        <f aca="false">SUMIF(MatchData[team],MatchData[[#this row],[team]],MatchData[ramparts teleop crossings])+SUMIF(MatchData[team],MatchData[[#this row],[team]],MatchData[ramparts scored crossings])</f>
        <v>#VALUE!</v>
      </c>
      <c r="CM260" s="16" t="e">
        <f aca="false">SUMIF(MatchData[team],MatchData[[#this row],[team]],MatchData[drawbridge teleop crossings])+SUMIF(MatchData[team],MatchData[[#this row],[team]],MatchData[drawbridge scored crossings])</f>
        <v>#VALUE!</v>
      </c>
      <c r="CN260" s="16" t="e">
        <f aca="false">SUMIF(MatchData[team],MatchData[[#this row],[team]],MatchData[sally port teleop crossings])+SUMIF(MatchData[team],MatchData[[#this row],[team]],MatchData[sally port scored crossings])</f>
        <v>#VALUE!</v>
      </c>
      <c r="CO260" s="16" t="e">
        <f aca="false">SUMIF(MatchData[team],MatchData[[#this row],[team]],MatchData[rock wall teleop crossings])+SUMIF(MatchData[team],MatchData[[#this row],[team]],MatchData[rock wall scored crossings])</f>
        <v>#VALUE!</v>
      </c>
      <c r="CP260" s="16" t="e">
        <f aca="false">SUMIF(MatchData[team],MatchData[[#this row],[team]],MatchData[rough terrain teleop crossings])+SUMIF(MatchData[team],MatchData[[#this row],[team]],MatchData[rough terrain scored crossings])</f>
        <v>#VALUE!</v>
      </c>
      <c r="CQ260" s="16" t="e">
        <f aca="false">SUMIF(MatchData[team],MatchData[[#this row],[team]],MatchData[low bar teleop crossings])+SUMIF(MatchData[team],MatchData[[#this row],[team]],MatchData[low bar scored crossings])</f>
        <v>#VALUE!</v>
      </c>
      <c r="CR260" s="16" t="e">
        <f aca="false">IFERROR(ROUND(MatchData[[#this row],[portcullis sum]]/MatchData[[#this row],[portcullis avail count]],2),0)</f>
        <v>#VALUE!</v>
      </c>
      <c r="CS260" s="16" t="e">
        <f aca="false">IFERROR(ROUND(MatchData[[#this row],[cheval sum]]/MatchData[[#this row],[cheval avail count]],2),0)</f>
        <v>#VALUE!</v>
      </c>
      <c r="CT260" s="16" t="e">
        <f aca="false">IFERROR(ROUND(MatchData[[#this row],[moat sum]]/MatchData[[#this row],[moat avail count]],2),0)</f>
        <v>#VALUE!</v>
      </c>
      <c r="CU260" s="16" t="e">
        <f aca="false">IFERROR(ROUND(MatchData[[#this row],[ramparts sum]]/MatchData[[#this row],[ramparts avail count]],2),0)</f>
        <v>#VALUE!</v>
      </c>
      <c r="CV260" s="16" t="e">
        <f aca="false">IFERROR(ROUND(MatchData[[#this row],[drawbridge sum]]/MatchData[[#this row],[drawbridge avail countigh6]],2),0)</f>
        <v>#VALUE!</v>
      </c>
      <c r="CW260" s="16" t="e">
        <f aca="false">IFERROR(ROUND(MatchData[[#this row],[sally port sum]]/MatchData[[#this row],[sally port avail count]],2),0)</f>
        <v>#VALUE!</v>
      </c>
      <c r="CX260" s="5" t="e">
        <f aca="false">IFERROR(ROUND(MatchData[[#this row],[rock wall sum]]/MatchData[[#this row],[rock wall avail count]],2),0)</f>
        <v>#VALUE!</v>
      </c>
      <c r="CY260" s="5" t="e">
        <f aca="false">IFERROR(ROUND(MatchData[[#this row],[rough terrain sum]]/MatchData[[#this row],[rough terrain avail count]],2),0)</f>
        <v>#VALUE!</v>
      </c>
      <c r="CZ260" s="5" t="e">
        <f aca="false">IFERROR(ROUND(MatchData[[#this row],[low bar sum]]/MatchData[[#this row],[low bar avail count]],2),0)</f>
        <v>#VALUE!</v>
      </c>
      <c r="DA260" s="16" t="e">
        <f aca="false">SUM(MatchData[[#this row],[cheval sum]:[low bar sum]])/MatchData[match count]</f>
        <v>#VALUE!</v>
      </c>
      <c r="DB260" s="16" t="n">
        <f aca="false">MAX(IF(C$2:C$74=C260,BP$2:BP$74))</f>
        <v>-1.79769313486232E+308</v>
      </c>
      <c r="DC260" s="16" t="e">
        <f aca="false">AVERAGEIF(MatchData[team],MatchData[[#this row],[team]],MatchData[total score])</f>
        <v>#VALUE!</v>
      </c>
      <c r="DD260" s="16" t="e">
        <f aca="false">ROUND(AVERAGEIF(MatchData[team],MatchData[team],MatchData[climb or challenge flag]),2)</f>
        <v>#VALUE!</v>
      </c>
    </row>
    <row r="261" customFormat="false" ht="14.5" hidden="false" customHeight="false" outlineLevel="0" collapsed="false">
      <c r="A261" s="20" t="s">
        <v>108</v>
      </c>
      <c r="B261" s="14" t="n">
        <v>44</v>
      </c>
      <c r="C261" s="15" t="n">
        <v>2811</v>
      </c>
      <c r="D261" s="5" t="s">
        <v>109</v>
      </c>
      <c r="E261" s="5" t="s">
        <v>110</v>
      </c>
      <c r="G261" s="16"/>
      <c r="I261" s="16"/>
      <c r="J261" s="5" t="n">
        <v>1</v>
      </c>
      <c r="K261" s="16"/>
      <c r="L261" s="5" t="n">
        <v>1</v>
      </c>
      <c r="M261" s="5" t="n">
        <v>1</v>
      </c>
      <c r="N261" s="0"/>
      <c r="O261" s="0"/>
      <c r="P261" s="5" t="n">
        <v>1</v>
      </c>
      <c r="Q261" s="0"/>
      <c r="R261" s="5" t="n">
        <v>1</v>
      </c>
      <c r="S261" s="16"/>
      <c r="U261" s="16"/>
      <c r="V261" s="16"/>
      <c r="W261" s="0"/>
      <c r="AB261" s="5" t="n">
        <v>1</v>
      </c>
      <c r="AD261" s="16" t="n">
        <v>1</v>
      </c>
      <c r="AE261" s="5"/>
      <c r="AF261" s="16"/>
      <c r="AG261" s="16"/>
      <c r="AH261" s="16"/>
      <c r="AJ261" s="16"/>
      <c r="AL261" s="16"/>
      <c r="AN261" s="16"/>
      <c r="AP261" s="16" t="n">
        <v>2</v>
      </c>
      <c r="AR261" s="16"/>
      <c r="AT261" s="16"/>
      <c r="AU261" s="16"/>
      <c r="AV261" s="16"/>
      <c r="AW261" s="16"/>
      <c r="AX261" s="16"/>
      <c r="AY261" s="16"/>
      <c r="AZ261" s="16" t="n">
        <v>1</v>
      </c>
      <c r="BB261" s="16"/>
      <c r="BC261" s="16" t="e">
        <f aca="false">MatchData[cheval scored crossings]*5</f>
        <v>#VALUE!</v>
      </c>
      <c r="BD261" s="16" t="e">
        <f aca="false">MatchData[moat scored crosings]*5</f>
        <v>#VALUE!</v>
      </c>
      <c r="BE261" s="16" t="e">
        <f aca="false">MatchData[ramparts scored crossings]*5</f>
        <v>#VALUE!</v>
      </c>
      <c r="BF261" s="16" t="e">
        <f aca="false">MatchData[drawbridge scored crossings]*5</f>
        <v>#VALUE!</v>
      </c>
      <c r="BG261" s="16" t="e">
        <f aca="false">MatchData[sally port scored crossings]*5</f>
        <v>#VALUE!</v>
      </c>
      <c r="BH261" s="16" t="e">
        <f aca="false">MatchData[rock wall scored crossings]*5</f>
        <v>#VALUE!</v>
      </c>
      <c r="BI261" s="16" t="e">
        <f aca="false">MatchData[rough terrain scored crossings]*5</f>
        <v>#VALUE!</v>
      </c>
      <c r="BJ261" s="16" t="e">
        <f aca="false">MatchData[low bar scored crossings]*5</f>
        <v>#VALUE!</v>
      </c>
      <c r="BK261" s="16" t="e">
        <f aca="false">SUM(MatchData[[#this row],[low bar teleop crossings]:[rough terrain scored crossings]])</f>
        <v>#VALUE!</v>
      </c>
      <c r="BL261" s="16" t="e">
        <f aca="false">IFERROR(IF(OR(MatchData[[#this row],[challenge flag]],MatchData[[#this row],[climb flag]]),1,0),0)</f>
        <v>#VALUE!</v>
      </c>
      <c r="BM261" s="16" t="e">
        <f aca="false">MatchData[auto high goals]*10+MatchData[teleop high goals]*5</f>
        <v>#VALUE!</v>
      </c>
      <c r="BN261" s="16" t="e">
        <f aca="false">MatchData[auto low goals]*5+MatchData[teleop low goals]*2</f>
        <v>#VALUE!</v>
      </c>
      <c r="BO261" s="16" t="e">
        <f aca="false">MatchData[high goal score]+MatchData[low goal score]</f>
        <v>#VALUE!</v>
      </c>
      <c r="BP261" s="16" t="e">
        <f aca="false">MatchData[teleop high goals]+MatchData[teleop low goals]</f>
        <v>#VALUE!</v>
      </c>
      <c r="BQ261" s="16" t="e">
        <f aca="false">MatchData[[#this row],[auto reach flag]]*2+SUM(MatchData[[#this row],[portcullis auto crossings]:[low bar auto crossings]])*10+MatchData[[#this row],[auto low goals]]*5+MatchData[auto high goals]*10</f>
        <v>#VALUE!</v>
      </c>
      <c r="BR261" s="16" t="e">
        <f aca="false">SUM(MatchData[[#this row],[cheval teleop crossing score]:[low bar teleop crossing score]])</f>
        <v>#VALUE!</v>
      </c>
      <c r="BS261" s="16" t="e">
        <f aca="false">SUMIF(MatchData[team],MatchData[[#this row],[team]],MatchData[total auto score])/MatchData[match count]</f>
        <v>#VALUE!</v>
      </c>
      <c r="BT261" s="16" t="e">
        <f aca="false">MatchData[challenge flag]*5</f>
        <v>#VALUE!</v>
      </c>
      <c r="BU261" s="16" t="e">
        <f aca="false">MatchData[climb flag]*15</f>
        <v>#VALUE!</v>
      </c>
      <c r="BV261" s="16" t="e">
        <f aca="false">SUM(MatchData[[#this row],[total goal score]],MatchData[[#this row],[crossing score]],MatchData[[#this row],[challenge score]],MatchData[[#this row],[climb score]],MatchData[[#this row],[total auto score]])</f>
        <v>#VALUE!</v>
      </c>
      <c r="BW261" s="16" t="e">
        <f aca="false">ROUND(SUMIF(MatchData[team],MatchData[[#this row],[team]],MatchData[teleop low goals])/COUNTIF(MatchData[team],MatchData[[#this row],[team]]),2)</f>
        <v>#VALUE!</v>
      </c>
      <c r="BX261" s="16" t="e">
        <f aca="false">ROUND(SUMIF(MatchData[team],MatchData[[#this row],[team]],MatchData[teleop high goals])/COUNTIF(MatchData[team],MatchData[[#this row],[team]]),2)</f>
        <v>#VALUE!</v>
      </c>
      <c r="BY261" s="16" t="e">
        <f aca="false">COUNTIF(MatchData[team],MatchData[[#this row],[team]])</f>
        <v>#VALUE!</v>
      </c>
      <c r="BZ261" s="16" t="e">
        <f aca="false">SUMIF(MatchData[team],MatchData[[#this row],[team]],MatchData[portcullis available])</f>
        <v>#VALUE!</v>
      </c>
      <c r="CA261" s="16" t="e">
        <f aca="false">SUMIF(MatchData[team],MatchData[[#this row],[team]],MatchData[cheval available])</f>
        <v>#VALUE!</v>
      </c>
      <c r="CB261" s="16" t="e">
        <f aca="false">SUMIF(MatchData[team],MatchData[[#this row],[team]],MatchData[moat available])</f>
        <v>#VALUE!</v>
      </c>
      <c r="CC261" s="16" t="e">
        <f aca="false">SUMIF(MatchData[team],MatchData[[#this row],[team]],MatchData[ramparts available])</f>
        <v>#VALUE!</v>
      </c>
      <c r="CD261" s="16" t="e">
        <f aca="false">SUMIF(MatchData[team],MatchData[[#this row],[team]],MatchData[drawbridge available])</f>
        <v>#VALUE!</v>
      </c>
      <c r="CE261" s="16" t="e">
        <f aca="false">SUMIF(MatchData[team],MatchData[[#this row],[team]],MatchData[sally port available])</f>
        <v>#VALUE!</v>
      </c>
      <c r="CF261" s="16" t="e">
        <f aca="false">SUMIF(MatchData[team],MatchData[[#this row],[team]],MatchData[rock wall available])</f>
        <v>#VALUE!</v>
      </c>
      <c r="CG261" s="16" t="e">
        <f aca="false">SUMIF(MatchData[team],MatchData[[#this row],[team]],MatchData[rough terrain available])</f>
        <v>#VALUE!</v>
      </c>
      <c r="CH261" s="16" t="e">
        <f aca="false">SUMIF(MatchData[team],MatchData[[#this row],[team]],MatchData[low bar available])</f>
        <v>#VALUE!</v>
      </c>
      <c r="CI261" s="16" t="e">
        <f aca="false">SUMIF(MatchData[team],MatchData[[#this row],[team]],MatchData[portcullis teleop crossings]:MatchData[portcullis scored crossings])</f>
        <v>#VALUE!</v>
      </c>
      <c r="CJ261" s="16" t="e">
        <f aca="false">SUMIF(MatchData[team],MatchData[[#this row],[team]],MatchData[cheval teleop crossings])+SUMIF(MatchData[team],MatchData[[#this row],[team]],MatchData[cheval scored crossings])</f>
        <v>#VALUE!</v>
      </c>
      <c r="CK261" s="16" t="e">
        <f aca="false">SUMIF(MatchData[team],MatchData[[#this row],[team]],MatchData[moat teleop crossings])+SUMIF(MatchData[team],MatchData[[#this row],[team]],MatchData[moat scored crosings])</f>
        <v>#VALUE!</v>
      </c>
      <c r="CL261" s="16" t="e">
        <f aca="false">SUMIF(MatchData[team],MatchData[[#this row],[team]],MatchData[ramparts teleop crossings])+SUMIF(MatchData[team],MatchData[[#this row],[team]],MatchData[ramparts scored crossings])</f>
        <v>#VALUE!</v>
      </c>
      <c r="CM261" s="16" t="e">
        <f aca="false">SUMIF(MatchData[team],MatchData[[#this row],[team]],MatchData[drawbridge teleop crossings])+SUMIF(MatchData[team],MatchData[[#this row],[team]],MatchData[drawbridge scored crossings])</f>
        <v>#VALUE!</v>
      </c>
      <c r="CN261" s="16" t="e">
        <f aca="false">SUMIF(MatchData[team],MatchData[[#this row],[team]],MatchData[sally port teleop crossings])+SUMIF(MatchData[team],MatchData[[#this row],[team]],MatchData[sally port scored crossings])</f>
        <v>#VALUE!</v>
      </c>
      <c r="CO261" s="16" t="e">
        <f aca="false">SUMIF(MatchData[team],MatchData[[#this row],[team]],MatchData[rock wall teleop crossings])+SUMIF(MatchData[team],MatchData[[#this row],[team]],MatchData[rock wall scored crossings])</f>
        <v>#VALUE!</v>
      </c>
      <c r="CP261" s="16" t="e">
        <f aca="false">SUMIF(MatchData[team],MatchData[[#this row],[team]],MatchData[rough terrain teleop crossings])+SUMIF(MatchData[team],MatchData[[#this row],[team]],MatchData[rough terrain scored crossings])</f>
        <v>#VALUE!</v>
      </c>
      <c r="CQ261" s="16" t="e">
        <f aca="false">SUMIF(MatchData[team],MatchData[[#this row],[team]],MatchData[low bar teleop crossings])+SUMIF(MatchData[team],MatchData[[#this row],[team]],MatchData[low bar scored crossings])</f>
        <v>#VALUE!</v>
      </c>
      <c r="CR261" s="16" t="e">
        <f aca="false">IFERROR(ROUND(MatchData[[#this row],[portcullis sum]]/MatchData[[#this row],[portcullis avail count]],2),0)</f>
        <v>#VALUE!</v>
      </c>
      <c r="CS261" s="16" t="e">
        <f aca="false">IFERROR(ROUND(MatchData[[#this row],[cheval sum]]/MatchData[[#this row],[cheval avail count]],2),0)</f>
        <v>#VALUE!</v>
      </c>
      <c r="CT261" s="16" t="e">
        <f aca="false">IFERROR(ROUND(MatchData[[#this row],[moat sum]]/MatchData[[#this row],[moat avail count]],2),0)</f>
        <v>#VALUE!</v>
      </c>
      <c r="CU261" s="16" t="e">
        <f aca="false">IFERROR(ROUND(MatchData[[#this row],[ramparts sum]]/MatchData[[#this row],[ramparts avail count]],2),0)</f>
        <v>#VALUE!</v>
      </c>
      <c r="CV261" s="16" t="e">
        <f aca="false">IFERROR(ROUND(MatchData[[#this row],[drawbridge sum]]/MatchData[[#this row],[drawbridge avail countigh6]],2),0)</f>
        <v>#VALUE!</v>
      </c>
      <c r="CW261" s="16" t="e">
        <f aca="false">IFERROR(ROUND(MatchData[[#this row],[sally port sum]]/MatchData[[#this row],[sally port avail count]],2),0)</f>
        <v>#VALUE!</v>
      </c>
      <c r="CX261" s="5" t="e">
        <f aca="false">IFERROR(ROUND(MatchData[[#this row],[rock wall sum]]/MatchData[[#this row],[rock wall avail count]],2),0)</f>
        <v>#VALUE!</v>
      </c>
      <c r="CY261" s="5" t="e">
        <f aca="false">IFERROR(ROUND(MatchData[[#this row],[rough terrain sum]]/MatchData[[#this row],[rough terrain avail count]],2),0)</f>
        <v>#VALUE!</v>
      </c>
      <c r="CZ261" s="5" t="e">
        <f aca="false">IFERROR(ROUND(MatchData[[#this row],[low bar sum]]/MatchData[[#this row],[low bar avail count]],2),0)</f>
        <v>#VALUE!</v>
      </c>
      <c r="DA261" s="16" t="e">
        <f aca="false">SUM(MatchData[[#this row],[cheval sum]:[low bar sum]])/MatchData[match count]</f>
        <v>#VALUE!</v>
      </c>
      <c r="DB261" s="16" t="n">
        <f aca="false">MAX(IF(C$2:C$74=C261,BP$2:BP$74))</f>
        <v>-1.79769313486232E+308</v>
      </c>
      <c r="DC261" s="16" t="e">
        <f aca="false">AVERAGEIF(MatchData[team],MatchData[[#this row],[team]],MatchData[total score])</f>
        <v>#VALUE!</v>
      </c>
      <c r="DD261" s="16" t="e">
        <f aca="false">ROUND(AVERAGEIF(MatchData[team],MatchData[team],MatchData[climb or challenge flag]),2)</f>
        <v>#VALUE!</v>
      </c>
    </row>
    <row r="262" customFormat="false" ht="14.5" hidden="false" customHeight="false" outlineLevel="0" collapsed="false">
      <c r="A262" s="20" t="s">
        <v>108</v>
      </c>
      <c r="B262" s="14" t="n">
        <v>44</v>
      </c>
      <c r="C262" s="15" t="n">
        <v>5198</v>
      </c>
      <c r="D262" s="5" t="s">
        <v>109</v>
      </c>
      <c r="E262" s="5" t="s">
        <v>118</v>
      </c>
      <c r="G262" s="16"/>
      <c r="I262" s="16"/>
      <c r="J262" s="5" t="n">
        <v>1</v>
      </c>
      <c r="K262" s="16"/>
      <c r="L262" s="5" t="n">
        <v>1</v>
      </c>
      <c r="M262" s="5" t="n">
        <v>1</v>
      </c>
      <c r="N262" s="0"/>
      <c r="O262" s="0"/>
      <c r="P262" s="5" t="n">
        <v>1</v>
      </c>
      <c r="Q262" s="0"/>
      <c r="R262" s="5" t="n">
        <v>1</v>
      </c>
      <c r="S262" s="16"/>
      <c r="U262" s="16"/>
      <c r="V262" s="16"/>
      <c r="W262" s="0"/>
      <c r="AD262" s="16"/>
      <c r="AE262" s="5"/>
      <c r="AF262" s="16"/>
      <c r="AG262" s="16"/>
      <c r="AH262" s="16"/>
      <c r="AJ262" s="16"/>
      <c r="AL262" s="16"/>
      <c r="AN262" s="16"/>
      <c r="AP262" s="16" t="n">
        <v>2</v>
      </c>
      <c r="AR262" s="16"/>
      <c r="AT262" s="16" t="n">
        <v>2</v>
      </c>
      <c r="AU262" s="16"/>
      <c r="AV262" s="16"/>
      <c r="AW262" s="16" t="n">
        <v>1</v>
      </c>
      <c r="AX262" s="16"/>
      <c r="AY262" s="16"/>
      <c r="AZ262" s="16"/>
      <c r="BB262" s="16"/>
      <c r="BC262" s="16" t="e">
        <f aca="false">MatchData[cheval scored crossings]*5</f>
        <v>#VALUE!</v>
      </c>
      <c r="BD262" s="16" t="e">
        <f aca="false">MatchData[moat scored crosings]*5</f>
        <v>#VALUE!</v>
      </c>
      <c r="BE262" s="16" t="e">
        <f aca="false">MatchData[ramparts scored crossings]*5</f>
        <v>#VALUE!</v>
      </c>
      <c r="BF262" s="16" t="e">
        <f aca="false">MatchData[drawbridge scored crossings]*5</f>
        <v>#VALUE!</v>
      </c>
      <c r="BG262" s="16" t="e">
        <f aca="false">MatchData[sally port scored crossings]*5</f>
        <v>#VALUE!</v>
      </c>
      <c r="BH262" s="16" t="e">
        <f aca="false">MatchData[rock wall scored crossings]*5</f>
        <v>#VALUE!</v>
      </c>
      <c r="BI262" s="16" t="e">
        <f aca="false">MatchData[rough terrain scored crossings]*5</f>
        <v>#VALUE!</v>
      </c>
      <c r="BJ262" s="16" t="e">
        <f aca="false">MatchData[low bar scored crossings]*5</f>
        <v>#VALUE!</v>
      </c>
      <c r="BK262" s="16" t="e">
        <f aca="false">SUM(MatchData[[#this row],[low bar teleop crossings]:[rough terrain scored crossings]])</f>
        <v>#VALUE!</v>
      </c>
      <c r="BL262" s="16" t="e">
        <f aca="false">IFERROR(IF(OR(MatchData[[#this row],[challenge flag]],MatchData[[#this row],[climb flag]]),1,0),0)</f>
        <v>#VALUE!</v>
      </c>
      <c r="BM262" s="16" t="e">
        <f aca="false">MatchData[auto high goals]*10+MatchData[teleop high goals]*5</f>
        <v>#VALUE!</v>
      </c>
      <c r="BN262" s="16" t="e">
        <f aca="false">MatchData[auto low goals]*5+MatchData[teleop low goals]*2</f>
        <v>#VALUE!</v>
      </c>
      <c r="BO262" s="16" t="e">
        <f aca="false">MatchData[high goal score]+MatchData[low goal score]</f>
        <v>#VALUE!</v>
      </c>
      <c r="BP262" s="16" t="e">
        <f aca="false">MatchData[teleop high goals]+MatchData[teleop low goals]</f>
        <v>#VALUE!</v>
      </c>
      <c r="BQ262" s="16" t="e">
        <f aca="false">MatchData[[#this row],[auto reach flag]]*2+SUM(MatchData[[#this row],[portcullis auto crossings]:[low bar auto crossings]])*10+MatchData[[#this row],[auto low goals]]*5+MatchData[auto high goals]*10</f>
        <v>#VALUE!</v>
      </c>
      <c r="BR262" s="16" t="e">
        <f aca="false">SUM(MatchData[[#this row],[cheval teleop crossing score]:[low bar teleop crossing score]])</f>
        <v>#VALUE!</v>
      </c>
      <c r="BS262" s="16" t="e">
        <f aca="false">SUMIF(MatchData[team],MatchData[[#this row],[team]],MatchData[total auto score])/MatchData[match count]</f>
        <v>#VALUE!</v>
      </c>
      <c r="BT262" s="16" t="e">
        <f aca="false">MatchData[challenge flag]*5</f>
        <v>#VALUE!</v>
      </c>
      <c r="BU262" s="16" t="e">
        <f aca="false">MatchData[climb flag]*15</f>
        <v>#VALUE!</v>
      </c>
      <c r="BV262" s="16" t="e">
        <f aca="false">SUM(MatchData[[#this row],[total goal score]],MatchData[[#this row],[crossing score]],MatchData[[#this row],[challenge score]],MatchData[[#this row],[climb score]],MatchData[[#this row],[total auto score]])</f>
        <v>#VALUE!</v>
      </c>
      <c r="BW262" s="16" t="e">
        <f aca="false">ROUND(SUMIF(MatchData[team],MatchData[[#this row],[team]],MatchData[teleop low goals])/COUNTIF(MatchData[team],MatchData[[#this row],[team]]),2)</f>
        <v>#VALUE!</v>
      </c>
      <c r="BX262" s="16" t="e">
        <f aca="false">ROUND(SUMIF(MatchData[team],MatchData[[#this row],[team]],MatchData[teleop high goals])/COUNTIF(MatchData[team],MatchData[[#this row],[team]]),2)</f>
        <v>#VALUE!</v>
      </c>
      <c r="BY262" s="16" t="e">
        <f aca="false">COUNTIF(MatchData[team],MatchData[[#this row],[team]])</f>
        <v>#VALUE!</v>
      </c>
      <c r="BZ262" s="16" t="e">
        <f aca="false">SUMIF(MatchData[team],MatchData[[#this row],[team]],MatchData[portcullis available])</f>
        <v>#VALUE!</v>
      </c>
      <c r="CA262" s="16" t="e">
        <f aca="false">SUMIF(MatchData[team],MatchData[[#this row],[team]],MatchData[cheval available])</f>
        <v>#VALUE!</v>
      </c>
      <c r="CB262" s="16" t="e">
        <f aca="false">SUMIF(MatchData[team],MatchData[[#this row],[team]],MatchData[moat available])</f>
        <v>#VALUE!</v>
      </c>
      <c r="CC262" s="16" t="e">
        <f aca="false">SUMIF(MatchData[team],MatchData[[#this row],[team]],MatchData[ramparts available])</f>
        <v>#VALUE!</v>
      </c>
      <c r="CD262" s="16" t="e">
        <f aca="false">SUMIF(MatchData[team],MatchData[[#this row],[team]],MatchData[drawbridge available])</f>
        <v>#VALUE!</v>
      </c>
      <c r="CE262" s="16" t="e">
        <f aca="false">SUMIF(MatchData[team],MatchData[[#this row],[team]],MatchData[sally port available])</f>
        <v>#VALUE!</v>
      </c>
      <c r="CF262" s="16" t="e">
        <f aca="false">SUMIF(MatchData[team],MatchData[[#this row],[team]],MatchData[rock wall available])</f>
        <v>#VALUE!</v>
      </c>
      <c r="CG262" s="16" t="e">
        <f aca="false">SUMIF(MatchData[team],MatchData[[#this row],[team]],MatchData[rough terrain available])</f>
        <v>#VALUE!</v>
      </c>
      <c r="CH262" s="16" t="e">
        <f aca="false">SUMIF(MatchData[team],MatchData[[#this row],[team]],MatchData[low bar available])</f>
        <v>#VALUE!</v>
      </c>
      <c r="CI262" s="16" t="e">
        <f aca="false">SUMIF(MatchData[team],MatchData[[#this row],[team]],MatchData[portcullis teleop crossings]:MatchData[portcullis scored crossings])</f>
        <v>#VALUE!</v>
      </c>
      <c r="CJ262" s="16" t="e">
        <f aca="false">SUMIF(MatchData[team],MatchData[[#this row],[team]],MatchData[cheval teleop crossings])+SUMIF(MatchData[team],MatchData[[#this row],[team]],MatchData[cheval scored crossings])</f>
        <v>#VALUE!</v>
      </c>
      <c r="CK262" s="16" t="e">
        <f aca="false">SUMIF(MatchData[team],MatchData[[#this row],[team]],MatchData[moat teleop crossings])+SUMIF(MatchData[team],MatchData[[#this row],[team]],MatchData[moat scored crosings])</f>
        <v>#VALUE!</v>
      </c>
      <c r="CL262" s="16" t="e">
        <f aca="false">SUMIF(MatchData[team],MatchData[[#this row],[team]],MatchData[ramparts teleop crossings])+SUMIF(MatchData[team],MatchData[[#this row],[team]],MatchData[ramparts scored crossings])</f>
        <v>#VALUE!</v>
      </c>
      <c r="CM262" s="16" t="e">
        <f aca="false">SUMIF(MatchData[team],MatchData[[#this row],[team]],MatchData[drawbridge teleop crossings])+SUMIF(MatchData[team],MatchData[[#this row],[team]],MatchData[drawbridge scored crossings])</f>
        <v>#VALUE!</v>
      </c>
      <c r="CN262" s="16" t="e">
        <f aca="false">SUMIF(MatchData[team],MatchData[[#this row],[team]],MatchData[sally port teleop crossings])+SUMIF(MatchData[team],MatchData[[#this row],[team]],MatchData[sally port scored crossings])</f>
        <v>#VALUE!</v>
      </c>
      <c r="CO262" s="16" t="e">
        <f aca="false">SUMIF(MatchData[team],MatchData[[#this row],[team]],MatchData[rock wall teleop crossings])+SUMIF(MatchData[team],MatchData[[#this row],[team]],MatchData[rock wall scored crossings])</f>
        <v>#VALUE!</v>
      </c>
      <c r="CP262" s="16" t="e">
        <f aca="false">SUMIF(MatchData[team],MatchData[[#this row],[team]],MatchData[rough terrain teleop crossings])+SUMIF(MatchData[team],MatchData[[#this row],[team]],MatchData[rough terrain scored crossings])</f>
        <v>#VALUE!</v>
      </c>
      <c r="CQ262" s="16" t="e">
        <f aca="false">SUMIF(MatchData[team],MatchData[[#this row],[team]],MatchData[low bar teleop crossings])+SUMIF(MatchData[team],MatchData[[#this row],[team]],MatchData[low bar scored crossings])</f>
        <v>#VALUE!</v>
      </c>
      <c r="CR262" s="16" t="e">
        <f aca="false">IFERROR(ROUND(MatchData[[#this row],[portcullis sum]]/MatchData[[#this row],[portcullis avail count]],2),0)</f>
        <v>#VALUE!</v>
      </c>
      <c r="CS262" s="16" t="e">
        <f aca="false">IFERROR(ROUND(MatchData[[#this row],[cheval sum]]/MatchData[[#this row],[cheval avail count]],2),0)</f>
        <v>#VALUE!</v>
      </c>
      <c r="CT262" s="16" t="e">
        <f aca="false">IFERROR(ROUND(MatchData[[#this row],[moat sum]]/MatchData[[#this row],[moat avail count]],2),0)</f>
        <v>#VALUE!</v>
      </c>
      <c r="CU262" s="16" t="e">
        <f aca="false">IFERROR(ROUND(MatchData[[#this row],[ramparts sum]]/MatchData[[#this row],[ramparts avail count]],2),0)</f>
        <v>#VALUE!</v>
      </c>
      <c r="CV262" s="16" t="e">
        <f aca="false">IFERROR(ROUND(MatchData[[#this row],[drawbridge sum]]/MatchData[[#this row],[drawbridge avail countigh6]],2),0)</f>
        <v>#VALUE!</v>
      </c>
      <c r="CW262" s="16" t="e">
        <f aca="false">IFERROR(ROUND(MatchData[[#this row],[sally port sum]]/MatchData[[#this row],[sally port avail count]],2),0)</f>
        <v>#VALUE!</v>
      </c>
      <c r="CX262" s="5" t="e">
        <f aca="false">IFERROR(ROUND(MatchData[[#this row],[rock wall sum]]/MatchData[[#this row],[rock wall avail count]],2),0)</f>
        <v>#VALUE!</v>
      </c>
      <c r="CY262" s="5" t="e">
        <f aca="false">IFERROR(ROUND(MatchData[[#this row],[rough terrain sum]]/MatchData[[#this row],[rough terrain avail count]],2),0)</f>
        <v>#VALUE!</v>
      </c>
      <c r="CZ262" s="5" t="e">
        <f aca="false">IFERROR(ROUND(MatchData[[#this row],[low bar sum]]/MatchData[[#this row],[low bar avail count]],2),0)</f>
        <v>#VALUE!</v>
      </c>
      <c r="DA262" s="16" t="e">
        <f aca="false">SUM(MatchData[[#this row],[cheval sum]:[low bar sum]])/MatchData[match count]</f>
        <v>#VALUE!</v>
      </c>
      <c r="DB262" s="16" t="n">
        <f aca="false">MAX(IF(C$2:C$74=C262,BP$2:BP$74))</f>
        <v>-1.79769313486232E+308</v>
      </c>
      <c r="DC262" s="16" t="e">
        <f aca="false">AVERAGEIF(MatchData[team],MatchData[[#this row],[team]],MatchData[total score])</f>
        <v>#VALUE!</v>
      </c>
      <c r="DD262" s="16" t="e">
        <f aca="false">ROUND(AVERAGEIF(MatchData[team],MatchData[team],MatchData[climb or challenge flag]),2)</f>
        <v>#VALUE!</v>
      </c>
    </row>
    <row r="263" customFormat="false" ht="14.5" hidden="false" customHeight="false" outlineLevel="0" collapsed="false">
      <c r="A263" s="20" t="s">
        <v>108</v>
      </c>
      <c r="B263" s="14" t="n">
        <v>44</v>
      </c>
      <c r="C263" s="15" t="n">
        <v>2635</v>
      </c>
      <c r="D263" s="5" t="s">
        <v>113</v>
      </c>
      <c r="E263" s="5" t="s">
        <v>152</v>
      </c>
      <c r="G263" s="16" t="n">
        <v>1</v>
      </c>
      <c r="I263" s="16"/>
      <c r="J263" s="5" t="n">
        <v>1</v>
      </c>
      <c r="K263" s="16" t="n">
        <v>1</v>
      </c>
      <c r="N263" s="5" t="n">
        <v>1</v>
      </c>
      <c r="O263" s="5" t="n">
        <v>1</v>
      </c>
      <c r="P263" s="0"/>
      <c r="Q263" s="0"/>
      <c r="R263" s="5" t="n">
        <v>1</v>
      </c>
      <c r="S263" s="16"/>
      <c r="U263" s="16"/>
      <c r="V263" s="16"/>
      <c r="W263" s="0"/>
      <c r="AD263" s="16" t="n">
        <v>2</v>
      </c>
      <c r="AE263" s="5"/>
      <c r="AF263" s="16"/>
      <c r="AG263" s="16"/>
      <c r="AH263" s="16"/>
      <c r="AJ263" s="16"/>
      <c r="AL263" s="16"/>
      <c r="AN263" s="16"/>
      <c r="AP263" s="16"/>
      <c r="AR263" s="16"/>
      <c r="AT263" s="16" t="n">
        <v>2</v>
      </c>
      <c r="AU263" s="16"/>
      <c r="AV263" s="16"/>
      <c r="AW263" s="16" t="n">
        <v>1</v>
      </c>
      <c r="AX263" s="16"/>
      <c r="AY263" s="16"/>
      <c r="AZ263" s="16"/>
      <c r="BB263" s="16" t="n">
        <v>1</v>
      </c>
      <c r="BC263" s="16" t="e">
        <f aca="false">MatchData[cheval scored crossings]*5</f>
        <v>#VALUE!</v>
      </c>
      <c r="BD263" s="16" t="e">
        <f aca="false">MatchData[moat scored crosings]*5</f>
        <v>#VALUE!</v>
      </c>
      <c r="BE263" s="16" t="e">
        <f aca="false">MatchData[ramparts scored crossings]*5</f>
        <v>#VALUE!</v>
      </c>
      <c r="BF263" s="16" t="e">
        <f aca="false">MatchData[drawbridge scored crossings]*5</f>
        <v>#VALUE!</v>
      </c>
      <c r="BG263" s="16" t="e">
        <f aca="false">MatchData[sally port scored crossings]*5</f>
        <v>#VALUE!</v>
      </c>
      <c r="BH263" s="16" t="e">
        <f aca="false">MatchData[rock wall scored crossings]*5</f>
        <v>#VALUE!</v>
      </c>
      <c r="BI263" s="16" t="e">
        <f aca="false">MatchData[rough terrain scored crossings]*5</f>
        <v>#VALUE!</v>
      </c>
      <c r="BJ263" s="16" t="e">
        <f aca="false">MatchData[low bar scored crossings]*5</f>
        <v>#VALUE!</v>
      </c>
      <c r="BK263" s="16" t="e">
        <f aca="false">SUM(MatchData[[#this row],[low bar teleop crossings]:[rough terrain scored crossings]])</f>
        <v>#VALUE!</v>
      </c>
      <c r="BL263" s="16" t="e">
        <f aca="false">IFERROR(IF(OR(MatchData[[#this row],[challenge flag]],MatchData[[#this row],[climb flag]]),1,0),0)</f>
        <v>#VALUE!</v>
      </c>
      <c r="BM263" s="16" t="e">
        <f aca="false">MatchData[auto high goals]*10+MatchData[teleop high goals]*5</f>
        <v>#VALUE!</v>
      </c>
      <c r="BN263" s="16" t="e">
        <f aca="false">MatchData[auto low goals]*5+MatchData[teleop low goals]*2</f>
        <v>#VALUE!</v>
      </c>
      <c r="BO263" s="16" t="e">
        <f aca="false">MatchData[high goal score]+MatchData[low goal score]</f>
        <v>#VALUE!</v>
      </c>
      <c r="BP263" s="16" t="e">
        <f aca="false">MatchData[teleop high goals]+MatchData[teleop low goals]</f>
        <v>#VALUE!</v>
      </c>
      <c r="BQ263" s="16" t="e">
        <f aca="false">MatchData[[#this row],[auto reach flag]]*2+SUM(MatchData[[#this row],[portcullis auto crossings]:[low bar auto crossings]])*10+MatchData[[#this row],[auto low goals]]*5+MatchData[auto high goals]*10</f>
        <v>#VALUE!</v>
      </c>
      <c r="BR263" s="16" t="e">
        <f aca="false">SUM(MatchData[[#this row],[cheval teleop crossing score]:[low bar teleop crossing score]])</f>
        <v>#VALUE!</v>
      </c>
      <c r="BS263" s="16" t="e">
        <f aca="false">SUMIF(MatchData[team],MatchData[[#this row],[team]],MatchData[total auto score])/MatchData[match count]</f>
        <v>#VALUE!</v>
      </c>
      <c r="BT263" s="16" t="e">
        <f aca="false">MatchData[challenge flag]*5</f>
        <v>#VALUE!</v>
      </c>
      <c r="BU263" s="16" t="e">
        <f aca="false">MatchData[climb flag]*15</f>
        <v>#VALUE!</v>
      </c>
      <c r="BV263" s="16" t="e">
        <f aca="false">SUM(MatchData[[#this row],[total goal score]],MatchData[[#this row],[crossing score]],MatchData[[#this row],[challenge score]],MatchData[[#this row],[climb score]],MatchData[[#this row],[total auto score]])</f>
        <v>#VALUE!</v>
      </c>
      <c r="BW263" s="16" t="e">
        <f aca="false">ROUND(SUMIF(MatchData[team],MatchData[[#this row],[team]],MatchData[teleop low goals])/COUNTIF(MatchData[team],MatchData[[#this row],[team]]),2)</f>
        <v>#VALUE!</v>
      </c>
      <c r="BX263" s="16" t="e">
        <f aca="false">ROUND(SUMIF(MatchData[team],MatchData[[#this row],[team]],MatchData[teleop high goals])/COUNTIF(MatchData[team],MatchData[[#this row],[team]]),2)</f>
        <v>#VALUE!</v>
      </c>
      <c r="BY263" s="16" t="e">
        <f aca="false">COUNTIF(MatchData[team],MatchData[[#this row],[team]])</f>
        <v>#VALUE!</v>
      </c>
      <c r="BZ263" s="16" t="e">
        <f aca="false">SUMIF(MatchData[team],MatchData[[#this row],[team]],MatchData[portcullis available])</f>
        <v>#VALUE!</v>
      </c>
      <c r="CA263" s="16" t="e">
        <f aca="false">SUMIF(MatchData[team],MatchData[[#this row],[team]],MatchData[cheval available])</f>
        <v>#VALUE!</v>
      </c>
      <c r="CB263" s="16" t="e">
        <f aca="false">SUMIF(MatchData[team],MatchData[[#this row],[team]],MatchData[moat available])</f>
        <v>#VALUE!</v>
      </c>
      <c r="CC263" s="16" t="e">
        <f aca="false">SUMIF(MatchData[team],MatchData[[#this row],[team]],MatchData[ramparts available])</f>
        <v>#VALUE!</v>
      </c>
      <c r="CD263" s="16" t="e">
        <f aca="false">SUMIF(MatchData[team],MatchData[[#this row],[team]],MatchData[drawbridge available])</f>
        <v>#VALUE!</v>
      </c>
      <c r="CE263" s="16" t="e">
        <f aca="false">SUMIF(MatchData[team],MatchData[[#this row],[team]],MatchData[sally port available])</f>
        <v>#VALUE!</v>
      </c>
      <c r="CF263" s="16" t="e">
        <f aca="false">SUMIF(MatchData[team],MatchData[[#this row],[team]],MatchData[rock wall available])</f>
        <v>#VALUE!</v>
      </c>
      <c r="CG263" s="16" t="e">
        <f aca="false">SUMIF(MatchData[team],MatchData[[#this row],[team]],MatchData[rough terrain available])</f>
        <v>#VALUE!</v>
      </c>
      <c r="CH263" s="16" t="e">
        <f aca="false">SUMIF(MatchData[team],MatchData[[#this row],[team]],MatchData[low bar available])</f>
        <v>#VALUE!</v>
      </c>
      <c r="CI263" s="16" t="e">
        <f aca="false">SUMIF(MatchData[team],MatchData[[#this row],[team]],MatchData[portcullis teleop crossings]:MatchData[portcullis scored crossings])</f>
        <v>#VALUE!</v>
      </c>
      <c r="CJ263" s="16" t="e">
        <f aca="false">SUMIF(MatchData[team],MatchData[[#this row],[team]],MatchData[cheval teleop crossings])+SUMIF(MatchData[team],MatchData[[#this row],[team]],MatchData[cheval scored crossings])</f>
        <v>#VALUE!</v>
      </c>
      <c r="CK263" s="16" t="e">
        <f aca="false">SUMIF(MatchData[team],MatchData[[#this row],[team]],MatchData[moat teleop crossings])+SUMIF(MatchData[team],MatchData[[#this row],[team]],MatchData[moat scored crosings])</f>
        <v>#VALUE!</v>
      </c>
      <c r="CL263" s="16" t="e">
        <f aca="false">SUMIF(MatchData[team],MatchData[[#this row],[team]],MatchData[ramparts teleop crossings])+SUMIF(MatchData[team],MatchData[[#this row],[team]],MatchData[ramparts scored crossings])</f>
        <v>#VALUE!</v>
      </c>
      <c r="CM263" s="16" t="e">
        <f aca="false">SUMIF(MatchData[team],MatchData[[#this row],[team]],MatchData[drawbridge teleop crossings])+SUMIF(MatchData[team],MatchData[[#this row],[team]],MatchData[drawbridge scored crossings])</f>
        <v>#VALUE!</v>
      </c>
      <c r="CN263" s="16" t="e">
        <f aca="false">SUMIF(MatchData[team],MatchData[[#this row],[team]],MatchData[sally port teleop crossings])+SUMIF(MatchData[team],MatchData[[#this row],[team]],MatchData[sally port scored crossings])</f>
        <v>#VALUE!</v>
      </c>
      <c r="CO263" s="16" t="e">
        <f aca="false">SUMIF(MatchData[team],MatchData[[#this row],[team]],MatchData[rock wall teleop crossings])+SUMIF(MatchData[team],MatchData[[#this row],[team]],MatchData[rock wall scored crossings])</f>
        <v>#VALUE!</v>
      </c>
      <c r="CP263" s="16" t="e">
        <f aca="false">SUMIF(MatchData[team],MatchData[[#this row],[team]],MatchData[rough terrain teleop crossings])+SUMIF(MatchData[team],MatchData[[#this row],[team]],MatchData[rough terrain scored crossings])</f>
        <v>#VALUE!</v>
      </c>
      <c r="CQ263" s="16" t="e">
        <f aca="false">SUMIF(MatchData[team],MatchData[[#this row],[team]],MatchData[low bar teleop crossings])+SUMIF(MatchData[team],MatchData[[#this row],[team]],MatchData[low bar scored crossings])</f>
        <v>#VALUE!</v>
      </c>
      <c r="CR263" s="16" t="e">
        <f aca="false">IFERROR(ROUND(MatchData[[#this row],[portcullis sum]]/MatchData[[#this row],[portcullis avail count]],2),0)</f>
        <v>#VALUE!</v>
      </c>
      <c r="CS263" s="16" t="e">
        <f aca="false">IFERROR(ROUND(MatchData[[#this row],[cheval sum]]/MatchData[[#this row],[cheval avail count]],2),0)</f>
        <v>#VALUE!</v>
      </c>
      <c r="CT263" s="16" t="e">
        <f aca="false">IFERROR(ROUND(MatchData[[#this row],[moat sum]]/MatchData[[#this row],[moat avail count]],2),0)</f>
        <v>#VALUE!</v>
      </c>
      <c r="CU263" s="16" t="e">
        <f aca="false">IFERROR(ROUND(MatchData[[#this row],[ramparts sum]]/MatchData[[#this row],[ramparts avail count]],2),0)</f>
        <v>#VALUE!</v>
      </c>
      <c r="CV263" s="16" t="e">
        <f aca="false">IFERROR(ROUND(MatchData[[#this row],[drawbridge sum]]/MatchData[[#this row],[drawbridge avail countigh6]],2),0)</f>
        <v>#VALUE!</v>
      </c>
      <c r="CW263" s="16" t="e">
        <f aca="false">IFERROR(ROUND(MatchData[[#this row],[sally port sum]]/MatchData[[#this row],[sally port avail count]],2),0)</f>
        <v>#VALUE!</v>
      </c>
      <c r="CX263" s="5" t="e">
        <f aca="false">IFERROR(ROUND(MatchData[[#this row],[rock wall sum]]/MatchData[[#this row],[rock wall avail count]],2),0)</f>
        <v>#VALUE!</v>
      </c>
      <c r="CY263" s="5" t="e">
        <f aca="false">IFERROR(ROUND(MatchData[[#this row],[rough terrain sum]]/MatchData[[#this row],[rough terrain avail count]],2),0)</f>
        <v>#VALUE!</v>
      </c>
      <c r="CZ263" s="5" t="e">
        <f aca="false">IFERROR(ROUND(MatchData[[#this row],[low bar sum]]/MatchData[[#this row],[low bar avail count]],2),0)</f>
        <v>#VALUE!</v>
      </c>
      <c r="DA263" s="16" t="e">
        <f aca="false">SUM(MatchData[[#this row],[cheval sum]:[low bar sum]])/MatchData[match count]</f>
        <v>#VALUE!</v>
      </c>
      <c r="DB263" s="16" t="n">
        <f aca="false">MAX(IF(C$2:C$74=C263,BP$2:BP$74))</f>
        <v>-1.79769313486232E+308</v>
      </c>
      <c r="DC263" s="16" t="e">
        <f aca="false">AVERAGEIF(MatchData[team],MatchData[[#this row],[team]],MatchData[total score])</f>
        <v>#VALUE!</v>
      </c>
      <c r="DD263" s="16" t="e">
        <f aca="false">ROUND(AVERAGEIF(MatchData[team],MatchData[team],MatchData[climb or challenge flag]),2)</f>
        <v>#VALUE!</v>
      </c>
    </row>
    <row r="264" customFormat="false" ht="14.5" hidden="false" customHeight="false" outlineLevel="0" collapsed="false">
      <c r="A264" s="20" t="s">
        <v>108</v>
      </c>
      <c r="B264" s="14" t="n">
        <v>44</v>
      </c>
      <c r="C264" s="15" t="n">
        <v>2733</v>
      </c>
      <c r="D264" s="5" t="s">
        <v>113</v>
      </c>
      <c r="E264" s="5" t="s">
        <v>151</v>
      </c>
      <c r="G264" s="16"/>
      <c r="I264" s="16" t="n">
        <v>1</v>
      </c>
      <c r="J264" s="5" t="n">
        <v>1</v>
      </c>
      <c r="K264" s="16" t="n">
        <v>1</v>
      </c>
      <c r="N264" s="5" t="n">
        <v>1</v>
      </c>
      <c r="O264" s="5" t="n">
        <v>1</v>
      </c>
      <c r="P264" s="0"/>
      <c r="Q264" s="0"/>
      <c r="R264" s="5" t="n">
        <v>1</v>
      </c>
      <c r="S264" s="16"/>
      <c r="U264" s="16"/>
      <c r="V264" s="16"/>
      <c r="W264" s="0"/>
      <c r="AD264" s="16" t="n">
        <v>1</v>
      </c>
      <c r="AE264" s="5"/>
      <c r="AF264" s="16"/>
      <c r="AG264" s="16"/>
      <c r="AH264" s="16"/>
      <c r="AJ264" s="16"/>
      <c r="AL264" s="16"/>
      <c r="AN264" s="16" t="n">
        <v>2</v>
      </c>
      <c r="AP264" s="16"/>
      <c r="AR264" s="16"/>
      <c r="AS264" s="5" t="n">
        <v>1</v>
      </c>
      <c r="AT264" s="16"/>
      <c r="AU264" s="16"/>
      <c r="AV264" s="16"/>
      <c r="AW264" s="16" t="n">
        <v>1</v>
      </c>
      <c r="AX264" s="16"/>
      <c r="AY264" s="16"/>
      <c r="AZ264" s="16"/>
      <c r="BB264" s="16" t="n">
        <v>1</v>
      </c>
      <c r="BC264" s="16" t="e">
        <f aca="false">MatchData[cheval scored crossings]*5</f>
        <v>#VALUE!</v>
      </c>
      <c r="BD264" s="16" t="e">
        <f aca="false">MatchData[moat scored crosings]*5</f>
        <v>#VALUE!</v>
      </c>
      <c r="BE264" s="16" t="e">
        <f aca="false">MatchData[ramparts scored crossings]*5</f>
        <v>#VALUE!</v>
      </c>
      <c r="BF264" s="16" t="e">
        <f aca="false">MatchData[drawbridge scored crossings]*5</f>
        <v>#VALUE!</v>
      </c>
      <c r="BG264" s="16" t="e">
        <f aca="false">MatchData[sally port scored crossings]*5</f>
        <v>#VALUE!</v>
      </c>
      <c r="BH264" s="16" t="e">
        <f aca="false">MatchData[rock wall scored crossings]*5</f>
        <v>#VALUE!</v>
      </c>
      <c r="BI264" s="16" t="e">
        <f aca="false">MatchData[rough terrain scored crossings]*5</f>
        <v>#VALUE!</v>
      </c>
      <c r="BJ264" s="16" t="e">
        <f aca="false">MatchData[low bar scored crossings]*5</f>
        <v>#VALUE!</v>
      </c>
      <c r="BK264" s="16" t="e">
        <f aca="false">SUM(MatchData[[#this row],[low bar teleop crossings]:[rough terrain scored crossings]])</f>
        <v>#VALUE!</v>
      </c>
      <c r="BL264" s="16" t="e">
        <f aca="false">IFERROR(IF(OR(MatchData[[#this row],[challenge flag]],MatchData[[#this row],[climb flag]]),1,0),0)</f>
        <v>#VALUE!</v>
      </c>
      <c r="BM264" s="16" t="e">
        <f aca="false">MatchData[auto high goals]*10+MatchData[teleop high goals]*5</f>
        <v>#VALUE!</v>
      </c>
      <c r="BN264" s="16" t="e">
        <f aca="false">MatchData[auto low goals]*5+MatchData[teleop low goals]*2</f>
        <v>#VALUE!</v>
      </c>
      <c r="BO264" s="16" t="e">
        <f aca="false">MatchData[high goal score]+MatchData[low goal score]</f>
        <v>#VALUE!</v>
      </c>
      <c r="BP264" s="16" t="e">
        <f aca="false">MatchData[teleop high goals]+MatchData[teleop low goals]</f>
        <v>#VALUE!</v>
      </c>
      <c r="BQ264" s="16" t="e">
        <f aca="false">MatchData[[#this row],[auto reach flag]]*2+SUM(MatchData[[#this row],[portcullis auto crossings]:[low bar auto crossings]])*10+MatchData[[#this row],[auto low goals]]*5+MatchData[auto high goals]*10</f>
        <v>#VALUE!</v>
      </c>
      <c r="BR264" s="16" t="e">
        <f aca="false">SUM(MatchData[[#this row],[cheval teleop crossing score]:[low bar teleop crossing score]])</f>
        <v>#VALUE!</v>
      </c>
      <c r="BS264" s="16" t="e">
        <f aca="false">SUMIF(MatchData[team],MatchData[[#this row],[team]],MatchData[total auto score])/MatchData[match count]</f>
        <v>#VALUE!</v>
      </c>
      <c r="BT264" s="16" t="e">
        <f aca="false">MatchData[challenge flag]*5</f>
        <v>#VALUE!</v>
      </c>
      <c r="BU264" s="16" t="e">
        <f aca="false">MatchData[climb flag]*15</f>
        <v>#VALUE!</v>
      </c>
      <c r="BV264" s="16" t="e">
        <f aca="false">SUM(MatchData[[#this row],[total goal score]],MatchData[[#this row],[crossing score]],MatchData[[#this row],[challenge score]],MatchData[[#this row],[climb score]],MatchData[[#this row],[total auto score]])</f>
        <v>#VALUE!</v>
      </c>
      <c r="BW264" s="16" t="e">
        <f aca="false">ROUND(SUMIF(MatchData[team],MatchData[[#this row],[team]],MatchData[teleop low goals])/COUNTIF(MatchData[team],MatchData[[#this row],[team]]),2)</f>
        <v>#VALUE!</v>
      </c>
      <c r="BX264" s="16" t="e">
        <f aca="false">ROUND(SUMIF(MatchData[team],MatchData[[#this row],[team]],MatchData[teleop high goals])/COUNTIF(MatchData[team],MatchData[[#this row],[team]]),2)</f>
        <v>#VALUE!</v>
      </c>
      <c r="BY264" s="16" t="e">
        <f aca="false">COUNTIF(MatchData[team],MatchData[[#this row],[team]])</f>
        <v>#VALUE!</v>
      </c>
      <c r="BZ264" s="16" t="e">
        <f aca="false">SUMIF(MatchData[team],MatchData[[#this row],[team]],MatchData[portcullis available])</f>
        <v>#VALUE!</v>
      </c>
      <c r="CA264" s="16" t="e">
        <f aca="false">SUMIF(MatchData[team],MatchData[[#this row],[team]],MatchData[cheval available])</f>
        <v>#VALUE!</v>
      </c>
      <c r="CB264" s="16" t="e">
        <f aca="false">SUMIF(MatchData[team],MatchData[[#this row],[team]],MatchData[moat available])</f>
        <v>#VALUE!</v>
      </c>
      <c r="CC264" s="16" t="e">
        <f aca="false">SUMIF(MatchData[team],MatchData[[#this row],[team]],MatchData[ramparts available])</f>
        <v>#VALUE!</v>
      </c>
      <c r="CD264" s="16" t="e">
        <f aca="false">SUMIF(MatchData[team],MatchData[[#this row],[team]],MatchData[drawbridge available])</f>
        <v>#VALUE!</v>
      </c>
      <c r="CE264" s="16" t="e">
        <f aca="false">SUMIF(MatchData[team],MatchData[[#this row],[team]],MatchData[sally port available])</f>
        <v>#VALUE!</v>
      </c>
      <c r="CF264" s="16" t="e">
        <f aca="false">SUMIF(MatchData[team],MatchData[[#this row],[team]],MatchData[rock wall available])</f>
        <v>#VALUE!</v>
      </c>
      <c r="CG264" s="16" t="e">
        <f aca="false">SUMIF(MatchData[team],MatchData[[#this row],[team]],MatchData[rough terrain available])</f>
        <v>#VALUE!</v>
      </c>
      <c r="CH264" s="16" t="e">
        <f aca="false">SUMIF(MatchData[team],MatchData[[#this row],[team]],MatchData[low bar available])</f>
        <v>#VALUE!</v>
      </c>
      <c r="CI264" s="16" t="e">
        <f aca="false">SUMIF(MatchData[team],MatchData[[#this row],[team]],MatchData[portcullis teleop crossings]:MatchData[portcullis scored crossings])</f>
        <v>#VALUE!</v>
      </c>
      <c r="CJ264" s="16" t="e">
        <f aca="false">SUMIF(MatchData[team],MatchData[[#this row],[team]],MatchData[cheval teleop crossings])+SUMIF(MatchData[team],MatchData[[#this row],[team]],MatchData[cheval scored crossings])</f>
        <v>#VALUE!</v>
      </c>
      <c r="CK264" s="16" t="e">
        <f aca="false">SUMIF(MatchData[team],MatchData[[#this row],[team]],MatchData[moat teleop crossings])+SUMIF(MatchData[team],MatchData[[#this row],[team]],MatchData[moat scored crosings])</f>
        <v>#VALUE!</v>
      </c>
      <c r="CL264" s="16" t="e">
        <f aca="false">SUMIF(MatchData[team],MatchData[[#this row],[team]],MatchData[ramparts teleop crossings])+SUMIF(MatchData[team],MatchData[[#this row],[team]],MatchData[ramparts scored crossings])</f>
        <v>#VALUE!</v>
      </c>
      <c r="CM264" s="16" t="e">
        <f aca="false">SUMIF(MatchData[team],MatchData[[#this row],[team]],MatchData[drawbridge teleop crossings])+SUMIF(MatchData[team],MatchData[[#this row],[team]],MatchData[drawbridge scored crossings])</f>
        <v>#VALUE!</v>
      </c>
      <c r="CN264" s="16" t="e">
        <f aca="false">SUMIF(MatchData[team],MatchData[[#this row],[team]],MatchData[sally port teleop crossings])+SUMIF(MatchData[team],MatchData[[#this row],[team]],MatchData[sally port scored crossings])</f>
        <v>#VALUE!</v>
      </c>
      <c r="CO264" s="16" t="e">
        <f aca="false">SUMIF(MatchData[team],MatchData[[#this row],[team]],MatchData[rock wall teleop crossings])+SUMIF(MatchData[team],MatchData[[#this row],[team]],MatchData[rock wall scored crossings])</f>
        <v>#VALUE!</v>
      </c>
      <c r="CP264" s="16" t="e">
        <f aca="false">SUMIF(MatchData[team],MatchData[[#this row],[team]],MatchData[rough terrain teleop crossings])+SUMIF(MatchData[team],MatchData[[#this row],[team]],MatchData[rough terrain scored crossings])</f>
        <v>#VALUE!</v>
      </c>
      <c r="CQ264" s="16" t="e">
        <f aca="false">SUMIF(MatchData[team],MatchData[[#this row],[team]],MatchData[low bar teleop crossings])+SUMIF(MatchData[team],MatchData[[#this row],[team]],MatchData[low bar scored crossings])</f>
        <v>#VALUE!</v>
      </c>
      <c r="CR264" s="16" t="e">
        <f aca="false">IFERROR(ROUND(MatchData[[#this row],[portcullis sum]]/MatchData[[#this row],[portcullis avail count]],2),0)</f>
        <v>#VALUE!</v>
      </c>
      <c r="CS264" s="16" t="e">
        <f aca="false">IFERROR(ROUND(MatchData[[#this row],[cheval sum]]/MatchData[[#this row],[cheval avail count]],2),0)</f>
        <v>#VALUE!</v>
      </c>
      <c r="CT264" s="16" t="e">
        <f aca="false">IFERROR(ROUND(MatchData[[#this row],[moat sum]]/MatchData[[#this row],[moat avail count]],2),0)</f>
        <v>#VALUE!</v>
      </c>
      <c r="CU264" s="16" t="e">
        <f aca="false">IFERROR(ROUND(MatchData[[#this row],[ramparts sum]]/MatchData[[#this row],[ramparts avail count]],2),0)</f>
        <v>#VALUE!</v>
      </c>
      <c r="CV264" s="16" t="e">
        <f aca="false">IFERROR(ROUND(MatchData[[#this row],[drawbridge sum]]/MatchData[[#this row],[drawbridge avail countigh6]],2),0)</f>
        <v>#VALUE!</v>
      </c>
      <c r="CW264" s="16" t="e">
        <f aca="false">IFERROR(ROUND(MatchData[[#this row],[sally port sum]]/MatchData[[#this row],[sally port avail count]],2),0)</f>
        <v>#VALUE!</v>
      </c>
      <c r="CX264" s="5" t="e">
        <f aca="false">IFERROR(ROUND(MatchData[[#this row],[rock wall sum]]/MatchData[[#this row],[rock wall avail count]],2),0)</f>
        <v>#VALUE!</v>
      </c>
      <c r="CY264" s="5" t="e">
        <f aca="false">IFERROR(ROUND(MatchData[[#this row],[rough terrain sum]]/MatchData[[#this row],[rough terrain avail count]],2),0)</f>
        <v>#VALUE!</v>
      </c>
      <c r="CZ264" s="5" t="e">
        <f aca="false">IFERROR(ROUND(MatchData[[#this row],[low bar sum]]/MatchData[[#this row],[low bar avail count]],2),0)</f>
        <v>#VALUE!</v>
      </c>
      <c r="DA264" s="16" t="e">
        <f aca="false">SUM(MatchData[[#this row],[cheval sum]:[low bar sum]])/MatchData[match count]</f>
        <v>#VALUE!</v>
      </c>
      <c r="DB264" s="16" t="n">
        <f aca="false">MAX(IF(C$2:C$74=C264,BP$2:BP$74))</f>
        <v>-1.79769313486232E+308</v>
      </c>
      <c r="DC264" s="16" t="e">
        <f aca="false">AVERAGEIF(MatchData[team],MatchData[[#this row],[team]],MatchData[total score])</f>
        <v>#VALUE!</v>
      </c>
      <c r="DD264" s="16" t="e">
        <f aca="false">ROUND(AVERAGEIF(MatchData[team],MatchData[team],MatchData[climb or challenge flag]),2)</f>
        <v>#VALUE!</v>
      </c>
    </row>
    <row r="265" customFormat="false" ht="14.5" hidden="false" customHeight="false" outlineLevel="0" collapsed="false">
      <c r="A265" s="20" t="s">
        <v>108</v>
      </c>
      <c r="B265" s="18" t="n">
        <v>44</v>
      </c>
      <c r="C265" s="15" t="n">
        <v>3812</v>
      </c>
      <c r="D265" s="5" t="s">
        <v>113</v>
      </c>
      <c r="E265" s="5" t="s">
        <v>124</v>
      </c>
      <c r="G265" s="16"/>
      <c r="I265" s="16"/>
      <c r="J265" s="5" t="n">
        <v>1</v>
      </c>
      <c r="K265" s="16" t="n">
        <v>1</v>
      </c>
      <c r="N265" s="5" t="n">
        <v>1</v>
      </c>
      <c r="O265" s="5" t="n">
        <v>1</v>
      </c>
      <c r="P265" s="0"/>
      <c r="Q265" s="0"/>
      <c r="R265" s="5" t="n">
        <v>1</v>
      </c>
      <c r="S265" s="16" t="n">
        <v>1</v>
      </c>
      <c r="U265" s="16"/>
      <c r="V265" s="16"/>
      <c r="W265" s="0"/>
      <c r="AD265" s="16"/>
      <c r="AE265" s="5"/>
      <c r="AF265" s="16"/>
      <c r="AG265" s="16"/>
      <c r="AH265" s="16"/>
      <c r="AJ265" s="16"/>
      <c r="AL265" s="16" t="n">
        <v>2</v>
      </c>
      <c r="AM265" s="5" t="n">
        <v>1</v>
      </c>
      <c r="AN265" s="16" t="n">
        <v>1</v>
      </c>
      <c r="AP265" s="16"/>
      <c r="AR265" s="16"/>
      <c r="AT265" s="16" t="n">
        <v>1</v>
      </c>
      <c r="AU265" s="16" t="n">
        <v>1</v>
      </c>
      <c r="AV265" s="16" t="n">
        <v>1</v>
      </c>
      <c r="AW265" s="16" t="n">
        <v>1</v>
      </c>
      <c r="AX265" s="16"/>
      <c r="AY265" s="16"/>
      <c r="AZ265" s="16"/>
      <c r="BB265" s="16" t="n">
        <v>1</v>
      </c>
      <c r="BC265" s="16" t="e">
        <f aca="false">MatchData[cheval scored crossings]*5</f>
        <v>#VALUE!</v>
      </c>
      <c r="BD265" s="16" t="e">
        <f aca="false">MatchData[moat scored crosings]*5</f>
        <v>#VALUE!</v>
      </c>
      <c r="BE265" s="16" t="e">
        <f aca="false">MatchData[ramparts scored crossings]*5</f>
        <v>#VALUE!</v>
      </c>
      <c r="BF265" s="16" t="e">
        <f aca="false">MatchData[drawbridge scored crossings]*5</f>
        <v>#VALUE!</v>
      </c>
      <c r="BG265" s="16" t="e">
        <f aca="false">MatchData[sally port scored crossings]*5</f>
        <v>#VALUE!</v>
      </c>
      <c r="BH265" s="16" t="e">
        <f aca="false">MatchData[rock wall scored crossings]*5</f>
        <v>#VALUE!</v>
      </c>
      <c r="BI265" s="16" t="e">
        <f aca="false">MatchData[rough terrain scored crossings]*5</f>
        <v>#VALUE!</v>
      </c>
      <c r="BJ265" s="16" t="e">
        <f aca="false">MatchData[low bar scored crossings]*5</f>
        <v>#VALUE!</v>
      </c>
      <c r="BK265" s="16" t="e">
        <f aca="false">SUM(MatchData[[#this row],[low bar teleop crossings]:[rough terrain scored crossings]])</f>
        <v>#VALUE!</v>
      </c>
      <c r="BL265" s="16" t="e">
        <f aca="false">IFERROR(IF(OR(MatchData[[#this row],[challenge flag]],MatchData[[#this row],[climb flag]]),1,0),0)</f>
        <v>#VALUE!</v>
      </c>
      <c r="BM265" s="16" t="e">
        <f aca="false">MatchData[auto high goals]*10+MatchData[teleop high goals]*5</f>
        <v>#VALUE!</v>
      </c>
      <c r="BN265" s="16" t="e">
        <f aca="false">MatchData[auto low goals]*5+MatchData[teleop low goals]*2</f>
        <v>#VALUE!</v>
      </c>
      <c r="BO265" s="16" t="e">
        <f aca="false">MatchData[high goal score]+MatchData[low goal score]</f>
        <v>#VALUE!</v>
      </c>
      <c r="BP265" s="16" t="e">
        <f aca="false">MatchData[teleop high goals]+MatchData[teleop low goals]</f>
        <v>#VALUE!</v>
      </c>
      <c r="BQ265" s="16" t="e">
        <f aca="false">MatchData[[#this row],[auto reach flag]]*2+SUM(MatchData[[#this row],[portcullis auto crossings]:[low bar auto crossings]])*10+MatchData[[#this row],[auto low goals]]*5+MatchData[auto high goals]*10</f>
        <v>#VALUE!</v>
      </c>
      <c r="BR265" s="16" t="e">
        <f aca="false">SUM(MatchData[[#this row],[cheval teleop crossing score]:[low bar teleop crossing score]])</f>
        <v>#VALUE!</v>
      </c>
      <c r="BS265" s="16" t="e">
        <f aca="false">SUMIF(MatchData[team],MatchData[[#this row],[team]],MatchData[total auto score])/MatchData[match count]</f>
        <v>#VALUE!</v>
      </c>
      <c r="BT265" s="16" t="e">
        <f aca="false">MatchData[challenge flag]*5</f>
        <v>#VALUE!</v>
      </c>
      <c r="BU265" s="16" t="e">
        <f aca="false">MatchData[climb flag]*15</f>
        <v>#VALUE!</v>
      </c>
      <c r="BV265" s="16" t="e">
        <f aca="false">SUM(MatchData[[#this row],[total goal score]],MatchData[[#this row],[crossing score]],MatchData[[#this row],[challenge score]],MatchData[[#this row],[climb score]],MatchData[[#this row],[total auto score]])</f>
        <v>#VALUE!</v>
      </c>
      <c r="BW265" s="16" t="e">
        <f aca="false">ROUND(SUMIF(MatchData[team],MatchData[[#this row],[team]],MatchData[teleop low goals])/COUNTIF(MatchData[team],MatchData[[#this row],[team]]),2)</f>
        <v>#VALUE!</v>
      </c>
      <c r="BX265" s="16" t="e">
        <f aca="false">ROUND(SUMIF(MatchData[team],MatchData[[#this row],[team]],MatchData[teleop high goals])/COUNTIF(MatchData[team],MatchData[[#this row],[team]]),2)</f>
        <v>#VALUE!</v>
      </c>
      <c r="BY265" s="16" t="e">
        <f aca="false">COUNTIF(MatchData[team],MatchData[[#this row],[team]])</f>
        <v>#VALUE!</v>
      </c>
      <c r="BZ265" s="16" t="e">
        <f aca="false">SUMIF(MatchData[team],MatchData[[#this row],[team]],MatchData[portcullis available])</f>
        <v>#VALUE!</v>
      </c>
      <c r="CA265" s="16" t="e">
        <f aca="false">SUMIF(MatchData[team],MatchData[[#this row],[team]],MatchData[cheval available])</f>
        <v>#VALUE!</v>
      </c>
      <c r="CB265" s="16" t="e">
        <f aca="false">SUMIF(MatchData[team],MatchData[[#this row],[team]],MatchData[moat available])</f>
        <v>#VALUE!</v>
      </c>
      <c r="CC265" s="16" t="e">
        <f aca="false">SUMIF(MatchData[team],MatchData[[#this row],[team]],MatchData[ramparts available])</f>
        <v>#VALUE!</v>
      </c>
      <c r="CD265" s="16" t="e">
        <f aca="false">SUMIF(MatchData[team],MatchData[[#this row],[team]],MatchData[drawbridge available])</f>
        <v>#VALUE!</v>
      </c>
      <c r="CE265" s="16" t="e">
        <f aca="false">SUMIF(MatchData[team],MatchData[[#this row],[team]],MatchData[sally port available])</f>
        <v>#VALUE!</v>
      </c>
      <c r="CF265" s="16" t="e">
        <f aca="false">SUMIF(MatchData[team],MatchData[[#this row],[team]],MatchData[rock wall available])</f>
        <v>#VALUE!</v>
      </c>
      <c r="CG265" s="16" t="e">
        <f aca="false">SUMIF(MatchData[team],MatchData[[#this row],[team]],MatchData[rough terrain available])</f>
        <v>#VALUE!</v>
      </c>
      <c r="CH265" s="16" t="e">
        <f aca="false">SUMIF(MatchData[team],MatchData[[#this row],[team]],MatchData[low bar available])</f>
        <v>#VALUE!</v>
      </c>
      <c r="CI265" s="16" t="e">
        <f aca="false">SUMIF(MatchData[team],MatchData[[#this row],[team]],MatchData[portcullis teleop crossings]:MatchData[portcullis scored crossings])</f>
        <v>#VALUE!</v>
      </c>
      <c r="CJ265" s="16" t="e">
        <f aca="false">SUMIF(MatchData[team],MatchData[[#this row],[team]],MatchData[cheval teleop crossings])+SUMIF(MatchData[team],MatchData[[#this row],[team]],MatchData[cheval scored crossings])</f>
        <v>#VALUE!</v>
      </c>
      <c r="CK265" s="16" t="e">
        <f aca="false">SUMIF(MatchData[team],MatchData[[#this row],[team]],MatchData[moat teleop crossings])+SUMIF(MatchData[team],MatchData[[#this row],[team]],MatchData[moat scored crosings])</f>
        <v>#VALUE!</v>
      </c>
      <c r="CL265" s="16" t="e">
        <f aca="false">SUMIF(MatchData[team],MatchData[[#this row],[team]],MatchData[ramparts teleop crossings])+SUMIF(MatchData[team],MatchData[[#this row],[team]],MatchData[ramparts scored crossings])</f>
        <v>#VALUE!</v>
      </c>
      <c r="CM265" s="16" t="e">
        <f aca="false">SUMIF(MatchData[team],MatchData[[#this row],[team]],MatchData[drawbridge teleop crossings])+SUMIF(MatchData[team],MatchData[[#this row],[team]],MatchData[drawbridge scored crossings])</f>
        <v>#VALUE!</v>
      </c>
      <c r="CN265" s="16" t="e">
        <f aca="false">SUMIF(MatchData[team],MatchData[[#this row],[team]],MatchData[sally port teleop crossings])+SUMIF(MatchData[team],MatchData[[#this row],[team]],MatchData[sally port scored crossings])</f>
        <v>#VALUE!</v>
      </c>
      <c r="CO265" s="16" t="e">
        <f aca="false">SUMIF(MatchData[team],MatchData[[#this row],[team]],MatchData[rock wall teleop crossings])+SUMIF(MatchData[team],MatchData[[#this row],[team]],MatchData[rock wall scored crossings])</f>
        <v>#VALUE!</v>
      </c>
      <c r="CP265" s="16" t="e">
        <f aca="false">SUMIF(MatchData[team],MatchData[[#this row],[team]],MatchData[rough terrain teleop crossings])+SUMIF(MatchData[team],MatchData[[#this row],[team]],MatchData[rough terrain scored crossings])</f>
        <v>#VALUE!</v>
      </c>
      <c r="CQ265" s="16" t="e">
        <f aca="false">SUMIF(MatchData[team],MatchData[[#this row],[team]],MatchData[low bar teleop crossings])+SUMIF(MatchData[team],MatchData[[#this row],[team]],MatchData[low bar scored crossings])</f>
        <v>#VALUE!</v>
      </c>
      <c r="CR265" s="16" t="e">
        <f aca="false">IFERROR(ROUND(MatchData[[#this row],[portcullis sum]]/MatchData[[#this row],[portcullis avail count]],2),0)</f>
        <v>#VALUE!</v>
      </c>
      <c r="CS265" s="16" t="e">
        <f aca="false">IFERROR(ROUND(MatchData[[#this row],[cheval sum]]/MatchData[[#this row],[cheval avail count]],2),0)</f>
        <v>#VALUE!</v>
      </c>
      <c r="CT265" s="16" t="e">
        <f aca="false">IFERROR(ROUND(MatchData[[#this row],[moat sum]]/MatchData[[#this row],[moat avail count]],2),0)</f>
        <v>#VALUE!</v>
      </c>
      <c r="CU265" s="16" t="e">
        <f aca="false">IFERROR(ROUND(MatchData[[#this row],[ramparts sum]]/MatchData[[#this row],[ramparts avail count]],2),0)</f>
        <v>#VALUE!</v>
      </c>
      <c r="CV265" s="16" t="e">
        <f aca="false">IFERROR(ROUND(MatchData[[#this row],[drawbridge sum]]/MatchData[[#this row],[drawbridge avail countigh6]],2),0)</f>
        <v>#VALUE!</v>
      </c>
      <c r="CW265" s="16" t="e">
        <f aca="false">IFERROR(ROUND(MatchData[[#this row],[sally port sum]]/MatchData[[#this row],[sally port avail count]],2),0)</f>
        <v>#VALUE!</v>
      </c>
      <c r="CX265" s="5" t="e">
        <f aca="false">IFERROR(ROUND(MatchData[[#this row],[rock wall sum]]/MatchData[[#this row],[rock wall avail count]],2),0)</f>
        <v>#VALUE!</v>
      </c>
      <c r="CY265" s="5" t="e">
        <f aca="false">IFERROR(ROUND(MatchData[[#this row],[rough terrain sum]]/MatchData[[#this row],[rough terrain avail count]],2),0)</f>
        <v>#VALUE!</v>
      </c>
      <c r="CZ265" s="5" t="e">
        <f aca="false">IFERROR(ROUND(MatchData[[#this row],[low bar sum]]/MatchData[[#this row],[low bar avail count]],2),0)</f>
        <v>#VALUE!</v>
      </c>
      <c r="DA265" s="16" t="e">
        <f aca="false">SUM(MatchData[[#this row],[cheval sum]:[low bar sum]])/MatchData[match count]</f>
        <v>#VALUE!</v>
      </c>
      <c r="DB265" s="16" t="n">
        <f aca="false">MAX(IF(C$2:C$74=C265,BP$2:BP$74))</f>
        <v>-1.79769313486232E+308</v>
      </c>
      <c r="DC265" s="16" t="e">
        <f aca="false">AVERAGEIF(MatchData[team],MatchData[[#this row],[team]],MatchData[total score])</f>
        <v>#VALUE!</v>
      </c>
      <c r="DD265" s="16" t="e">
        <f aca="false">ROUND(AVERAGEIF(MatchData[team],MatchData[team],MatchData[climb or challenge flag]),2)</f>
        <v>#VALUE!</v>
      </c>
    </row>
    <row r="266" customFormat="false" ht="14.5" hidden="false" customHeight="false" outlineLevel="0" collapsed="false">
      <c r="A266" s="20" t="s">
        <v>108</v>
      </c>
      <c r="B266" s="18" t="n">
        <v>45</v>
      </c>
      <c r="C266" s="15" t="n">
        <v>4110</v>
      </c>
      <c r="D266" s="5" t="s">
        <v>109</v>
      </c>
      <c r="E266" s="5" t="s">
        <v>152</v>
      </c>
      <c r="G266" s="16"/>
      <c r="I266" s="16"/>
      <c r="J266" s="5" t="n">
        <v>1</v>
      </c>
      <c r="K266" s="16" t="n">
        <v>1</v>
      </c>
      <c r="N266" s="5" t="n">
        <v>1</v>
      </c>
      <c r="O266" s="0"/>
      <c r="P266" s="5" t="n">
        <v>1</v>
      </c>
      <c r="Q266" s="0"/>
      <c r="R266" s="5" t="n">
        <v>1</v>
      </c>
      <c r="S266" s="16"/>
      <c r="U266" s="16"/>
      <c r="V266" s="16"/>
      <c r="W266" s="0"/>
      <c r="AD266" s="16"/>
      <c r="AE266" s="5"/>
      <c r="AF266" s="16" t="n">
        <v>1</v>
      </c>
      <c r="AG266" s="16"/>
      <c r="AH266" s="16"/>
      <c r="AJ266" s="16"/>
      <c r="AL266" s="16" t="n">
        <v>2</v>
      </c>
      <c r="AN266" s="16"/>
      <c r="AP266" s="16"/>
      <c r="AR266" s="16"/>
      <c r="AT266" s="16" t="n">
        <v>2</v>
      </c>
      <c r="AU266" s="16" t="n">
        <v>1</v>
      </c>
      <c r="AV266" s="16"/>
      <c r="AW266" s="16" t="n">
        <v>1</v>
      </c>
      <c r="AX266" s="16"/>
      <c r="AY266" s="16"/>
      <c r="AZ266" s="16"/>
      <c r="BB266" s="16" t="n">
        <v>1</v>
      </c>
      <c r="BC266" s="16" t="e">
        <f aca="false">MatchData[cheval scored crossings]*5</f>
        <v>#VALUE!</v>
      </c>
      <c r="BD266" s="16" t="e">
        <f aca="false">MatchData[moat scored crosings]*5</f>
        <v>#VALUE!</v>
      </c>
      <c r="BE266" s="16" t="e">
        <f aca="false">MatchData[ramparts scored crossings]*5</f>
        <v>#VALUE!</v>
      </c>
      <c r="BF266" s="16" t="e">
        <f aca="false">MatchData[drawbridge scored crossings]*5</f>
        <v>#VALUE!</v>
      </c>
      <c r="BG266" s="16" t="e">
        <f aca="false">MatchData[sally port scored crossings]*5</f>
        <v>#VALUE!</v>
      </c>
      <c r="BH266" s="16" t="e">
        <f aca="false">MatchData[rock wall scored crossings]*5</f>
        <v>#VALUE!</v>
      </c>
      <c r="BI266" s="16" t="e">
        <f aca="false">MatchData[rough terrain scored crossings]*5</f>
        <v>#VALUE!</v>
      </c>
      <c r="BJ266" s="16" t="e">
        <f aca="false">MatchData[low bar scored crossings]*5</f>
        <v>#VALUE!</v>
      </c>
      <c r="BK266" s="16" t="e">
        <f aca="false">SUM(MatchData[[#this row],[low bar teleop crossings]:[rough terrain scored crossings]])</f>
        <v>#VALUE!</v>
      </c>
      <c r="BL266" s="16" t="e">
        <f aca="false">IFERROR(IF(OR(MatchData[[#this row],[challenge flag]],MatchData[[#this row],[climb flag]]),1,0),0)</f>
        <v>#VALUE!</v>
      </c>
      <c r="BM266" s="16" t="e">
        <f aca="false">MatchData[auto high goals]*10+MatchData[teleop high goals]*5</f>
        <v>#VALUE!</v>
      </c>
      <c r="BN266" s="16" t="e">
        <f aca="false">MatchData[auto low goals]*5+MatchData[teleop low goals]*2</f>
        <v>#VALUE!</v>
      </c>
      <c r="BO266" s="16" t="e">
        <f aca="false">MatchData[high goal score]+MatchData[low goal score]</f>
        <v>#VALUE!</v>
      </c>
      <c r="BP266" s="16" t="e">
        <f aca="false">MatchData[teleop high goals]+MatchData[teleop low goals]</f>
        <v>#VALUE!</v>
      </c>
      <c r="BQ266" s="16" t="e">
        <f aca="false">MatchData[[#this row],[auto reach flag]]*2+SUM(MatchData[[#this row],[portcullis auto crossings]:[low bar auto crossings]])*10+MatchData[[#this row],[auto low goals]]*5+MatchData[auto high goals]*10</f>
        <v>#VALUE!</v>
      </c>
      <c r="BR266" s="16" t="e">
        <f aca="false">SUM(MatchData[[#this row],[cheval teleop crossing score]:[low bar teleop crossing score]])</f>
        <v>#VALUE!</v>
      </c>
      <c r="BS266" s="16" t="e">
        <f aca="false">SUMIF(MatchData[team],MatchData[[#this row],[team]],MatchData[total auto score])/MatchData[match count]</f>
        <v>#VALUE!</v>
      </c>
      <c r="BT266" s="16" t="e">
        <f aca="false">MatchData[challenge flag]*5</f>
        <v>#VALUE!</v>
      </c>
      <c r="BU266" s="16" t="e">
        <f aca="false">MatchData[climb flag]*15</f>
        <v>#VALUE!</v>
      </c>
      <c r="BV266" s="16" t="e">
        <f aca="false">SUM(MatchData[[#this row],[total goal score]],MatchData[[#this row],[crossing score]],MatchData[[#this row],[challenge score]],MatchData[[#this row],[climb score]],MatchData[[#this row],[total auto score]])</f>
        <v>#VALUE!</v>
      </c>
      <c r="BW266" s="16" t="e">
        <f aca="false">ROUND(SUMIF(MatchData[team],MatchData[[#this row],[team]],MatchData[teleop low goals])/COUNTIF(MatchData[team],MatchData[[#this row],[team]]),2)</f>
        <v>#VALUE!</v>
      </c>
      <c r="BX266" s="16" t="e">
        <f aca="false">ROUND(SUMIF(MatchData[team],MatchData[[#this row],[team]],MatchData[teleop high goals])/COUNTIF(MatchData[team],MatchData[[#this row],[team]]),2)</f>
        <v>#VALUE!</v>
      </c>
      <c r="BY266" s="16" t="e">
        <f aca="false">COUNTIF(MatchData[team],MatchData[[#this row],[team]])</f>
        <v>#VALUE!</v>
      </c>
      <c r="BZ266" s="16" t="e">
        <f aca="false">SUMIF(MatchData[team],MatchData[[#this row],[team]],MatchData[portcullis available])</f>
        <v>#VALUE!</v>
      </c>
      <c r="CA266" s="16" t="e">
        <f aca="false">SUMIF(MatchData[team],MatchData[[#this row],[team]],MatchData[cheval available])</f>
        <v>#VALUE!</v>
      </c>
      <c r="CB266" s="16" t="e">
        <f aca="false">SUMIF(MatchData[team],MatchData[[#this row],[team]],MatchData[moat available])</f>
        <v>#VALUE!</v>
      </c>
      <c r="CC266" s="16" t="e">
        <f aca="false">SUMIF(MatchData[team],MatchData[[#this row],[team]],MatchData[ramparts available])</f>
        <v>#VALUE!</v>
      </c>
      <c r="CD266" s="16" t="e">
        <f aca="false">SUMIF(MatchData[team],MatchData[[#this row],[team]],MatchData[drawbridge available])</f>
        <v>#VALUE!</v>
      </c>
      <c r="CE266" s="16" t="e">
        <f aca="false">SUMIF(MatchData[team],MatchData[[#this row],[team]],MatchData[sally port available])</f>
        <v>#VALUE!</v>
      </c>
      <c r="CF266" s="16" t="e">
        <f aca="false">SUMIF(MatchData[team],MatchData[[#this row],[team]],MatchData[rock wall available])</f>
        <v>#VALUE!</v>
      </c>
      <c r="CG266" s="16" t="e">
        <f aca="false">SUMIF(MatchData[team],MatchData[[#this row],[team]],MatchData[rough terrain available])</f>
        <v>#VALUE!</v>
      </c>
      <c r="CH266" s="16" t="e">
        <f aca="false">SUMIF(MatchData[team],MatchData[[#this row],[team]],MatchData[low bar available])</f>
        <v>#VALUE!</v>
      </c>
      <c r="CI266" s="16" t="e">
        <f aca="false">SUMIF(MatchData[team],MatchData[[#this row],[team]],MatchData[portcullis teleop crossings]:MatchData[portcullis scored crossings])</f>
        <v>#VALUE!</v>
      </c>
      <c r="CJ266" s="16" t="e">
        <f aca="false">SUMIF(MatchData[team],MatchData[[#this row],[team]],MatchData[cheval teleop crossings])+SUMIF(MatchData[team],MatchData[[#this row],[team]],MatchData[cheval scored crossings])</f>
        <v>#VALUE!</v>
      </c>
      <c r="CK266" s="16" t="e">
        <f aca="false">SUMIF(MatchData[team],MatchData[[#this row],[team]],MatchData[moat teleop crossings])+SUMIF(MatchData[team],MatchData[[#this row],[team]],MatchData[moat scored crosings])</f>
        <v>#VALUE!</v>
      </c>
      <c r="CL266" s="16" t="e">
        <f aca="false">SUMIF(MatchData[team],MatchData[[#this row],[team]],MatchData[ramparts teleop crossings])+SUMIF(MatchData[team],MatchData[[#this row],[team]],MatchData[ramparts scored crossings])</f>
        <v>#VALUE!</v>
      </c>
      <c r="CM266" s="16" t="e">
        <f aca="false">SUMIF(MatchData[team],MatchData[[#this row],[team]],MatchData[drawbridge teleop crossings])+SUMIF(MatchData[team],MatchData[[#this row],[team]],MatchData[drawbridge scored crossings])</f>
        <v>#VALUE!</v>
      </c>
      <c r="CN266" s="16" t="e">
        <f aca="false">SUMIF(MatchData[team],MatchData[[#this row],[team]],MatchData[sally port teleop crossings])+SUMIF(MatchData[team],MatchData[[#this row],[team]],MatchData[sally port scored crossings])</f>
        <v>#VALUE!</v>
      </c>
      <c r="CO266" s="16" t="e">
        <f aca="false">SUMIF(MatchData[team],MatchData[[#this row],[team]],MatchData[rock wall teleop crossings])+SUMIF(MatchData[team],MatchData[[#this row],[team]],MatchData[rock wall scored crossings])</f>
        <v>#VALUE!</v>
      </c>
      <c r="CP266" s="16" t="e">
        <f aca="false">SUMIF(MatchData[team],MatchData[[#this row],[team]],MatchData[rough terrain teleop crossings])+SUMIF(MatchData[team],MatchData[[#this row],[team]],MatchData[rough terrain scored crossings])</f>
        <v>#VALUE!</v>
      </c>
      <c r="CQ266" s="16" t="e">
        <f aca="false">SUMIF(MatchData[team],MatchData[[#this row],[team]],MatchData[low bar teleop crossings])+SUMIF(MatchData[team],MatchData[[#this row],[team]],MatchData[low bar scored crossings])</f>
        <v>#VALUE!</v>
      </c>
      <c r="CR266" s="16" t="e">
        <f aca="false">IFERROR(ROUND(MatchData[[#this row],[portcullis sum]]/MatchData[[#this row],[portcullis avail count]],2),0)</f>
        <v>#VALUE!</v>
      </c>
      <c r="CS266" s="16" t="e">
        <f aca="false">IFERROR(ROUND(MatchData[[#this row],[cheval sum]]/MatchData[[#this row],[cheval avail count]],2),0)</f>
        <v>#VALUE!</v>
      </c>
      <c r="CT266" s="16" t="e">
        <f aca="false">IFERROR(ROUND(MatchData[[#this row],[moat sum]]/MatchData[[#this row],[moat avail count]],2),0)</f>
        <v>#VALUE!</v>
      </c>
      <c r="CU266" s="16" t="e">
        <f aca="false">IFERROR(ROUND(MatchData[[#this row],[ramparts sum]]/MatchData[[#this row],[ramparts avail count]],2),0)</f>
        <v>#VALUE!</v>
      </c>
      <c r="CV266" s="16" t="e">
        <f aca="false">IFERROR(ROUND(MatchData[[#this row],[drawbridge sum]]/MatchData[[#this row],[drawbridge avail countigh6]],2),0)</f>
        <v>#VALUE!</v>
      </c>
      <c r="CW266" s="16" t="e">
        <f aca="false">IFERROR(ROUND(MatchData[[#this row],[sally port sum]]/MatchData[[#this row],[sally port avail count]],2),0)</f>
        <v>#VALUE!</v>
      </c>
      <c r="CX266" s="5" t="e">
        <f aca="false">IFERROR(ROUND(MatchData[[#this row],[rock wall sum]]/MatchData[[#this row],[rock wall avail count]],2),0)</f>
        <v>#VALUE!</v>
      </c>
      <c r="CY266" s="5" t="e">
        <f aca="false">IFERROR(ROUND(MatchData[[#this row],[rough terrain sum]]/MatchData[[#this row],[rough terrain avail count]],2),0)</f>
        <v>#VALUE!</v>
      </c>
      <c r="CZ266" s="5" t="e">
        <f aca="false">IFERROR(ROUND(MatchData[[#this row],[low bar sum]]/MatchData[[#this row],[low bar avail count]],2),0)</f>
        <v>#VALUE!</v>
      </c>
      <c r="DA266" s="16" t="e">
        <f aca="false">SUM(MatchData[[#this row],[cheval sum]:[low bar sum]])/MatchData[match count]</f>
        <v>#VALUE!</v>
      </c>
      <c r="DB266" s="16" t="n">
        <f aca="false">MAX(IF(C$2:C$74=C266,BP$2:BP$74))</f>
        <v>-1.79769313486232E+308</v>
      </c>
      <c r="DC266" s="16" t="e">
        <f aca="false">AVERAGEIF(MatchData[team],MatchData[[#this row],[team]],MatchData[total score])</f>
        <v>#VALUE!</v>
      </c>
      <c r="DD266" s="16" t="e">
        <f aca="false">ROUND(AVERAGEIF(MatchData[team],MatchData[team],MatchData[climb or challenge flag]),2)</f>
        <v>#VALUE!</v>
      </c>
    </row>
    <row r="267" customFormat="false" ht="14.5" hidden="false" customHeight="false" outlineLevel="0" collapsed="false">
      <c r="A267" s="20" t="s">
        <v>108</v>
      </c>
      <c r="B267" s="14" t="n">
        <v>45</v>
      </c>
      <c r="C267" s="15" t="n">
        <v>5956</v>
      </c>
      <c r="D267" s="5" t="s">
        <v>109</v>
      </c>
      <c r="E267" s="5" t="s">
        <v>151</v>
      </c>
      <c r="G267" s="16"/>
      <c r="I267" s="16"/>
      <c r="J267" s="5" t="n">
        <v>1</v>
      </c>
      <c r="K267" s="16" t="n">
        <v>1</v>
      </c>
      <c r="N267" s="5" t="n">
        <v>1</v>
      </c>
      <c r="O267" s="0"/>
      <c r="P267" s="5" t="n">
        <v>1</v>
      </c>
      <c r="Q267" s="0"/>
      <c r="R267" s="5" t="n">
        <v>1</v>
      </c>
      <c r="S267" s="16"/>
      <c r="U267" s="16"/>
      <c r="V267" s="16"/>
      <c r="W267" s="0"/>
      <c r="AD267" s="16" t="n">
        <v>1</v>
      </c>
      <c r="AE267" s="5"/>
      <c r="AF267" s="16" t="n">
        <v>1</v>
      </c>
      <c r="AG267" s="16"/>
      <c r="AH267" s="16"/>
      <c r="AJ267" s="16"/>
      <c r="AL267" s="16"/>
      <c r="AN267" s="16"/>
      <c r="AP267" s="16"/>
      <c r="AR267" s="16"/>
      <c r="AS267" s="5" t="n">
        <v>1</v>
      </c>
      <c r="AT267" s="16"/>
      <c r="AU267" s="16"/>
      <c r="AV267" s="16"/>
      <c r="AW267" s="16" t="n">
        <v>1</v>
      </c>
      <c r="AX267" s="16"/>
      <c r="AY267" s="16"/>
      <c r="AZ267" s="16"/>
      <c r="BB267" s="16" t="n">
        <v>1</v>
      </c>
      <c r="BC267" s="16" t="e">
        <f aca="false">MatchData[cheval scored crossings]*5</f>
        <v>#VALUE!</v>
      </c>
      <c r="BD267" s="16" t="e">
        <f aca="false">MatchData[moat scored crosings]*5</f>
        <v>#VALUE!</v>
      </c>
      <c r="BE267" s="16" t="e">
        <f aca="false">MatchData[ramparts scored crossings]*5</f>
        <v>#VALUE!</v>
      </c>
      <c r="BF267" s="16" t="e">
        <f aca="false">MatchData[drawbridge scored crossings]*5</f>
        <v>#VALUE!</v>
      </c>
      <c r="BG267" s="16" t="e">
        <f aca="false">MatchData[sally port scored crossings]*5</f>
        <v>#VALUE!</v>
      </c>
      <c r="BH267" s="16" t="e">
        <f aca="false">MatchData[rock wall scored crossings]*5</f>
        <v>#VALUE!</v>
      </c>
      <c r="BI267" s="16" t="e">
        <f aca="false">MatchData[rough terrain scored crossings]*5</f>
        <v>#VALUE!</v>
      </c>
      <c r="BJ267" s="16" t="e">
        <f aca="false">MatchData[low bar scored crossings]*5</f>
        <v>#VALUE!</v>
      </c>
      <c r="BK267" s="16" t="e">
        <f aca="false">SUM(MatchData[[#this row],[low bar teleop crossings]:[rough terrain scored crossings]])</f>
        <v>#VALUE!</v>
      </c>
      <c r="BL267" s="16" t="e">
        <f aca="false">IFERROR(IF(OR(MatchData[[#this row],[challenge flag]],MatchData[[#this row],[climb flag]]),1,0),0)</f>
        <v>#VALUE!</v>
      </c>
      <c r="BM267" s="16" t="e">
        <f aca="false">MatchData[auto high goals]*10+MatchData[teleop high goals]*5</f>
        <v>#VALUE!</v>
      </c>
      <c r="BN267" s="16" t="e">
        <f aca="false">MatchData[auto low goals]*5+MatchData[teleop low goals]*2</f>
        <v>#VALUE!</v>
      </c>
      <c r="BO267" s="16" t="e">
        <f aca="false">MatchData[high goal score]+MatchData[low goal score]</f>
        <v>#VALUE!</v>
      </c>
      <c r="BP267" s="16" t="e">
        <f aca="false">MatchData[teleop high goals]+MatchData[teleop low goals]</f>
        <v>#VALUE!</v>
      </c>
      <c r="BQ267" s="16" t="e">
        <f aca="false">MatchData[[#this row],[auto reach flag]]*2+SUM(MatchData[[#this row],[portcullis auto crossings]:[low bar auto crossings]])*10+MatchData[[#this row],[auto low goals]]*5+MatchData[auto high goals]*10</f>
        <v>#VALUE!</v>
      </c>
      <c r="BR267" s="16" t="e">
        <f aca="false">SUM(MatchData[[#this row],[cheval teleop crossing score]:[low bar teleop crossing score]])</f>
        <v>#VALUE!</v>
      </c>
      <c r="BS267" s="16" t="e">
        <f aca="false">SUMIF(MatchData[team],MatchData[[#this row],[team]],MatchData[total auto score])/MatchData[match count]</f>
        <v>#VALUE!</v>
      </c>
      <c r="BT267" s="16" t="e">
        <f aca="false">MatchData[challenge flag]*5</f>
        <v>#VALUE!</v>
      </c>
      <c r="BU267" s="16" t="e">
        <f aca="false">MatchData[climb flag]*15</f>
        <v>#VALUE!</v>
      </c>
      <c r="BV267" s="16" t="e">
        <f aca="false">SUM(MatchData[[#this row],[total goal score]],MatchData[[#this row],[crossing score]],MatchData[[#this row],[challenge score]],MatchData[[#this row],[climb score]],MatchData[[#this row],[total auto score]])</f>
        <v>#VALUE!</v>
      </c>
      <c r="BW267" s="16" t="e">
        <f aca="false">ROUND(SUMIF(MatchData[team],MatchData[[#this row],[team]],MatchData[teleop low goals])/COUNTIF(MatchData[team],MatchData[[#this row],[team]]),2)</f>
        <v>#VALUE!</v>
      </c>
      <c r="BX267" s="16" t="e">
        <f aca="false">ROUND(SUMIF(MatchData[team],MatchData[[#this row],[team]],MatchData[teleop high goals])/COUNTIF(MatchData[team],MatchData[[#this row],[team]]),2)</f>
        <v>#VALUE!</v>
      </c>
      <c r="BY267" s="16" t="e">
        <f aca="false">COUNTIF(MatchData[team],MatchData[[#this row],[team]])</f>
        <v>#VALUE!</v>
      </c>
      <c r="BZ267" s="16" t="e">
        <f aca="false">SUMIF(MatchData[team],MatchData[[#this row],[team]],MatchData[portcullis available])</f>
        <v>#VALUE!</v>
      </c>
      <c r="CA267" s="16" t="e">
        <f aca="false">SUMIF(MatchData[team],MatchData[[#this row],[team]],MatchData[cheval available])</f>
        <v>#VALUE!</v>
      </c>
      <c r="CB267" s="16" t="e">
        <f aca="false">SUMIF(MatchData[team],MatchData[[#this row],[team]],MatchData[moat available])</f>
        <v>#VALUE!</v>
      </c>
      <c r="CC267" s="16" t="e">
        <f aca="false">SUMIF(MatchData[team],MatchData[[#this row],[team]],MatchData[ramparts available])</f>
        <v>#VALUE!</v>
      </c>
      <c r="CD267" s="16" t="e">
        <f aca="false">SUMIF(MatchData[team],MatchData[[#this row],[team]],MatchData[drawbridge available])</f>
        <v>#VALUE!</v>
      </c>
      <c r="CE267" s="16" t="e">
        <f aca="false">SUMIF(MatchData[team],MatchData[[#this row],[team]],MatchData[sally port available])</f>
        <v>#VALUE!</v>
      </c>
      <c r="CF267" s="16" t="e">
        <f aca="false">SUMIF(MatchData[team],MatchData[[#this row],[team]],MatchData[rock wall available])</f>
        <v>#VALUE!</v>
      </c>
      <c r="CG267" s="16" t="e">
        <f aca="false">SUMIF(MatchData[team],MatchData[[#this row],[team]],MatchData[rough terrain available])</f>
        <v>#VALUE!</v>
      </c>
      <c r="CH267" s="16" t="e">
        <f aca="false">SUMIF(MatchData[team],MatchData[[#this row],[team]],MatchData[low bar available])</f>
        <v>#VALUE!</v>
      </c>
      <c r="CI267" s="16" t="e">
        <f aca="false">SUMIF(MatchData[team],MatchData[[#this row],[team]],MatchData[portcullis teleop crossings]:MatchData[portcullis scored crossings])</f>
        <v>#VALUE!</v>
      </c>
      <c r="CJ267" s="16" t="e">
        <f aca="false">SUMIF(MatchData[team],MatchData[[#this row],[team]],MatchData[cheval teleop crossings])+SUMIF(MatchData[team],MatchData[[#this row],[team]],MatchData[cheval scored crossings])</f>
        <v>#VALUE!</v>
      </c>
      <c r="CK267" s="16" t="e">
        <f aca="false">SUMIF(MatchData[team],MatchData[[#this row],[team]],MatchData[moat teleop crossings])+SUMIF(MatchData[team],MatchData[[#this row],[team]],MatchData[moat scored crosings])</f>
        <v>#VALUE!</v>
      </c>
      <c r="CL267" s="16" t="e">
        <f aca="false">SUMIF(MatchData[team],MatchData[[#this row],[team]],MatchData[ramparts teleop crossings])+SUMIF(MatchData[team],MatchData[[#this row],[team]],MatchData[ramparts scored crossings])</f>
        <v>#VALUE!</v>
      </c>
      <c r="CM267" s="16" t="e">
        <f aca="false">SUMIF(MatchData[team],MatchData[[#this row],[team]],MatchData[drawbridge teleop crossings])+SUMIF(MatchData[team],MatchData[[#this row],[team]],MatchData[drawbridge scored crossings])</f>
        <v>#VALUE!</v>
      </c>
      <c r="CN267" s="16" t="e">
        <f aca="false">SUMIF(MatchData[team],MatchData[[#this row],[team]],MatchData[sally port teleop crossings])+SUMIF(MatchData[team],MatchData[[#this row],[team]],MatchData[sally port scored crossings])</f>
        <v>#VALUE!</v>
      </c>
      <c r="CO267" s="16" t="e">
        <f aca="false">SUMIF(MatchData[team],MatchData[[#this row],[team]],MatchData[rock wall teleop crossings])+SUMIF(MatchData[team],MatchData[[#this row],[team]],MatchData[rock wall scored crossings])</f>
        <v>#VALUE!</v>
      </c>
      <c r="CP267" s="16" t="e">
        <f aca="false">SUMIF(MatchData[team],MatchData[[#this row],[team]],MatchData[rough terrain teleop crossings])+SUMIF(MatchData[team],MatchData[[#this row],[team]],MatchData[rough terrain scored crossings])</f>
        <v>#VALUE!</v>
      </c>
      <c r="CQ267" s="16" t="e">
        <f aca="false">SUMIF(MatchData[team],MatchData[[#this row],[team]],MatchData[low bar teleop crossings])+SUMIF(MatchData[team],MatchData[[#this row],[team]],MatchData[low bar scored crossings])</f>
        <v>#VALUE!</v>
      </c>
      <c r="CR267" s="16" t="e">
        <f aca="false">IFERROR(ROUND(MatchData[[#this row],[portcullis sum]]/MatchData[[#this row],[portcullis avail count]],2),0)</f>
        <v>#VALUE!</v>
      </c>
      <c r="CS267" s="16" t="e">
        <f aca="false">IFERROR(ROUND(MatchData[[#this row],[cheval sum]]/MatchData[[#this row],[cheval avail count]],2),0)</f>
        <v>#VALUE!</v>
      </c>
      <c r="CT267" s="16" t="e">
        <f aca="false">IFERROR(ROUND(MatchData[[#this row],[moat sum]]/MatchData[[#this row],[moat avail count]],2),0)</f>
        <v>#VALUE!</v>
      </c>
      <c r="CU267" s="16" t="e">
        <f aca="false">IFERROR(ROUND(MatchData[[#this row],[ramparts sum]]/MatchData[[#this row],[ramparts avail count]],2),0)</f>
        <v>#VALUE!</v>
      </c>
      <c r="CV267" s="16" t="e">
        <f aca="false">IFERROR(ROUND(MatchData[[#this row],[drawbridge sum]]/MatchData[[#this row],[drawbridge avail countigh6]],2),0)</f>
        <v>#VALUE!</v>
      </c>
      <c r="CW267" s="16" t="e">
        <f aca="false">IFERROR(ROUND(MatchData[[#this row],[sally port sum]]/MatchData[[#this row],[sally port avail count]],2),0)</f>
        <v>#VALUE!</v>
      </c>
      <c r="CX267" s="5" t="e">
        <f aca="false">IFERROR(ROUND(MatchData[[#this row],[rock wall sum]]/MatchData[[#this row],[rock wall avail count]],2),0)</f>
        <v>#VALUE!</v>
      </c>
      <c r="CY267" s="5" t="e">
        <f aca="false">IFERROR(ROUND(MatchData[[#this row],[rough terrain sum]]/MatchData[[#this row],[rough terrain avail count]],2),0)</f>
        <v>#VALUE!</v>
      </c>
      <c r="CZ267" s="5" t="e">
        <f aca="false">IFERROR(ROUND(MatchData[[#this row],[low bar sum]]/MatchData[[#this row],[low bar avail count]],2),0)</f>
        <v>#VALUE!</v>
      </c>
      <c r="DA267" s="16" t="e">
        <f aca="false">SUM(MatchData[[#this row],[cheval sum]:[low bar sum]])/MatchData[match count]</f>
        <v>#VALUE!</v>
      </c>
      <c r="DB267" s="16" t="n">
        <f aca="false">MAX(IF(C$2:C$74=C267,BP$2:BP$74))</f>
        <v>-1.79769313486232E+308</v>
      </c>
      <c r="DC267" s="16" t="e">
        <f aca="false">AVERAGEIF(MatchData[team],MatchData[[#this row],[team]],MatchData[total score])</f>
        <v>#VALUE!</v>
      </c>
      <c r="DD267" s="16" t="e">
        <f aca="false">ROUND(AVERAGEIF(MatchData[team],MatchData[team],MatchData[climb or challenge flag]),2)</f>
        <v>#VALUE!</v>
      </c>
    </row>
    <row r="268" customFormat="false" ht="14.5" hidden="false" customHeight="false" outlineLevel="0" collapsed="false">
      <c r="A268" s="20" t="s">
        <v>108</v>
      </c>
      <c r="B268" s="14" t="n">
        <v>45</v>
      </c>
      <c r="C268" s="15" t="n">
        <v>5970</v>
      </c>
      <c r="D268" s="5" t="s">
        <v>109</v>
      </c>
      <c r="E268" s="5" t="s">
        <v>135</v>
      </c>
      <c r="G268" s="16"/>
      <c r="I268" s="16"/>
      <c r="J268" s="5" t="n">
        <v>1</v>
      </c>
      <c r="K268" s="16"/>
      <c r="N268" s="5" t="n">
        <v>1</v>
      </c>
      <c r="O268" s="5" t="n">
        <v>1</v>
      </c>
      <c r="P268" s="5" t="n">
        <v>1</v>
      </c>
      <c r="Q268" s="0"/>
      <c r="R268" s="5" t="n">
        <v>1</v>
      </c>
      <c r="S268" s="16"/>
      <c r="U268" s="16"/>
      <c r="V268" s="16"/>
      <c r="W268" s="0"/>
      <c r="AB268" s="5" t="n">
        <v>1</v>
      </c>
      <c r="AD268" s="16" t="n">
        <v>2</v>
      </c>
      <c r="AE268" s="5"/>
      <c r="AF268" s="16"/>
      <c r="AG268" s="16"/>
      <c r="AH268" s="16"/>
      <c r="AJ268" s="16"/>
      <c r="AL268" s="16"/>
      <c r="AN268" s="16"/>
      <c r="AP268" s="16"/>
      <c r="AR268" s="16"/>
      <c r="AT268" s="16" t="n">
        <v>2</v>
      </c>
      <c r="AU268" s="16"/>
      <c r="AV268" s="16"/>
      <c r="AW268" s="16" t="n">
        <v>1</v>
      </c>
      <c r="AX268" s="16"/>
      <c r="AY268" s="16" t="n">
        <v>1</v>
      </c>
      <c r="AZ268" s="16"/>
      <c r="BB268" s="16" t="n">
        <v>1</v>
      </c>
      <c r="BC268" s="16" t="e">
        <f aca="false">MatchData[cheval scored crossings]*5</f>
        <v>#VALUE!</v>
      </c>
      <c r="BD268" s="16" t="e">
        <f aca="false">MatchData[moat scored crosings]*5</f>
        <v>#VALUE!</v>
      </c>
      <c r="BE268" s="16" t="e">
        <f aca="false">MatchData[ramparts scored crossings]*5</f>
        <v>#VALUE!</v>
      </c>
      <c r="BF268" s="16" t="e">
        <f aca="false">MatchData[drawbridge scored crossings]*5</f>
        <v>#VALUE!</v>
      </c>
      <c r="BG268" s="16" t="e">
        <f aca="false">MatchData[sally port scored crossings]*5</f>
        <v>#VALUE!</v>
      </c>
      <c r="BH268" s="16" t="e">
        <f aca="false">MatchData[rock wall scored crossings]*5</f>
        <v>#VALUE!</v>
      </c>
      <c r="BI268" s="16" t="e">
        <f aca="false">MatchData[rough terrain scored crossings]*5</f>
        <v>#VALUE!</v>
      </c>
      <c r="BJ268" s="16" t="e">
        <f aca="false">MatchData[low bar scored crossings]*5</f>
        <v>#VALUE!</v>
      </c>
      <c r="BK268" s="16" t="e">
        <f aca="false">SUM(MatchData[[#this row],[low bar teleop crossings]:[rough terrain scored crossings]])</f>
        <v>#VALUE!</v>
      </c>
      <c r="BL268" s="16" t="e">
        <f aca="false">IFERROR(IF(OR(MatchData[[#this row],[challenge flag]],MatchData[[#this row],[climb flag]]),1,0),0)</f>
        <v>#VALUE!</v>
      </c>
      <c r="BM268" s="16" t="e">
        <f aca="false">MatchData[auto high goals]*10+MatchData[teleop high goals]*5</f>
        <v>#VALUE!</v>
      </c>
      <c r="BN268" s="16" t="e">
        <f aca="false">MatchData[auto low goals]*5+MatchData[teleop low goals]*2</f>
        <v>#VALUE!</v>
      </c>
      <c r="BO268" s="16" t="e">
        <f aca="false">MatchData[high goal score]+MatchData[low goal score]</f>
        <v>#VALUE!</v>
      </c>
      <c r="BP268" s="16" t="e">
        <f aca="false">MatchData[teleop high goals]+MatchData[teleop low goals]</f>
        <v>#VALUE!</v>
      </c>
      <c r="BQ268" s="16" t="e">
        <f aca="false">MatchData[[#this row],[auto reach flag]]*2+SUM(MatchData[[#this row],[portcullis auto crossings]:[low bar auto crossings]])*10+MatchData[[#this row],[auto low goals]]*5+MatchData[auto high goals]*10</f>
        <v>#VALUE!</v>
      </c>
      <c r="BR268" s="16" t="e">
        <f aca="false">SUM(MatchData[[#this row],[cheval teleop crossing score]:[low bar teleop crossing score]])</f>
        <v>#VALUE!</v>
      </c>
      <c r="BS268" s="16" t="e">
        <f aca="false">SUMIF(MatchData[team],MatchData[[#this row],[team]],MatchData[total auto score])/MatchData[match count]</f>
        <v>#VALUE!</v>
      </c>
      <c r="BT268" s="16" t="e">
        <f aca="false">MatchData[challenge flag]*5</f>
        <v>#VALUE!</v>
      </c>
      <c r="BU268" s="16" t="e">
        <f aca="false">MatchData[climb flag]*15</f>
        <v>#VALUE!</v>
      </c>
      <c r="BV268" s="16" t="e">
        <f aca="false">SUM(MatchData[[#this row],[total goal score]],MatchData[[#this row],[crossing score]],MatchData[[#this row],[challenge score]],MatchData[[#this row],[climb score]],MatchData[[#this row],[total auto score]])</f>
        <v>#VALUE!</v>
      </c>
      <c r="BW268" s="16" t="e">
        <f aca="false">ROUND(SUMIF(MatchData[team],MatchData[[#this row],[team]],MatchData[teleop low goals])/COUNTIF(MatchData[team],MatchData[[#this row],[team]]),2)</f>
        <v>#VALUE!</v>
      </c>
      <c r="BX268" s="16" t="e">
        <f aca="false">ROUND(SUMIF(MatchData[team],MatchData[[#this row],[team]],MatchData[teleop high goals])/COUNTIF(MatchData[team],MatchData[[#this row],[team]]),2)</f>
        <v>#VALUE!</v>
      </c>
      <c r="BY268" s="16" t="e">
        <f aca="false">COUNTIF(MatchData[team],MatchData[[#this row],[team]])</f>
        <v>#VALUE!</v>
      </c>
      <c r="BZ268" s="16" t="e">
        <f aca="false">SUMIF(MatchData[team],MatchData[[#this row],[team]],MatchData[portcullis available])</f>
        <v>#VALUE!</v>
      </c>
      <c r="CA268" s="16" t="e">
        <f aca="false">SUMIF(MatchData[team],MatchData[[#this row],[team]],MatchData[cheval available])</f>
        <v>#VALUE!</v>
      </c>
      <c r="CB268" s="16" t="e">
        <f aca="false">SUMIF(MatchData[team],MatchData[[#this row],[team]],MatchData[moat available])</f>
        <v>#VALUE!</v>
      </c>
      <c r="CC268" s="16" t="e">
        <f aca="false">SUMIF(MatchData[team],MatchData[[#this row],[team]],MatchData[ramparts available])</f>
        <v>#VALUE!</v>
      </c>
      <c r="CD268" s="16" t="e">
        <f aca="false">SUMIF(MatchData[team],MatchData[[#this row],[team]],MatchData[drawbridge available])</f>
        <v>#VALUE!</v>
      </c>
      <c r="CE268" s="16" t="e">
        <f aca="false">SUMIF(MatchData[team],MatchData[[#this row],[team]],MatchData[sally port available])</f>
        <v>#VALUE!</v>
      </c>
      <c r="CF268" s="16" t="e">
        <f aca="false">SUMIF(MatchData[team],MatchData[[#this row],[team]],MatchData[rock wall available])</f>
        <v>#VALUE!</v>
      </c>
      <c r="CG268" s="16" t="e">
        <f aca="false">SUMIF(MatchData[team],MatchData[[#this row],[team]],MatchData[rough terrain available])</f>
        <v>#VALUE!</v>
      </c>
      <c r="CH268" s="16" t="e">
        <f aca="false">SUMIF(MatchData[team],MatchData[[#this row],[team]],MatchData[low bar available])</f>
        <v>#VALUE!</v>
      </c>
      <c r="CI268" s="16" t="e">
        <f aca="false">SUMIF(MatchData[team],MatchData[[#this row],[team]],MatchData[portcullis teleop crossings]:MatchData[portcullis scored crossings])</f>
        <v>#VALUE!</v>
      </c>
      <c r="CJ268" s="16" t="e">
        <f aca="false">SUMIF(MatchData[team],MatchData[[#this row],[team]],MatchData[cheval teleop crossings])+SUMIF(MatchData[team],MatchData[[#this row],[team]],MatchData[cheval scored crossings])</f>
        <v>#VALUE!</v>
      </c>
      <c r="CK268" s="16" t="e">
        <f aca="false">SUMIF(MatchData[team],MatchData[[#this row],[team]],MatchData[moat teleop crossings])+SUMIF(MatchData[team],MatchData[[#this row],[team]],MatchData[moat scored crosings])</f>
        <v>#VALUE!</v>
      </c>
      <c r="CL268" s="16" t="e">
        <f aca="false">SUMIF(MatchData[team],MatchData[[#this row],[team]],MatchData[ramparts teleop crossings])+SUMIF(MatchData[team],MatchData[[#this row],[team]],MatchData[ramparts scored crossings])</f>
        <v>#VALUE!</v>
      </c>
      <c r="CM268" s="16" t="e">
        <f aca="false">SUMIF(MatchData[team],MatchData[[#this row],[team]],MatchData[drawbridge teleop crossings])+SUMIF(MatchData[team],MatchData[[#this row],[team]],MatchData[drawbridge scored crossings])</f>
        <v>#VALUE!</v>
      </c>
      <c r="CN268" s="16" t="e">
        <f aca="false">SUMIF(MatchData[team],MatchData[[#this row],[team]],MatchData[sally port teleop crossings])+SUMIF(MatchData[team],MatchData[[#this row],[team]],MatchData[sally port scored crossings])</f>
        <v>#VALUE!</v>
      </c>
      <c r="CO268" s="16" t="e">
        <f aca="false">SUMIF(MatchData[team],MatchData[[#this row],[team]],MatchData[rock wall teleop crossings])+SUMIF(MatchData[team],MatchData[[#this row],[team]],MatchData[rock wall scored crossings])</f>
        <v>#VALUE!</v>
      </c>
      <c r="CP268" s="16" t="e">
        <f aca="false">SUMIF(MatchData[team],MatchData[[#this row],[team]],MatchData[rough terrain teleop crossings])+SUMIF(MatchData[team],MatchData[[#this row],[team]],MatchData[rough terrain scored crossings])</f>
        <v>#VALUE!</v>
      </c>
      <c r="CQ268" s="16" t="e">
        <f aca="false">SUMIF(MatchData[team],MatchData[[#this row],[team]],MatchData[low bar teleop crossings])+SUMIF(MatchData[team],MatchData[[#this row],[team]],MatchData[low bar scored crossings])</f>
        <v>#VALUE!</v>
      </c>
      <c r="CR268" s="16" t="e">
        <f aca="false">IFERROR(ROUND(MatchData[[#this row],[portcullis sum]]/MatchData[[#this row],[portcullis avail count]],2),0)</f>
        <v>#VALUE!</v>
      </c>
      <c r="CS268" s="16" t="e">
        <f aca="false">IFERROR(ROUND(MatchData[[#this row],[cheval sum]]/MatchData[[#this row],[cheval avail count]],2),0)</f>
        <v>#VALUE!</v>
      </c>
      <c r="CT268" s="16" t="e">
        <f aca="false">IFERROR(ROUND(MatchData[[#this row],[moat sum]]/MatchData[[#this row],[moat avail count]],2),0)</f>
        <v>#VALUE!</v>
      </c>
      <c r="CU268" s="16" t="e">
        <f aca="false">IFERROR(ROUND(MatchData[[#this row],[ramparts sum]]/MatchData[[#this row],[ramparts avail count]],2),0)</f>
        <v>#VALUE!</v>
      </c>
      <c r="CV268" s="16" t="e">
        <f aca="false">IFERROR(ROUND(MatchData[[#this row],[drawbridge sum]]/MatchData[[#this row],[drawbridge avail countigh6]],2),0)</f>
        <v>#VALUE!</v>
      </c>
      <c r="CW268" s="16" t="e">
        <f aca="false">IFERROR(ROUND(MatchData[[#this row],[sally port sum]]/MatchData[[#this row],[sally port avail count]],2),0)</f>
        <v>#VALUE!</v>
      </c>
      <c r="CX268" s="5" t="e">
        <f aca="false">IFERROR(ROUND(MatchData[[#this row],[rock wall sum]]/MatchData[[#this row],[rock wall avail count]],2),0)</f>
        <v>#VALUE!</v>
      </c>
      <c r="CY268" s="5" t="e">
        <f aca="false">IFERROR(ROUND(MatchData[[#this row],[rough terrain sum]]/MatchData[[#this row],[rough terrain avail count]],2),0)</f>
        <v>#VALUE!</v>
      </c>
      <c r="CZ268" s="5" t="e">
        <f aca="false">IFERROR(ROUND(MatchData[[#this row],[low bar sum]]/MatchData[[#this row],[low bar avail count]],2),0)</f>
        <v>#VALUE!</v>
      </c>
      <c r="DA268" s="16" t="e">
        <f aca="false">SUM(MatchData[[#this row],[cheval sum]:[low bar sum]])/MatchData[match count]</f>
        <v>#VALUE!</v>
      </c>
      <c r="DB268" s="16" t="n">
        <f aca="false">MAX(IF(C$2:C$74=C268,BP$2:BP$74))</f>
        <v>-1.79769313486232E+308</v>
      </c>
      <c r="DC268" s="16" t="e">
        <f aca="false">AVERAGEIF(MatchData[team],MatchData[[#this row],[team]],MatchData[total score])</f>
        <v>#VALUE!</v>
      </c>
      <c r="DD268" s="16" t="e">
        <f aca="false">ROUND(AVERAGEIF(MatchData[team],MatchData[team],MatchData[climb or challenge flag]),2)</f>
        <v>#VALUE!</v>
      </c>
    </row>
    <row r="269" customFormat="false" ht="14.5" hidden="false" customHeight="false" outlineLevel="0" collapsed="false">
      <c r="A269" s="20" t="s">
        <v>108</v>
      </c>
      <c r="B269" s="14" t="n">
        <v>45</v>
      </c>
      <c r="C269" s="15" t="n">
        <v>1425</v>
      </c>
      <c r="D269" s="5" t="s">
        <v>113</v>
      </c>
      <c r="E269" s="5" t="s">
        <v>128</v>
      </c>
      <c r="G269" s="16"/>
      <c r="I269" s="16" t="n">
        <v>2</v>
      </c>
      <c r="J269" s="5" t="n">
        <v>1</v>
      </c>
      <c r="K269" s="16"/>
      <c r="L269" s="5" t="n">
        <v>1</v>
      </c>
      <c r="M269" s="5" t="n">
        <v>1</v>
      </c>
      <c r="N269" s="0"/>
      <c r="O269" s="5" t="n">
        <v>1</v>
      </c>
      <c r="P269" s="0"/>
      <c r="Q269" s="0"/>
      <c r="R269" s="5" t="n">
        <v>1</v>
      </c>
      <c r="S269" s="16"/>
      <c r="U269" s="16"/>
      <c r="V269" s="16" t="n">
        <v>1</v>
      </c>
      <c r="W269" s="0"/>
      <c r="AD269" s="16"/>
      <c r="AE269" s="5"/>
      <c r="AF269" s="16"/>
      <c r="AG269" s="16"/>
      <c r="AH269" s="16" t="n">
        <v>1</v>
      </c>
      <c r="AJ269" s="16" t="n">
        <v>1</v>
      </c>
      <c r="AL269" s="16"/>
      <c r="AN269" s="16"/>
      <c r="AP269" s="16"/>
      <c r="AR269" s="16"/>
      <c r="AS269" s="5" t="n">
        <v>1</v>
      </c>
      <c r="AT269" s="16" t="n">
        <v>2</v>
      </c>
      <c r="AU269" s="16"/>
      <c r="AV269" s="16"/>
      <c r="AW269" s="16"/>
      <c r="AX269" s="16" t="n">
        <v>1</v>
      </c>
      <c r="AY269" s="16"/>
      <c r="AZ269" s="16"/>
      <c r="BB269" s="16" t="n">
        <v>1</v>
      </c>
      <c r="BC269" s="16" t="e">
        <f aca="false">MatchData[cheval scored crossings]*5</f>
        <v>#VALUE!</v>
      </c>
      <c r="BD269" s="16" t="e">
        <f aca="false">MatchData[moat scored crosings]*5</f>
        <v>#VALUE!</v>
      </c>
      <c r="BE269" s="16" t="e">
        <f aca="false">MatchData[ramparts scored crossings]*5</f>
        <v>#VALUE!</v>
      </c>
      <c r="BF269" s="16" t="e">
        <f aca="false">MatchData[drawbridge scored crossings]*5</f>
        <v>#VALUE!</v>
      </c>
      <c r="BG269" s="16" t="e">
        <f aca="false">MatchData[sally port scored crossings]*5</f>
        <v>#VALUE!</v>
      </c>
      <c r="BH269" s="16" t="e">
        <f aca="false">MatchData[rock wall scored crossings]*5</f>
        <v>#VALUE!</v>
      </c>
      <c r="BI269" s="16" t="e">
        <f aca="false">MatchData[rough terrain scored crossings]*5</f>
        <v>#VALUE!</v>
      </c>
      <c r="BJ269" s="16" t="e">
        <f aca="false">MatchData[low bar scored crossings]*5</f>
        <v>#VALUE!</v>
      </c>
      <c r="BK269" s="16" t="e">
        <f aca="false">SUM(MatchData[[#this row],[low bar teleop crossings]:[rough terrain scored crossings]])</f>
        <v>#VALUE!</v>
      </c>
      <c r="BL269" s="16" t="e">
        <f aca="false">IFERROR(IF(OR(MatchData[[#this row],[challenge flag]],MatchData[[#this row],[climb flag]]),1,0),0)</f>
        <v>#VALUE!</v>
      </c>
      <c r="BM269" s="16" t="e">
        <f aca="false">MatchData[auto high goals]*10+MatchData[teleop high goals]*5</f>
        <v>#VALUE!</v>
      </c>
      <c r="BN269" s="16" t="e">
        <f aca="false">MatchData[auto low goals]*5+MatchData[teleop low goals]*2</f>
        <v>#VALUE!</v>
      </c>
      <c r="BO269" s="16" t="e">
        <f aca="false">MatchData[high goal score]+MatchData[low goal score]</f>
        <v>#VALUE!</v>
      </c>
      <c r="BP269" s="16" t="e">
        <f aca="false">MatchData[teleop high goals]+MatchData[teleop low goals]</f>
        <v>#VALUE!</v>
      </c>
      <c r="BQ269" s="16" t="e">
        <f aca="false">MatchData[[#this row],[auto reach flag]]*2+SUM(MatchData[[#this row],[portcullis auto crossings]:[low bar auto crossings]])*10+MatchData[[#this row],[auto low goals]]*5+MatchData[auto high goals]*10</f>
        <v>#VALUE!</v>
      </c>
      <c r="BR269" s="16" t="e">
        <f aca="false">SUM(MatchData[[#this row],[cheval teleop crossing score]:[low bar teleop crossing score]])</f>
        <v>#VALUE!</v>
      </c>
      <c r="BS269" s="16" t="e">
        <f aca="false">SUMIF(MatchData[team],MatchData[[#this row],[team]],MatchData[total auto score])/MatchData[match count]</f>
        <v>#VALUE!</v>
      </c>
      <c r="BT269" s="16" t="e">
        <f aca="false">MatchData[challenge flag]*5</f>
        <v>#VALUE!</v>
      </c>
      <c r="BU269" s="16" t="e">
        <f aca="false">MatchData[climb flag]*15</f>
        <v>#VALUE!</v>
      </c>
      <c r="BV269" s="16" t="e">
        <f aca="false">SUM(MatchData[[#this row],[total goal score]],MatchData[[#this row],[crossing score]],MatchData[[#this row],[challenge score]],MatchData[[#this row],[climb score]],MatchData[[#this row],[total auto score]])</f>
        <v>#VALUE!</v>
      </c>
      <c r="BW269" s="16" t="e">
        <f aca="false">ROUND(SUMIF(MatchData[team],MatchData[[#this row],[team]],MatchData[teleop low goals])/COUNTIF(MatchData[team],MatchData[[#this row],[team]]),2)</f>
        <v>#VALUE!</v>
      </c>
      <c r="BX269" s="16" t="e">
        <f aca="false">ROUND(SUMIF(MatchData[team],MatchData[[#this row],[team]],MatchData[teleop high goals])/COUNTIF(MatchData[team],MatchData[[#this row],[team]]),2)</f>
        <v>#VALUE!</v>
      </c>
      <c r="BY269" s="16" t="e">
        <f aca="false">COUNTIF(MatchData[team],MatchData[[#this row],[team]])</f>
        <v>#VALUE!</v>
      </c>
      <c r="BZ269" s="16" t="e">
        <f aca="false">SUMIF(MatchData[team],MatchData[[#this row],[team]],MatchData[portcullis available])</f>
        <v>#VALUE!</v>
      </c>
      <c r="CA269" s="16" t="e">
        <f aca="false">SUMIF(MatchData[team],MatchData[[#this row],[team]],MatchData[cheval available])</f>
        <v>#VALUE!</v>
      </c>
      <c r="CB269" s="16" t="e">
        <f aca="false">SUMIF(MatchData[team],MatchData[[#this row],[team]],MatchData[moat available])</f>
        <v>#VALUE!</v>
      </c>
      <c r="CC269" s="16" t="e">
        <f aca="false">SUMIF(MatchData[team],MatchData[[#this row],[team]],MatchData[ramparts available])</f>
        <v>#VALUE!</v>
      </c>
      <c r="CD269" s="16" t="e">
        <f aca="false">SUMIF(MatchData[team],MatchData[[#this row],[team]],MatchData[drawbridge available])</f>
        <v>#VALUE!</v>
      </c>
      <c r="CE269" s="16" t="e">
        <f aca="false">SUMIF(MatchData[team],MatchData[[#this row],[team]],MatchData[sally port available])</f>
        <v>#VALUE!</v>
      </c>
      <c r="CF269" s="16" t="e">
        <f aca="false">SUMIF(MatchData[team],MatchData[[#this row],[team]],MatchData[rock wall available])</f>
        <v>#VALUE!</v>
      </c>
      <c r="CG269" s="16" t="e">
        <f aca="false">SUMIF(MatchData[team],MatchData[[#this row],[team]],MatchData[rough terrain available])</f>
        <v>#VALUE!</v>
      </c>
      <c r="CH269" s="16" t="e">
        <f aca="false">SUMIF(MatchData[team],MatchData[[#this row],[team]],MatchData[low bar available])</f>
        <v>#VALUE!</v>
      </c>
      <c r="CI269" s="16" t="e">
        <f aca="false">SUMIF(MatchData[team],MatchData[[#this row],[team]],MatchData[portcullis teleop crossings]) + SUMIF(MatchData[team],MatchData[[#this row],[team]],MatchData[portcullis scored crossings])</f>
        <v>#VALUE!</v>
      </c>
      <c r="CJ269" s="16" t="e">
        <f aca="false">SUMIF(MatchData[team],MatchData[[#this row],[team]],MatchData[cheval teleop crossings])+SUMIF(MatchData[team],MatchData[[#this row],[team]],MatchData[cheval scored crossings])</f>
        <v>#VALUE!</v>
      </c>
      <c r="CK269" s="16" t="e">
        <f aca="false">SUMIF(MatchData[team],MatchData[[#this row],[team]],MatchData[moat teleop crossings])+SUMIF(MatchData[team],MatchData[[#this row],[team]],MatchData[moat scored crosings])</f>
        <v>#VALUE!</v>
      </c>
      <c r="CL269" s="16" t="e">
        <f aca="false">SUMIF(MatchData[team],MatchData[[#this row],[team]],MatchData[ramparts teleop crossings])+SUMIF(MatchData[team],MatchData[[#this row],[team]],MatchData[ramparts scored crossings])</f>
        <v>#VALUE!</v>
      </c>
      <c r="CM269" s="16" t="e">
        <f aca="false">SUMIF(MatchData[team],MatchData[[#this row],[team]],MatchData[drawbridge teleop crossings])+SUMIF(MatchData[team],MatchData[[#this row],[team]],MatchData[drawbridge scored crossings])</f>
        <v>#VALUE!</v>
      </c>
      <c r="CN269" s="16" t="e">
        <f aca="false">SUMIF(MatchData[team],MatchData[[#this row],[team]],MatchData[sally port teleop crossings])+SUMIF(MatchData[team],MatchData[[#this row],[team]],MatchData[sally port scored crossings])</f>
        <v>#VALUE!</v>
      </c>
      <c r="CO269" s="16" t="e">
        <f aca="false">SUMIF(MatchData[team],MatchData[[#this row],[team]],MatchData[rock wall teleop crossings])+SUMIF(MatchData[team],MatchData[[#this row],[team]],MatchData[rock wall scored crossings])</f>
        <v>#VALUE!</v>
      </c>
      <c r="CP269" s="16" t="e">
        <f aca="false">SUMIF(MatchData[team],MatchData[[#this row],[team]],MatchData[rough terrain teleop crossings])+SUMIF(MatchData[team],MatchData[[#this row],[team]],MatchData[rough terrain scored crossings])</f>
        <v>#VALUE!</v>
      </c>
      <c r="CQ269" s="16" t="e">
        <f aca="false">SUMIF(MatchData[team],MatchData[[#this row],[team]],MatchData[low bar teleop crossings])+SUMIF(MatchData[team],MatchData[[#this row],[team]],MatchData[low bar scored crossings])</f>
        <v>#VALUE!</v>
      </c>
      <c r="CR269" s="16" t="e">
        <f aca="false">IFERROR(ROUND(MatchData[[#this row],[portcullis sum]]/MatchData[[#this row],[portcullis avail count]],2),0)</f>
        <v>#VALUE!</v>
      </c>
      <c r="CS269" s="16" t="e">
        <f aca="false">IFERROR(ROUND(MatchData[[#this row],[cheval sum]]/MatchData[[#this row],[cheval avail count]],2),0)</f>
        <v>#VALUE!</v>
      </c>
      <c r="CT269" s="16" t="e">
        <f aca="false">IFERROR(ROUND(MatchData[[#this row],[moat sum]]/MatchData[[#this row],[moat avail count]],2),0)</f>
        <v>#VALUE!</v>
      </c>
      <c r="CU269" s="16" t="e">
        <f aca="false">IFERROR(ROUND(MatchData[[#this row],[ramparts sum]]/MatchData[[#this row],[ramparts avail count]],2),0)</f>
        <v>#VALUE!</v>
      </c>
      <c r="CV269" s="16" t="e">
        <f aca="false">IFERROR(ROUND(MatchData[[#this row],[drawbridge sum]]/MatchData[[#this row],[drawbridge avail countigh6]],2),0)</f>
        <v>#VALUE!</v>
      </c>
      <c r="CW269" s="16" t="e">
        <f aca="false">IFERROR(ROUND(MatchData[[#this row],[sally port sum]]/MatchData[[#this row],[sally port avail count]],2),0)</f>
        <v>#VALUE!</v>
      </c>
      <c r="CX269" s="5" t="e">
        <f aca="false">IFERROR(ROUND(MatchData[[#this row],[rock wall sum]]/MatchData[[#this row],[rock wall avail count]],2),0)</f>
        <v>#VALUE!</v>
      </c>
      <c r="CY269" s="5" t="e">
        <f aca="false">IFERROR(ROUND(MatchData[[#this row],[rough terrain sum]]/MatchData[[#this row],[rough terrain avail count]],2),0)</f>
        <v>#VALUE!</v>
      </c>
      <c r="CZ269" s="5" t="e">
        <f aca="false">IFERROR(ROUND(MatchData[[#this row],[low bar sum]]/MatchData[[#this row],[low bar avail count]],2),0)</f>
        <v>#VALUE!</v>
      </c>
      <c r="DA269" s="16" t="e">
        <f aca="false">SUM(MatchData[[#this row],[cheval sum]:[low bar sum]])/MatchData[match count]</f>
        <v>#VALUE!</v>
      </c>
      <c r="DB269" s="16" t="n">
        <f aca="false">MAX(IF(C$2:C$74=C269,BP$2:BP$74))</f>
        <v>-1.79769313486232E+308</v>
      </c>
      <c r="DC269" s="16" t="e">
        <f aca="false">AVERAGEIF(MatchData[team],MatchData[[#this row],[team]],MatchData[total score])</f>
        <v>#VALUE!</v>
      </c>
      <c r="DD269" s="16" t="e">
        <f aca="false">ROUND(AVERAGEIF(MatchData[team],MatchData[team],MatchData[climb or challenge flag]),2)</f>
        <v>#VALUE!</v>
      </c>
    </row>
    <row r="270" customFormat="false" ht="14.5" hidden="false" customHeight="false" outlineLevel="0" collapsed="false">
      <c r="A270" s="20" t="s">
        <v>108</v>
      </c>
      <c r="B270" s="14" t="n">
        <v>45</v>
      </c>
      <c r="C270" s="15" t="n">
        <v>1510</v>
      </c>
      <c r="D270" s="5" t="s">
        <v>113</v>
      </c>
      <c r="E270" s="5" t="s">
        <v>110</v>
      </c>
      <c r="G270" s="16"/>
      <c r="I270" s="16"/>
      <c r="J270" s="5" t="n">
        <v>1</v>
      </c>
      <c r="K270" s="16"/>
      <c r="L270" s="5" t="n">
        <v>1</v>
      </c>
      <c r="M270" s="5" t="n">
        <v>1</v>
      </c>
      <c r="N270" s="0"/>
      <c r="O270" s="5" t="n">
        <v>1</v>
      </c>
      <c r="P270" s="0"/>
      <c r="Q270" s="0"/>
      <c r="R270" s="5" t="n">
        <v>1</v>
      </c>
      <c r="S270" s="16"/>
      <c r="U270" s="16"/>
      <c r="V270" s="16"/>
      <c r="W270" s="0"/>
      <c r="AD270" s="16"/>
      <c r="AE270" s="5"/>
      <c r="AF270" s="16"/>
      <c r="AG270" s="16"/>
      <c r="AH270" s="16" t="n">
        <v>1</v>
      </c>
      <c r="AJ270" s="16"/>
      <c r="AL270" s="16"/>
      <c r="AN270" s="16"/>
      <c r="AP270" s="16"/>
      <c r="AR270" s="16"/>
      <c r="AT270" s="16"/>
      <c r="AU270" s="16"/>
      <c r="AV270" s="16"/>
      <c r="AW270" s="16"/>
      <c r="AX270" s="16"/>
      <c r="AY270" s="16" t="n">
        <v>1</v>
      </c>
      <c r="AZ270" s="16" t="n">
        <v>1</v>
      </c>
      <c r="BB270" s="16" t="n">
        <v>1</v>
      </c>
      <c r="BC270" s="16" t="e">
        <f aca="false">MatchData[cheval scored crossings]*5</f>
        <v>#VALUE!</v>
      </c>
      <c r="BD270" s="16" t="e">
        <f aca="false">MatchData[moat scored crosings]*5</f>
        <v>#VALUE!</v>
      </c>
      <c r="BE270" s="16" t="e">
        <f aca="false">MatchData[ramparts scored crossings]*5</f>
        <v>#VALUE!</v>
      </c>
      <c r="BF270" s="16" t="e">
        <f aca="false">MatchData[drawbridge scored crossings]*5</f>
        <v>#VALUE!</v>
      </c>
      <c r="BG270" s="16" t="e">
        <f aca="false">MatchData[sally port scored crossings]*5</f>
        <v>#VALUE!</v>
      </c>
      <c r="BH270" s="16" t="e">
        <f aca="false">MatchData[rock wall scored crossings]*5</f>
        <v>#VALUE!</v>
      </c>
      <c r="BI270" s="16" t="e">
        <f aca="false">MatchData[rough terrain scored crossings]*5</f>
        <v>#VALUE!</v>
      </c>
      <c r="BJ270" s="16" t="e">
        <f aca="false">MatchData[low bar scored crossings]*5</f>
        <v>#VALUE!</v>
      </c>
      <c r="BK270" s="16" t="e">
        <f aca="false">SUM(MatchData[[#this row],[low bar teleop crossings]:[rough terrain scored crossings]])</f>
        <v>#VALUE!</v>
      </c>
      <c r="BL270" s="16" t="e">
        <f aca="false">IFERROR(IF(OR(MatchData[[#this row],[challenge flag]],MatchData[[#this row],[climb flag]]),1,0),0)</f>
        <v>#VALUE!</v>
      </c>
      <c r="BM270" s="16" t="e">
        <f aca="false">MatchData[auto high goals]*10+MatchData[teleop high goals]*5</f>
        <v>#VALUE!</v>
      </c>
      <c r="BN270" s="16" t="e">
        <f aca="false">MatchData[auto low goals]*5+MatchData[teleop low goals]*2</f>
        <v>#VALUE!</v>
      </c>
      <c r="BO270" s="16" t="e">
        <f aca="false">MatchData[high goal score]+MatchData[low goal score]</f>
        <v>#VALUE!</v>
      </c>
      <c r="BP270" s="16" t="e">
        <f aca="false">MatchData[teleop high goals]+MatchData[teleop low goals]</f>
        <v>#VALUE!</v>
      </c>
      <c r="BQ270" s="16" t="e">
        <f aca="false">MatchData[[#this row],[auto reach flag]]*2+SUM(MatchData[[#this row],[portcullis auto crossings]:[low bar auto crossings]])*10+MatchData[[#this row],[auto low goals]]*5+MatchData[auto high goals]*10</f>
        <v>#VALUE!</v>
      </c>
      <c r="BR270" s="16" t="e">
        <f aca="false">SUM(MatchData[[#this row],[cheval teleop crossing score]:[low bar teleop crossing score]])</f>
        <v>#VALUE!</v>
      </c>
      <c r="BS270" s="16" t="e">
        <f aca="false">SUMIF(MatchData[team],MatchData[[#this row],[team]],MatchData[total auto score])/MatchData[match count]</f>
        <v>#VALUE!</v>
      </c>
      <c r="BT270" s="16" t="e">
        <f aca="false">MatchData[challenge flag]*5</f>
        <v>#VALUE!</v>
      </c>
      <c r="BU270" s="16" t="e">
        <f aca="false">MatchData[climb flag]*15</f>
        <v>#VALUE!</v>
      </c>
      <c r="BV270" s="16" t="e">
        <f aca="false">SUM(MatchData[[#this row],[total goal score]],MatchData[[#this row],[crossing score]],MatchData[[#this row],[challenge score]],MatchData[[#this row],[climb score]],MatchData[[#this row],[total auto score]])</f>
        <v>#VALUE!</v>
      </c>
      <c r="BW270" s="16" t="e">
        <f aca="false">ROUND(SUMIF(MatchData[team],MatchData[[#this row],[team]],MatchData[teleop low goals])/COUNTIF(MatchData[team],MatchData[[#this row],[team]]),2)</f>
        <v>#VALUE!</v>
      </c>
      <c r="BX270" s="16" t="e">
        <f aca="false">ROUND(SUMIF(MatchData[team],MatchData[[#this row],[team]],MatchData[teleop high goals])/COUNTIF(MatchData[team],MatchData[[#this row],[team]]),2)</f>
        <v>#VALUE!</v>
      </c>
      <c r="BY270" s="16" t="e">
        <f aca="false">COUNTIF(MatchData[team],MatchData[[#this row],[team]])</f>
        <v>#VALUE!</v>
      </c>
      <c r="BZ270" s="16" t="e">
        <f aca="false">SUMIF(MatchData[team],MatchData[[#this row],[team]],MatchData[portcullis available])</f>
        <v>#VALUE!</v>
      </c>
      <c r="CA270" s="16" t="e">
        <f aca="false">SUMIF(MatchData[team],MatchData[[#this row],[team]],MatchData[cheval available])</f>
        <v>#VALUE!</v>
      </c>
      <c r="CB270" s="16" t="e">
        <f aca="false">SUMIF(MatchData[team],MatchData[[#this row],[team]],MatchData[moat available])</f>
        <v>#VALUE!</v>
      </c>
      <c r="CC270" s="16" t="e">
        <f aca="false">SUMIF(MatchData[team],MatchData[[#this row],[team]],MatchData[ramparts available])</f>
        <v>#VALUE!</v>
      </c>
      <c r="CD270" s="16" t="e">
        <f aca="false">SUMIF(MatchData[team],MatchData[[#this row],[team]],MatchData[drawbridge available])</f>
        <v>#VALUE!</v>
      </c>
      <c r="CE270" s="16" t="e">
        <f aca="false">SUMIF(MatchData[team],MatchData[[#this row],[team]],MatchData[sally port available])</f>
        <v>#VALUE!</v>
      </c>
      <c r="CF270" s="16" t="e">
        <f aca="false">SUMIF(MatchData[team],MatchData[[#this row],[team]],MatchData[rock wall available])</f>
        <v>#VALUE!</v>
      </c>
      <c r="CG270" s="16" t="e">
        <f aca="false">SUMIF(MatchData[team],MatchData[[#this row],[team]],MatchData[rough terrain available])</f>
        <v>#VALUE!</v>
      </c>
      <c r="CH270" s="16" t="e">
        <f aca="false">SUMIF(MatchData[team],MatchData[[#this row],[team]],MatchData[low bar available])</f>
        <v>#VALUE!</v>
      </c>
      <c r="CI270" s="16" t="e">
        <f aca="false">SUMIF(MatchData[team],MatchData[[#this row],[team]],MatchData[portcullis teleop crossings]:MatchData[portcullis scored crossings])</f>
        <v>#VALUE!</v>
      </c>
      <c r="CJ270" s="16" t="e">
        <f aca="false">SUMIF(MatchData[team],MatchData[[#this row],[team]],MatchData[cheval teleop crossings])+SUMIF(MatchData[team],MatchData[[#this row],[team]],MatchData[cheval scored crossings])</f>
        <v>#VALUE!</v>
      </c>
      <c r="CK270" s="16" t="e">
        <f aca="false">SUMIF(MatchData[team],MatchData[[#this row],[team]],MatchData[moat teleop crossings])+SUMIF(MatchData[team],MatchData[[#this row],[team]],MatchData[moat scored crosings])</f>
        <v>#VALUE!</v>
      </c>
      <c r="CL270" s="16" t="e">
        <f aca="false">SUMIF(MatchData[team],MatchData[[#this row],[team]],MatchData[ramparts teleop crossings])+SUMIF(MatchData[team],MatchData[[#this row],[team]],MatchData[ramparts scored crossings])</f>
        <v>#VALUE!</v>
      </c>
      <c r="CM270" s="16" t="e">
        <f aca="false">SUMIF(MatchData[team],MatchData[[#this row],[team]],MatchData[drawbridge teleop crossings])+SUMIF(MatchData[team],MatchData[[#this row],[team]],MatchData[drawbridge scored crossings])</f>
        <v>#VALUE!</v>
      </c>
      <c r="CN270" s="16" t="e">
        <f aca="false">SUMIF(MatchData[team],MatchData[[#this row],[team]],MatchData[sally port teleop crossings])+SUMIF(MatchData[team],MatchData[[#this row],[team]],MatchData[sally port scored crossings])</f>
        <v>#VALUE!</v>
      </c>
      <c r="CO270" s="16" t="e">
        <f aca="false">SUMIF(MatchData[team],MatchData[[#this row],[team]],MatchData[rock wall teleop crossings])+SUMIF(MatchData[team],MatchData[[#this row],[team]],MatchData[rock wall scored crossings])</f>
        <v>#VALUE!</v>
      </c>
      <c r="CP270" s="16" t="e">
        <f aca="false">SUMIF(MatchData[team],MatchData[[#this row],[team]],MatchData[rough terrain teleop crossings])+SUMIF(MatchData[team],MatchData[[#this row],[team]],MatchData[rough terrain scored crossings])</f>
        <v>#VALUE!</v>
      </c>
      <c r="CQ270" s="16" t="e">
        <f aca="false">SUMIF(MatchData[team],MatchData[[#this row],[team]],MatchData[low bar teleop crossings])+SUMIF(MatchData[team],MatchData[[#this row],[team]],MatchData[low bar scored crossings])</f>
        <v>#VALUE!</v>
      </c>
      <c r="CR270" s="16" t="e">
        <f aca="false">IFERROR(ROUND(MatchData[[#this row],[portcullis sum]]/MatchData[[#this row],[portcullis avail count]],2),0)</f>
        <v>#VALUE!</v>
      </c>
      <c r="CS270" s="16" t="e">
        <f aca="false">IFERROR(ROUND(MatchData[[#this row],[cheval sum]]/MatchData[[#this row],[cheval avail count]],2),0)</f>
        <v>#VALUE!</v>
      </c>
      <c r="CT270" s="16" t="e">
        <f aca="false">IFERROR(ROUND(MatchData[[#this row],[moat sum]]/MatchData[[#this row],[moat avail count]],2),0)</f>
        <v>#VALUE!</v>
      </c>
      <c r="CU270" s="16" t="e">
        <f aca="false">IFERROR(ROUND(MatchData[[#this row],[ramparts sum]]/MatchData[[#this row],[ramparts avail count]],2),0)</f>
        <v>#VALUE!</v>
      </c>
      <c r="CV270" s="16" t="e">
        <f aca="false">IFERROR(ROUND(MatchData[[#this row],[drawbridge sum]]/MatchData[[#this row],[drawbridge avail countigh6]],2),0)</f>
        <v>#VALUE!</v>
      </c>
      <c r="CW270" s="16" t="e">
        <f aca="false">IFERROR(ROUND(MatchData[[#this row],[sally port sum]]/MatchData[[#this row],[sally port avail count]],2),0)</f>
        <v>#VALUE!</v>
      </c>
      <c r="CX270" s="5" t="e">
        <f aca="false">IFERROR(ROUND(MatchData[[#this row],[rock wall sum]]/MatchData[[#this row],[rock wall avail count]],2),0)</f>
        <v>#VALUE!</v>
      </c>
      <c r="CY270" s="5" t="e">
        <f aca="false">IFERROR(ROUND(MatchData[[#this row],[rough terrain sum]]/MatchData[[#this row],[rough terrain avail count]],2),0)</f>
        <v>#VALUE!</v>
      </c>
      <c r="CZ270" s="5" t="e">
        <f aca="false">IFERROR(ROUND(MatchData[[#this row],[low bar sum]]/MatchData[[#this row],[low bar avail count]],2),0)</f>
        <v>#VALUE!</v>
      </c>
      <c r="DA270" s="16" t="e">
        <f aca="false">SUM(MatchData[[#this row],[cheval sum]:[low bar sum]])/MatchData[match count]</f>
        <v>#VALUE!</v>
      </c>
      <c r="DB270" s="16" t="n">
        <f aca="false">MAX(IF(C$2:C$74=C270,BP$2:BP$74))</f>
        <v>-1.79769313486232E+308</v>
      </c>
      <c r="DC270" s="16" t="e">
        <f aca="false">AVERAGEIF(MatchData[team],MatchData[[#this row],[team]],MatchData[total score])</f>
        <v>#VALUE!</v>
      </c>
      <c r="DD270" s="16" t="e">
        <f aca="false">ROUND(AVERAGEIF(MatchData[team],MatchData[team],MatchData[climb or challenge flag]),2)</f>
        <v>#VALUE!</v>
      </c>
    </row>
    <row r="271" customFormat="false" ht="14.5" hidden="false" customHeight="false" outlineLevel="0" collapsed="false">
      <c r="A271" s="20" t="s">
        <v>108</v>
      </c>
      <c r="B271" s="18" t="n">
        <v>45</v>
      </c>
      <c r="C271" s="15" t="n">
        <v>5085</v>
      </c>
      <c r="D271" s="5" t="s">
        <v>113</v>
      </c>
      <c r="E271" s="5" t="s">
        <v>142</v>
      </c>
      <c r="G271" s="16"/>
      <c r="I271" s="16"/>
      <c r="J271" s="5" t="n">
        <v>1</v>
      </c>
      <c r="K271" s="16"/>
      <c r="L271" s="5" t="n">
        <v>1</v>
      </c>
      <c r="M271" s="5" t="n">
        <v>1</v>
      </c>
      <c r="N271" s="0"/>
      <c r="O271" s="5" t="n">
        <v>1</v>
      </c>
      <c r="P271" s="0"/>
      <c r="Q271" s="0"/>
      <c r="R271" s="5" t="n">
        <v>1</v>
      </c>
      <c r="S271" s="16"/>
      <c r="U271" s="16"/>
      <c r="V271" s="16"/>
      <c r="W271" s="0"/>
      <c r="AB271" s="5" t="n">
        <v>1</v>
      </c>
      <c r="AC271" s="5" t="n">
        <v>1</v>
      </c>
      <c r="AD271" s="16" t="n">
        <v>2</v>
      </c>
      <c r="AE271" s="5"/>
      <c r="AF271" s="16"/>
      <c r="AG271" s="16"/>
      <c r="AH271" s="16"/>
      <c r="AJ271" s="16"/>
      <c r="AL271" s="16"/>
      <c r="AN271" s="16"/>
      <c r="AP271" s="16"/>
      <c r="AR271" s="16"/>
      <c r="AT271" s="16" t="n">
        <v>1</v>
      </c>
      <c r="AU271" s="16"/>
      <c r="AV271" s="16"/>
      <c r="AW271" s="16" t="n">
        <v>1</v>
      </c>
      <c r="AX271" s="16"/>
      <c r="AY271" s="16"/>
      <c r="AZ271" s="16"/>
      <c r="BA271" s="5" t="n">
        <v>1</v>
      </c>
      <c r="BB271" s="16" t="n">
        <v>1</v>
      </c>
      <c r="BC271" s="16" t="e">
        <f aca="false">MatchData[cheval scored crossings]*5</f>
        <v>#VALUE!</v>
      </c>
      <c r="BD271" s="16" t="e">
        <f aca="false">MatchData[moat scored crosings]*5</f>
        <v>#VALUE!</v>
      </c>
      <c r="BE271" s="16" t="e">
        <f aca="false">MatchData[ramparts scored crossings]*5</f>
        <v>#VALUE!</v>
      </c>
      <c r="BF271" s="16" t="e">
        <f aca="false">MatchData[drawbridge scored crossings]*5</f>
        <v>#VALUE!</v>
      </c>
      <c r="BG271" s="16" t="e">
        <f aca="false">MatchData[sally port scored crossings]*5</f>
        <v>#VALUE!</v>
      </c>
      <c r="BH271" s="16" t="e">
        <f aca="false">MatchData[rock wall scored crossings]*5</f>
        <v>#VALUE!</v>
      </c>
      <c r="BI271" s="16" t="e">
        <f aca="false">MatchData[rough terrain scored crossings]*5</f>
        <v>#VALUE!</v>
      </c>
      <c r="BJ271" s="16" t="e">
        <f aca="false">MatchData[low bar scored crossings]*5</f>
        <v>#VALUE!</v>
      </c>
      <c r="BK271" s="16" t="e">
        <f aca="false">SUM(MatchData[[#this row],[low bar teleop crossings]:[rough terrain scored crossings]])</f>
        <v>#VALUE!</v>
      </c>
      <c r="BL271" s="16" t="e">
        <f aca="false">IFERROR(IF(OR(MatchData[[#this row],[challenge flag]],MatchData[[#this row],[climb flag]]),1,0),0)</f>
        <v>#VALUE!</v>
      </c>
      <c r="BM271" s="16" t="e">
        <f aca="false">MatchData[auto high goals]*10+MatchData[teleop high goals]*5</f>
        <v>#VALUE!</v>
      </c>
      <c r="BN271" s="16" t="e">
        <f aca="false">MatchData[auto low goals]*5+MatchData[teleop low goals]*2</f>
        <v>#VALUE!</v>
      </c>
      <c r="BO271" s="16" t="e">
        <f aca="false">MatchData[high goal score]+MatchData[low goal score]</f>
        <v>#VALUE!</v>
      </c>
      <c r="BP271" s="16" t="e">
        <f aca="false">MatchData[teleop high goals]+MatchData[teleop low goals]</f>
        <v>#VALUE!</v>
      </c>
      <c r="BQ271" s="16" t="e">
        <f aca="false">MatchData[[#this row],[auto reach flag]]*2+SUM(MatchData[[#this row],[portcullis auto crossings]:[low bar auto crossings]])*10+MatchData[[#this row],[auto low goals]]*5+MatchData[auto high goals]*10</f>
        <v>#VALUE!</v>
      </c>
      <c r="BR271" s="16" t="e">
        <f aca="false">SUM(MatchData[[#this row],[cheval teleop crossing score]:[low bar teleop crossing score]])</f>
        <v>#VALUE!</v>
      </c>
      <c r="BS271" s="16" t="e">
        <f aca="false">SUMIF(MatchData[team],MatchData[[#this row],[team]],MatchData[total auto score])/MatchData[match count]</f>
        <v>#VALUE!</v>
      </c>
      <c r="BT271" s="16" t="e">
        <f aca="false">MatchData[challenge flag]*5</f>
        <v>#VALUE!</v>
      </c>
      <c r="BU271" s="16" t="e">
        <f aca="false">MatchData[climb flag]*15</f>
        <v>#VALUE!</v>
      </c>
      <c r="BV271" s="16" t="e">
        <f aca="false">SUM(MatchData[[#this row],[total goal score]],MatchData[[#this row],[crossing score]],MatchData[[#this row],[challenge score]],MatchData[[#this row],[climb score]],MatchData[[#this row],[total auto score]])</f>
        <v>#VALUE!</v>
      </c>
      <c r="BW271" s="16" t="e">
        <f aca="false">ROUND(SUMIF(MatchData[team],MatchData[[#this row],[team]],MatchData[teleop low goals])/COUNTIF(MatchData[team],MatchData[[#this row],[team]]),2)</f>
        <v>#VALUE!</v>
      </c>
      <c r="BX271" s="16" t="e">
        <f aca="false">ROUND(SUMIF(MatchData[team],MatchData[[#this row],[team]],MatchData[teleop high goals])/COUNTIF(MatchData[team],MatchData[[#this row],[team]]),2)</f>
        <v>#VALUE!</v>
      </c>
      <c r="BY271" s="16" t="e">
        <f aca="false">COUNTIF(MatchData[team],MatchData[[#this row],[team]])</f>
        <v>#VALUE!</v>
      </c>
      <c r="BZ271" s="16" t="e">
        <f aca="false">SUMIF(MatchData[team],MatchData[[#this row],[team]],MatchData[portcullis available])</f>
        <v>#VALUE!</v>
      </c>
      <c r="CA271" s="16" t="e">
        <f aca="false">SUMIF(MatchData[team],MatchData[[#this row],[team]],MatchData[cheval available])</f>
        <v>#VALUE!</v>
      </c>
      <c r="CB271" s="16" t="e">
        <f aca="false">SUMIF(MatchData[team],MatchData[[#this row],[team]],MatchData[moat available])</f>
        <v>#VALUE!</v>
      </c>
      <c r="CC271" s="16" t="e">
        <f aca="false">SUMIF(MatchData[team],MatchData[[#this row],[team]],MatchData[ramparts available])</f>
        <v>#VALUE!</v>
      </c>
      <c r="CD271" s="16" t="e">
        <f aca="false">SUMIF(MatchData[team],MatchData[[#this row],[team]],MatchData[drawbridge available])</f>
        <v>#VALUE!</v>
      </c>
      <c r="CE271" s="16" t="e">
        <f aca="false">SUMIF(MatchData[team],MatchData[[#this row],[team]],MatchData[sally port available])</f>
        <v>#VALUE!</v>
      </c>
      <c r="CF271" s="16" t="e">
        <f aca="false">SUMIF(MatchData[team],MatchData[[#this row],[team]],MatchData[rock wall available])</f>
        <v>#VALUE!</v>
      </c>
      <c r="CG271" s="16" t="e">
        <f aca="false">SUMIF(MatchData[team],MatchData[[#this row],[team]],MatchData[rough terrain available])</f>
        <v>#VALUE!</v>
      </c>
      <c r="CH271" s="16" t="e">
        <f aca="false">SUMIF(MatchData[team],MatchData[[#this row],[team]],MatchData[low bar available])</f>
        <v>#VALUE!</v>
      </c>
      <c r="CI271" s="16" t="e">
        <f aca="false">SUMIF(MatchData[team],MatchData[[#this row],[team]],MatchData[portcullis teleop crossings]:MatchData[portcullis scored crossings])</f>
        <v>#VALUE!</v>
      </c>
      <c r="CJ271" s="16" t="e">
        <f aca="false">SUMIF(MatchData[team],MatchData[[#this row],[team]],MatchData[cheval teleop crossings])+SUMIF(MatchData[team],MatchData[[#this row],[team]],MatchData[cheval scored crossings])</f>
        <v>#VALUE!</v>
      </c>
      <c r="CK271" s="16" t="e">
        <f aca="false">SUMIF(MatchData[team],MatchData[[#this row],[team]],MatchData[moat teleop crossings])+SUMIF(MatchData[team],MatchData[[#this row],[team]],MatchData[moat scored crosings])</f>
        <v>#VALUE!</v>
      </c>
      <c r="CL271" s="16" t="e">
        <f aca="false">SUMIF(MatchData[team],MatchData[[#this row],[team]],MatchData[ramparts teleop crossings])+SUMIF(MatchData[team],MatchData[[#this row],[team]],MatchData[ramparts scored crossings])</f>
        <v>#VALUE!</v>
      </c>
      <c r="CM271" s="16" t="e">
        <f aca="false">SUMIF(MatchData[team],MatchData[[#this row],[team]],MatchData[drawbridge teleop crossings])+SUMIF(MatchData[team],MatchData[[#this row],[team]],MatchData[drawbridge scored crossings])</f>
        <v>#VALUE!</v>
      </c>
      <c r="CN271" s="16" t="e">
        <f aca="false">SUMIF(MatchData[team],MatchData[[#this row],[team]],MatchData[sally port teleop crossings])+SUMIF(MatchData[team],MatchData[[#this row],[team]],MatchData[sally port scored crossings])</f>
        <v>#VALUE!</v>
      </c>
      <c r="CO271" s="16" t="e">
        <f aca="false">SUMIF(MatchData[team],MatchData[[#this row],[team]],MatchData[rock wall teleop crossings])+SUMIF(MatchData[team],MatchData[[#this row],[team]],MatchData[rock wall scored crossings])</f>
        <v>#VALUE!</v>
      </c>
      <c r="CP271" s="16" t="e">
        <f aca="false">SUMIF(MatchData[team],MatchData[[#this row],[team]],MatchData[rough terrain teleop crossings])+SUMIF(MatchData[team],MatchData[[#this row],[team]],MatchData[rough terrain scored crossings])</f>
        <v>#VALUE!</v>
      </c>
      <c r="CQ271" s="16" t="e">
        <f aca="false">SUMIF(MatchData[team],MatchData[[#this row],[team]],MatchData[low bar teleop crossings])+SUMIF(MatchData[team],MatchData[[#this row],[team]],MatchData[low bar scored crossings])</f>
        <v>#VALUE!</v>
      </c>
      <c r="CR271" s="16" t="e">
        <f aca="false">IFERROR(ROUND(MatchData[[#this row],[portcullis sum]]/MatchData[[#this row],[portcullis avail count]],2),0)</f>
        <v>#VALUE!</v>
      </c>
      <c r="CS271" s="16" t="e">
        <f aca="false">IFERROR(ROUND(MatchData[[#this row],[cheval sum]]/MatchData[[#this row],[cheval avail count]],2),0)</f>
        <v>#VALUE!</v>
      </c>
      <c r="CT271" s="16" t="e">
        <f aca="false">IFERROR(ROUND(MatchData[[#this row],[moat sum]]/MatchData[[#this row],[moat avail count]],2),0)</f>
        <v>#VALUE!</v>
      </c>
      <c r="CU271" s="16" t="e">
        <f aca="false">IFERROR(ROUND(MatchData[[#this row],[ramparts sum]]/MatchData[[#this row],[ramparts avail count]],2),0)</f>
        <v>#VALUE!</v>
      </c>
      <c r="CV271" s="16" t="e">
        <f aca="false">IFERROR(ROUND(MatchData[[#this row],[drawbridge sum]]/MatchData[[#this row],[drawbridge avail countigh6]],2),0)</f>
        <v>#VALUE!</v>
      </c>
      <c r="CW271" s="16" t="e">
        <f aca="false">IFERROR(ROUND(MatchData[[#this row],[sally port sum]]/MatchData[[#this row],[sally port avail count]],2),0)</f>
        <v>#VALUE!</v>
      </c>
      <c r="CX271" s="5" t="e">
        <f aca="false">IFERROR(ROUND(MatchData[[#this row],[rock wall sum]]/MatchData[[#this row],[rock wall avail count]],2),0)</f>
        <v>#VALUE!</v>
      </c>
      <c r="CY271" s="5" t="e">
        <f aca="false">IFERROR(ROUND(MatchData[[#this row],[rough terrain sum]]/MatchData[[#this row],[rough terrain avail count]],2),0)</f>
        <v>#VALUE!</v>
      </c>
      <c r="CZ271" s="5" t="e">
        <f aca="false">IFERROR(ROUND(MatchData[[#this row],[low bar sum]]/MatchData[[#this row],[low bar avail count]],2),0)</f>
        <v>#VALUE!</v>
      </c>
      <c r="DA271" s="16" t="e">
        <f aca="false">SUM(MatchData[[#this row],[cheval sum]:[low bar sum]])/MatchData[match count]</f>
        <v>#VALUE!</v>
      </c>
      <c r="DB271" s="16" t="n">
        <f aca="false">MAX(IF(C$2:C$74=C271,BP$2:BP$74))</f>
        <v>-1.79769313486232E+308</v>
      </c>
      <c r="DC271" s="16" t="e">
        <f aca="false">AVERAGEIF(MatchData[team],MatchData[[#this row],[team]],MatchData[total score])</f>
        <v>#VALUE!</v>
      </c>
      <c r="DD271" s="16" t="e">
        <f aca="false">ROUND(AVERAGEIF(MatchData[team],MatchData[team],MatchData[climb or challenge flag]),2)</f>
        <v>#VALUE!</v>
      </c>
    </row>
    <row r="272" customFormat="false" ht="14.5" hidden="false" customHeight="false" outlineLevel="0" collapsed="false">
      <c r="A272" s="20" t="s">
        <v>108</v>
      </c>
      <c r="B272" s="14" t="n">
        <v>46</v>
      </c>
      <c r="C272" s="15" t="n">
        <v>2471</v>
      </c>
      <c r="D272" s="5" t="s">
        <v>109</v>
      </c>
      <c r="E272" s="5" t="s">
        <v>125</v>
      </c>
      <c r="G272" s="16" t="n">
        <v>4</v>
      </c>
      <c r="I272" s="16"/>
      <c r="J272" s="5" t="n">
        <v>1</v>
      </c>
      <c r="K272" s="16"/>
      <c r="L272" s="5" t="n">
        <v>1</v>
      </c>
      <c r="N272" s="5" t="n">
        <v>1</v>
      </c>
      <c r="O272" s="0"/>
      <c r="P272" s="5" t="n">
        <v>1</v>
      </c>
      <c r="Q272" s="0"/>
      <c r="R272" s="5" t="n">
        <v>1</v>
      </c>
      <c r="S272" s="16"/>
      <c r="U272" s="16"/>
      <c r="V272" s="16"/>
      <c r="W272" s="0"/>
      <c r="AA272" s="5" t="n">
        <v>1</v>
      </c>
      <c r="AD272" s="16"/>
      <c r="AE272" s="5"/>
      <c r="AF272" s="16"/>
      <c r="AG272" s="16"/>
      <c r="AH272" s="16"/>
      <c r="AJ272" s="16"/>
      <c r="AL272" s="16" t="n">
        <v>2</v>
      </c>
      <c r="AN272" s="16"/>
      <c r="AP272" s="16"/>
      <c r="AR272" s="16"/>
      <c r="AT272" s="16"/>
      <c r="AU272" s="16"/>
      <c r="AV272" s="16"/>
      <c r="AW272" s="16" t="n">
        <v>1</v>
      </c>
      <c r="AX272" s="16"/>
      <c r="AY272" s="16"/>
      <c r="AZ272" s="16"/>
      <c r="BA272" s="5" t="n">
        <v>1</v>
      </c>
      <c r="BB272" s="16" t="n">
        <v>1</v>
      </c>
      <c r="BC272" s="16" t="e">
        <f aca="false">MatchData[cheval scored crossings]*5</f>
        <v>#VALUE!</v>
      </c>
      <c r="BD272" s="16" t="e">
        <f aca="false">MatchData[moat scored crosings]*5</f>
        <v>#VALUE!</v>
      </c>
      <c r="BE272" s="16" t="e">
        <f aca="false">MatchData[ramparts scored crossings]*5</f>
        <v>#VALUE!</v>
      </c>
      <c r="BF272" s="16" t="e">
        <f aca="false">MatchData[drawbridge scored crossings]*5</f>
        <v>#VALUE!</v>
      </c>
      <c r="BG272" s="16" t="e">
        <f aca="false">MatchData[sally port scored crossings]*5</f>
        <v>#VALUE!</v>
      </c>
      <c r="BH272" s="16" t="e">
        <f aca="false">MatchData[rock wall scored crossings]*5</f>
        <v>#VALUE!</v>
      </c>
      <c r="BI272" s="16" t="e">
        <f aca="false">MatchData[rough terrain scored crossings]*5</f>
        <v>#VALUE!</v>
      </c>
      <c r="BJ272" s="16" t="e">
        <f aca="false">MatchData[low bar scored crossings]*5</f>
        <v>#VALUE!</v>
      </c>
      <c r="BK272" s="16" t="e">
        <f aca="false">SUM(MatchData[[#this row],[low bar teleop crossings]:[rough terrain scored crossings]])</f>
        <v>#VALUE!</v>
      </c>
      <c r="BL272" s="16" t="e">
        <f aca="false">IFERROR(IF(OR(MatchData[[#this row],[challenge flag]],MatchData[[#this row],[climb flag]]),1,0),0)</f>
        <v>#VALUE!</v>
      </c>
      <c r="BM272" s="16" t="e">
        <f aca="false">MatchData[auto high goals]*10+MatchData[teleop high goals]*5</f>
        <v>#VALUE!</v>
      </c>
      <c r="BN272" s="16" t="e">
        <f aca="false">MatchData[auto low goals]*5+MatchData[teleop low goals]*2</f>
        <v>#VALUE!</v>
      </c>
      <c r="BO272" s="16" t="e">
        <f aca="false">MatchData[high goal score]+MatchData[low goal score]</f>
        <v>#VALUE!</v>
      </c>
      <c r="BP272" s="16" t="e">
        <f aca="false">MatchData[teleop high goals]+MatchData[teleop low goals]</f>
        <v>#VALUE!</v>
      </c>
      <c r="BQ272" s="16" t="e">
        <f aca="false">MatchData[[#this row],[auto reach flag]]*2+SUM(MatchData[[#this row],[portcullis auto crossings]:[low bar auto crossings]])*10+MatchData[[#this row],[auto low goals]]*5+MatchData[auto high goals]*10</f>
        <v>#VALUE!</v>
      </c>
      <c r="BR272" s="16" t="e">
        <f aca="false">SUM(MatchData[[#this row],[cheval teleop crossing score]:[low bar teleop crossing score]])</f>
        <v>#VALUE!</v>
      </c>
      <c r="BS272" s="16" t="e">
        <f aca="false">SUMIF(MatchData[team],MatchData[[#this row],[team]],MatchData[total auto score])/MatchData[match count]</f>
        <v>#VALUE!</v>
      </c>
      <c r="BT272" s="16" t="e">
        <f aca="false">MatchData[challenge flag]*5</f>
        <v>#VALUE!</v>
      </c>
      <c r="BU272" s="16" t="e">
        <f aca="false">MatchData[climb flag]*15</f>
        <v>#VALUE!</v>
      </c>
      <c r="BV272" s="16" t="e">
        <f aca="false">SUM(MatchData[[#this row],[total goal score]],MatchData[[#this row],[crossing score]],MatchData[[#this row],[challenge score]],MatchData[[#this row],[climb score]],MatchData[[#this row],[total auto score]])</f>
        <v>#VALUE!</v>
      </c>
      <c r="BW272" s="16" t="e">
        <f aca="false">ROUND(SUMIF(MatchData[team],MatchData[[#this row],[team]],MatchData[teleop low goals])/COUNTIF(MatchData[team],MatchData[[#this row],[team]]),2)</f>
        <v>#VALUE!</v>
      </c>
      <c r="BX272" s="16" t="e">
        <f aca="false">ROUND(SUMIF(MatchData[team],MatchData[[#this row],[team]],MatchData[teleop high goals])/COUNTIF(MatchData[team],MatchData[[#this row],[team]]),2)</f>
        <v>#VALUE!</v>
      </c>
      <c r="BY272" s="16" t="e">
        <f aca="false">COUNTIF(MatchData[team],MatchData[[#this row],[team]])</f>
        <v>#VALUE!</v>
      </c>
      <c r="BZ272" s="16" t="e">
        <f aca="false">SUMIF(MatchData[team],MatchData[[#this row],[team]],MatchData[portcullis available])</f>
        <v>#VALUE!</v>
      </c>
      <c r="CA272" s="16" t="e">
        <f aca="false">SUMIF(MatchData[team],MatchData[[#this row],[team]],MatchData[cheval available])</f>
        <v>#VALUE!</v>
      </c>
      <c r="CB272" s="16" t="e">
        <f aca="false">SUMIF(MatchData[team],MatchData[[#this row],[team]],MatchData[moat available])</f>
        <v>#VALUE!</v>
      </c>
      <c r="CC272" s="16" t="e">
        <f aca="false">SUMIF(MatchData[team],MatchData[[#this row],[team]],MatchData[ramparts available])</f>
        <v>#VALUE!</v>
      </c>
      <c r="CD272" s="16" t="e">
        <f aca="false">SUMIF(MatchData[team],MatchData[[#this row],[team]],MatchData[drawbridge available])</f>
        <v>#VALUE!</v>
      </c>
      <c r="CE272" s="16" t="e">
        <f aca="false">SUMIF(MatchData[team],MatchData[[#this row],[team]],MatchData[sally port available])</f>
        <v>#VALUE!</v>
      </c>
      <c r="CF272" s="16" t="e">
        <f aca="false">SUMIF(MatchData[team],MatchData[[#this row],[team]],MatchData[rock wall available])</f>
        <v>#VALUE!</v>
      </c>
      <c r="CG272" s="16" t="e">
        <f aca="false">SUMIF(MatchData[team],MatchData[[#this row],[team]],MatchData[rough terrain available])</f>
        <v>#VALUE!</v>
      </c>
      <c r="CH272" s="16" t="e">
        <f aca="false">SUMIF(MatchData[team],MatchData[[#this row],[team]],MatchData[low bar available])</f>
        <v>#VALUE!</v>
      </c>
      <c r="CI272" s="16" t="e">
        <f aca="false">SUMIF(MatchData[team],MatchData[[#this row],[team]],MatchData[portcullis teleop crossings]:MatchData[portcullis scored crossings])</f>
        <v>#VALUE!</v>
      </c>
      <c r="CJ272" s="16" t="e">
        <f aca="false">SUMIF(MatchData[team],MatchData[[#this row],[team]],MatchData[cheval teleop crossings])+SUMIF(MatchData[team],MatchData[[#this row],[team]],MatchData[cheval scored crossings])</f>
        <v>#VALUE!</v>
      </c>
      <c r="CK272" s="16" t="e">
        <f aca="false">SUMIF(MatchData[team],MatchData[[#this row],[team]],MatchData[moat teleop crossings])+SUMIF(MatchData[team],MatchData[[#this row],[team]],MatchData[moat scored crosings])</f>
        <v>#VALUE!</v>
      </c>
      <c r="CL272" s="16" t="e">
        <f aca="false">SUMIF(MatchData[team],MatchData[[#this row],[team]],MatchData[ramparts teleop crossings])+SUMIF(MatchData[team],MatchData[[#this row],[team]],MatchData[ramparts scored crossings])</f>
        <v>#VALUE!</v>
      </c>
      <c r="CM272" s="16" t="e">
        <f aca="false">SUMIF(MatchData[team],MatchData[[#this row],[team]],MatchData[drawbridge teleop crossings])+SUMIF(MatchData[team],MatchData[[#this row],[team]],MatchData[drawbridge scored crossings])</f>
        <v>#VALUE!</v>
      </c>
      <c r="CN272" s="16" t="e">
        <f aca="false">SUMIF(MatchData[team],MatchData[[#this row],[team]],MatchData[sally port teleop crossings])+SUMIF(MatchData[team],MatchData[[#this row],[team]],MatchData[sally port scored crossings])</f>
        <v>#VALUE!</v>
      </c>
      <c r="CO272" s="16" t="e">
        <f aca="false">SUMIF(MatchData[team],MatchData[[#this row],[team]],MatchData[rock wall teleop crossings])+SUMIF(MatchData[team],MatchData[[#this row],[team]],MatchData[rock wall scored crossings])</f>
        <v>#VALUE!</v>
      </c>
      <c r="CP272" s="16" t="e">
        <f aca="false">SUMIF(MatchData[team],MatchData[[#this row],[team]],MatchData[rough terrain teleop crossings])+SUMIF(MatchData[team],MatchData[[#this row],[team]],MatchData[rough terrain scored crossings])</f>
        <v>#VALUE!</v>
      </c>
      <c r="CQ272" s="16" t="e">
        <f aca="false">SUMIF(MatchData[team],MatchData[[#this row],[team]],MatchData[low bar teleop crossings])+SUMIF(MatchData[team],MatchData[[#this row],[team]],MatchData[low bar scored crossings])</f>
        <v>#VALUE!</v>
      </c>
      <c r="CR272" s="16" t="e">
        <f aca="false">IFERROR(ROUND(MatchData[[#this row],[portcullis sum]]/MatchData[[#this row],[portcullis avail count]],2),0)</f>
        <v>#VALUE!</v>
      </c>
      <c r="CS272" s="16" t="e">
        <f aca="false">IFERROR(ROUND(MatchData[[#this row],[cheval sum]]/MatchData[[#this row],[cheval avail count]],2),0)</f>
        <v>#VALUE!</v>
      </c>
      <c r="CT272" s="16" t="e">
        <f aca="false">IFERROR(ROUND(MatchData[[#this row],[moat sum]]/MatchData[[#this row],[moat avail count]],2),0)</f>
        <v>#VALUE!</v>
      </c>
      <c r="CU272" s="16" t="e">
        <f aca="false">IFERROR(ROUND(MatchData[[#this row],[ramparts sum]]/MatchData[[#this row],[ramparts avail count]],2),0)</f>
        <v>#VALUE!</v>
      </c>
      <c r="CV272" s="16" t="e">
        <f aca="false">IFERROR(ROUND(MatchData[[#this row],[drawbridge sum]]/MatchData[[#this row],[drawbridge avail countigh6]],2),0)</f>
        <v>#VALUE!</v>
      </c>
      <c r="CW272" s="16" t="e">
        <f aca="false">IFERROR(ROUND(MatchData[[#this row],[sally port sum]]/MatchData[[#this row],[sally port avail count]],2),0)</f>
        <v>#VALUE!</v>
      </c>
      <c r="CX272" s="5" t="e">
        <f aca="false">IFERROR(ROUND(MatchData[[#this row],[rock wall sum]]/MatchData[[#this row],[rock wall avail count]],2),0)</f>
        <v>#VALUE!</v>
      </c>
      <c r="CY272" s="5" t="e">
        <f aca="false">IFERROR(ROUND(MatchData[[#this row],[rough terrain sum]]/MatchData[[#this row],[rough terrain avail count]],2),0)</f>
        <v>#VALUE!</v>
      </c>
      <c r="CZ272" s="5" t="e">
        <f aca="false">IFERROR(ROUND(MatchData[[#this row],[low bar sum]]/MatchData[[#this row],[low bar avail count]],2),0)</f>
        <v>#VALUE!</v>
      </c>
      <c r="DA272" s="16" t="e">
        <f aca="false">SUM(MatchData[[#this row],[cheval sum]:[low bar sum]])/MatchData[match count]</f>
        <v>#VALUE!</v>
      </c>
      <c r="DB272" s="16" t="n">
        <f aca="false">MAX(IF(C$2:C$74=C272,BP$2:BP$74))</f>
        <v>-1.79769313486232E+308</v>
      </c>
      <c r="DC272" s="16" t="e">
        <f aca="false">AVERAGEIF(MatchData[team],MatchData[[#this row],[team]],MatchData[total score])</f>
        <v>#VALUE!</v>
      </c>
      <c r="DD272" s="16" t="e">
        <f aca="false">ROUND(AVERAGEIF(MatchData[team],MatchData[team],MatchData[climb or challenge flag]),2)</f>
        <v>#VALUE!</v>
      </c>
    </row>
    <row r="273" customFormat="false" ht="14.5" hidden="false" customHeight="false" outlineLevel="0" collapsed="false">
      <c r="A273" s="20" t="s">
        <v>108</v>
      </c>
      <c r="B273" s="14" t="n">
        <v>46</v>
      </c>
      <c r="C273" s="15" t="n">
        <v>3192</v>
      </c>
      <c r="D273" s="5" t="s">
        <v>109</v>
      </c>
      <c r="G273" s="16"/>
      <c r="I273" s="16"/>
      <c r="J273" s="0"/>
      <c r="K273" s="16"/>
      <c r="N273" s="0"/>
      <c r="O273" s="0"/>
      <c r="P273" s="0"/>
      <c r="Q273" s="0"/>
      <c r="R273" s="0"/>
      <c r="S273" s="16"/>
      <c r="U273" s="16"/>
      <c r="V273" s="16"/>
      <c r="W273" s="0"/>
      <c r="AD273" s="16"/>
      <c r="AE273" s="5"/>
      <c r="AF273" s="16"/>
      <c r="AG273" s="16"/>
      <c r="AH273" s="16"/>
      <c r="AJ273" s="16"/>
      <c r="AL273" s="16"/>
      <c r="AN273" s="16"/>
      <c r="AP273" s="16"/>
      <c r="AR273" s="16"/>
      <c r="AT273" s="16"/>
      <c r="AU273" s="16"/>
      <c r="AV273" s="16"/>
      <c r="AW273" s="16"/>
      <c r="AX273" s="16"/>
      <c r="AY273" s="16"/>
      <c r="AZ273" s="16"/>
      <c r="BB273" s="16"/>
      <c r="BC273" s="16" t="e">
        <f aca="false">MatchData[cheval scored crossings]*5</f>
        <v>#VALUE!</v>
      </c>
      <c r="BD273" s="16" t="e">
        <f aca="false">MatchData[moat scored crosings]*5</f>
        <v>#VALUE!</v>
      </c>
      <c r="BE273" s="16" t="e">
        <f aca="false">MatchData[ramparts scored crossings]*5</f>
        <v>#VALUE!</v>
      </c>
      <c r="BF273" s="16" t="e">
        <f aca="false">MatchData[drawbridge scored crossings]*5</f>
        <v>#VALUE!</v>
      </c>
      <c r="BG273" s="16" t="e">
        <f aca="false">MatchData[sally port scored crossings]*5</f>
        <v>#VALUE!</v>
      </c>
      <c r="BH273" s="16" t="e">
        <f aca="false">MatchData[rock wall scored crossings]*5</f>
        <v>#VALUE!</v>
      </c>
      <c r="BI273" s="16" t="e">
        <f aca="false">MatchData[rough terrain scored crossings]*5</f>
        <v>#VALUE!</v>
      </c>
      <c r="BJ273" s="16" t="e">
        <f aca="false">MatchData[low bar scored crossings]*5</f>
        <v>#VALUE!</v>
      </c>
      <c r="BK273" s="16" t="e">
        <f aca="false">SUM(MatchData[[#this row],[low bar teleop crossings]:[rough terrain scored crossings]])</f>
        <v>#VALUE!</v>
      </c>
      <c r="BL273" s="16" t="e">
        <f aca="false">IFERROR(IF(OR(MatchData[[#this row],[challenge flag]],MatchData[[#this row],[climb flag]]),1,0),0)</f>
        <v>#VALUE!</v>
      </c>
      <c r="BM273" s="16" t="e">
        <f aca="false">MatchData[auto high goals]*10+MatchData[teleop high goals]*5</f>
        <v>#VALUE!</v>
      </c>
      <c r="BN273" s="16" t="e">
        <f aca="false">MatchData[auto low goals]*5+MatchData[teleop low goals]*2</f>
        <v>#VALUE!</v>
      </c>
      <c r="BO273" s="16" t="e">
        <f aca="false">MatchData[high goal score]+MatchData[low goal score]</f>
        <v>#VALUE!</v>
      </c>
      <c r="BP273" s="16" t="e">
        <f aca="false">MatchData[teleop high goals]+MatchData[teleop low goals]</f>
        <v>#VALUE!</v>
      </c>
      <c r="BQ273" s="16" t="e">
        <f aca="false">MatchData[[#this row],[auto reach flag]]*2+SUM(MatchData[[#this row],[portcullis auto crossings]:[low bar auto crossings]])*10+MatchData[[#this row],[auto low goals]]*5+MatchData[auto high goals]*10</f>
        <v>#VALUE!</v>
      </c>
      <c r="BR273" s="16" t="e">
        <f aca="false">SUM(MatchData[[#this row],[cheval teleop crossing score]:[low bar teleop crossing score]])</f>
        <v>#VALUE!</v>
      </c>
      <c r="BS273" s="16" t="e">
        <f aca="false">SUMIF(MatchData[team],MatchData[[#this row],[team]],MatchData[total auto score])/MatchData[match count]</f>
        <v>#VALUE!</v>
      </c>
      <c r="BT273" s="16" t="e">
        <f aca="false">MatchData[challenge flag]*5</f>
        <v>#VALUE!</v>
      </c>
      <c r="BU273" s="16" t="e">
        <f aca="false">MatchData[climb flag]*15</f>
        <v>#VALUE!</v>
      </c>
      <c r="BV273" s="16" t="e">
        <f aca="false">SUM(MatchData[[#this row],[total goal score]],MatchData[[#this row],[crossing score]],MatchData[[#this row],[challenge score]],MatchData[[#this row],[climb score]],MatchData[[#this row],[total auto score]])</f>
        <v>#VALUE!</v>
      </c>
      <c r="BW273" s="16" t="e">
        <f aca="false">ROUND(SUMIF(MatchData[team],MatchData[[#this row],[team]],MatchData[teleop low goals])/COUNTIF(MatchData[team],MatchData[[#this row],[team]]),2)</f>
        <v>#VALUE!</v>
      </c>
      <c r="BX273" s="16" t="e">
        <f aca="false">ROUND(SUMIF(MatchData[team],MatchData[[#this row],[team]],MatchData[teleop high goals])/COUNTIF(MatchData[team],MatchData[[#this row],[team]]),2)</f>
        <v>#VALUE!</v>
      </c>
      <c r="BY273" s="16" t="e">
        <f aca="false">COUNTIF(MatchData[team],MatchData[[#this row],[team]])</f>
        <v>#VALUE!</v>
      </c>
      <c r="BZ273" s="16" t="e">
        <f aca="false">SUMIF(MatchData[team],MatchData[[#this row],[team]],MatchData[portcullis available])</f>
        <v>#VALUE!</v>
      </c>
      <c r="CA273" s="16" t="e">
        <f aca="false">SUMIF(MatchData[team],MatchData[[#this row],[team]],MatchData[cheval available])</f>
        <v>#VALUE!</v>
      </c>
      <c r="CB273" s="16" t="e">
        <f aca="false">SUMIF(MatchData[team],MatchData[[#this row],[team]],MatchData[moat available])</f>
        <v>#VALUE!</v>
      </c>
      <c r="CC273" s="16" t="e">
        <f aca="false">SUMIF(MatchData[team],MatchData[[#this row],[team]],MatchData[ramparts available])</f>
        <v>#VALUE!</v>
      </c>
      <c r="CD273" s="16" t="e">
        <f aca="false">SUMIF(MatchData[team],MatchData[[#this row],[team]],MatchData[drawbridge available])</f>
        <v>#VALUE!</v>
      </c>
      <c r="CE273" s="16" t="e">
        <f aca="false">SUMIF(MatchData[team],MatchData[[#this row],[team]],MatchData[sally port available])</f>
        <v>#VALUE!</v>
      </c>
      <c r="CF273" s="16" t="e">
        <f aca="false">SUMIF(MatchData[team],MatchData[[#this row],[team]],MatchData[rock wall available])</f>
        <v>#VALUE!</v>
      </c>
      <c r="CG273" s="16" t="e">
        <f aca="false">SUMIF(MatchData[team],MatchData[[#this row],[team]],MatchData[rough terrain available])</f>
        <v>#VALUE!</v>
      </c>
      <c r="CH273" s="16" t="e">
        <f aca="false">SUMIF(MatchData[team],MatchData[[#this row],[team]],MatchData[low bar available])</f>
        <v>#VALUE!</v>
      </c>
      <c r="CI273" s="16" t="e">
        <f aca="false">SUMIF(MatchData[team],MatchData[[#this row],[team]],MatchData[portcullis teleop crossings]:MatchData[portcullis scored crossings])</f>
        <v>#VALUE!</v>
      </c>
      <c r="CJ273" s="16" t="e">
        <f aca="false">SUMIF(MatchData[team],MatchData[[#this row],[team]],MatchData[cheval teleop crossings])+SUMIF(MatchData[team],MatchData[[#this row],[team]],MatchData[cheval scored crossings])</f>
        <v>#VALUE!</v>
      </c>
      <c r="CK273" s="16" t="e">
        <f aca="false">SUMIF(MatchData[team],MatchData[[#this row],[team]],MatchData[moat teleop crossings])+SUMIF(MatchData[team],MatchData[[#this row],[team]],MatchData[moat scored crosings])</f>
        <v>#VALUE!</v>
      </c>
      <c r="CL273" s="16" t="e">
        <f aca="false">SUMIF(MatchData[team],MatchData[[#this row],[team]],MatchData[ramparts teleop crossings])+SUMIF(MatchData[team],MatchData[[#this row],[team]],MatchData[ramparts scored crossings])</f>
        <v>#VALUE!</v>
      </c>
      <c r="CM273" s="16" t="e">
        <f aca="false">SUMIF(MatchData[team],MatchData[[#this row],[team]],MatchData[drawbridge teleop crossings])+SUMIF(MatchData[team],MatchData[[#this row],[team]],MatchData[drawbridge scored crossings])</f>
        <v>#VALUE!</v>
      </c>
      <c r="CN273" s="16" t="e">
        <f aca="false">SUMIF(MatchData[team],MatchData[[#this row],[team]],MatchData[sally port teleop crossings])+SUMIF(MatchData[team],MatchData[[#this row],[team]],MatchData[sally port scored crossings])</f>
        <v>#VALUE!</v>
      </c>
      <c r="CO273" s="16" t="e">
        <f aca="false">SUMIF(MatchData[team],MatchData[[#this row],[team]],MatchData[rock wall teleop crossings])+SUMIF(MatchData[team],MatchData[[#this row],[team]],MatchData[rock wall scored crossings])</f>
        <v>#VALUE!</v>
      </c>
      <c r="CP273" s="16" t="e">
        <f aca="false">SUMIF(MatchData[team],MatchData[[#this row],[team]],MatchData[rough terrain teleop crossings])+SUMIF(MatchData[team],MatchData[[#this row],[team]],MatchData[rough terrain scored crossings])</f>
        <v>#VALUE!</v>
      </c>
      <c r="CQ273" s="16" t="e">
        <f aca="false">SUMIF(MatchData[team],MatchData[[#this row],[team]],MatchData[low bar teleop crossings])+SUMIF(MatchData[team],MatchData[[#this row],[team]],MatchData[low bar scored crossings])</f>
        <v>#VALUE!</v>
      </c>
      <c r="CR273" s="16" t="e">
        <f aca="false">IFERROR(ROUND(MatchData[[#this row],[portcullis sum]]/MatchData[[#this row],[portcullis avail count]],2),0)</f>
        <v>#VALUE!</v>
      </c>
      <c r="CS273" s="16" t="e">
        <f aca="false">IFERROR(ROUND(MatchData[[#this row],[cheval sum]]/MatchData[[#this row],[cheval avail count]],2),0)</f>
        <v>#VALUE!</v>
      </c>
      <c r="CT273" s="16" t="e">
        <f aca="false">IFERROR(ROUND(MatchData[[#this row],[moat sum]]/MatchData[[#this row],[moat avail count]],2),0)</f>
        <v>#VALUE!</v>
      </c>
      <c r="CU273" s="16" t="e">
        <f aca="false">IFERROR(ROUND(MatchData[[#this row],[ramparts sum]]/MatchData[[#this row],[ramparts avail count]],2),0)</f>
        <v>#VALUE!</v>
      </c>
      <c r="CV273" s="16" t="e">
        <f aca="false">IFERROR(ROUND(MatchData[[#this row],[drawbridge sum]]/MatchData[[#this row],[drawbridge avail countigh6]],2),0)</f>
        <v>#VALUE!</v>
      </c>
      <c r="CW273" s="16" t="e">
        <f aca="false">IFERROR(ROUND(MatchData[[#this row],[sally port sum]]/MatchData[[#this row],[sally port avail count]],2),0)</f>
        <v>#VALUE!</v>
      </c>
      <c r="CX273" s="5" t="e">
        <f aca="false">IFERROR(ROUND(MatchData[[#this row],[rock wall sum]]/MatchData[[#this row],[rock wall avail count]],2),0)</f>
        <v>#VALUE!</v>
      </c>
      <c r="CY273" s="5" t="e">
        <f aca="false">IFERROR(ROUND(MatchData[[#this row],[rough terrain sum]]/MatchData[[#this row],[rough terrain avail count]],2),0)</f>
        <v>#VALUE!</v>
      </c>
      <c r="CZ273" s="5" t="e">
        <f aca="false">IFERROR(ROUND(MatchData[[#this row],[low bar sum]]/MatchData[[#this row],[low bar avail count]],2),0)</f>
        <v>#VALUE!</v>
      </c>
      <c r="DA273" s="16" t="e">
        <f aca="false">SUM(MatchData[[#this row],[cheval sum]:[low bar sum]])/MatchData[match count]</f>
        <v>#VALUE!</v>
      </c>
      <c r="DB273" s="16" t="n">
        <f aca="false">MAX(IF(C$2:C$74=C273,BP$2:BP$74))</f>
        <v>-1.79769313486232E+308</v>
      </c>
      <c r="DC273" s="16" t="e">
        <f aca="false">AVERAGEIF(MatchData[team],MatchData[[#this row],[team]],MatchData[total score])</f>
        <v>#VALUE!</v>
      </c>
      <c r="DD273" s="16" t="e">
        <f aca="false">ROUND(AVERAGEIF(MatchData[team],MatchData[team],MatchData[climb or challenge flag]),2)</f>
        <v>#VALUE!</v>
      </c>
    </row>
    <row r="274" customFormat="false" ht="14.5" hidden="false" customHeight="false" outlineLevel="0" collapsed="false">
      <c r="A274" s="20" t="s">
        <v>108</v>
      </c>
      <c r="B274" s="18" t="n">
        <v>46</v>
      </c>
      <c r="C274" s="15" t="n">
        <v>4488</v>
      </c>
      <c r="D274" s="5" t="s">
        <v>109</v>
      </c>
      <c r="E274" s="5" t="s">
        <v>121</v>
      </c>
      <c r="G274" s="16" t="n">
        <v>4</v>
      </c>
      <c r="I274" s="16"/>
      <c r="J274" s="5" t="n">
        <v>1</v>
      </c>
      <c r="K274" s="16"/>
      <c r="L274" s="5" t="n">
        <v>1</v>
      </c>
      <c r="N274" s="5" t="n">
        <v>1</v>
      </c>
      <c r="O274" s="0"/>
      <c r="P274" s="5" t="n">
        <v>1</v>
      </c>
      <c r="Q274" s="0"/>
      <c r="R274" s="5" t="n">
        <v>1</v>
      </c>
      <c r="S274" s="16" t="n">
        <v>1</v>
      </c>
      <c r="U274" s="16"/>
      <c r="V274" s="16"/>
      <c r="W274" s="0"/>
      <c r="AC274" s="5" t="n">
        <v>1</v>
      </c>
      <c r="AD274" s="16" t="n">
        <v>2</v>
      </c>
      <c r="AE274" s="5"/>
      <c r="AF274" s="16"/>
      <c r="AG274" s="16"/>
      <c r="AH274" s="16" t="n">
        <v>2</v>
      </c>
      <c r="AJ274" s="16"/>
      <c r="AL274" s="16"/>
      <c r="AN274" s="16"/>
      <c r="AP274" s="16"/>
      <c r="AR274" s="16"/>
      <c r="AT274" s="16" t="n">
        <v>2</v>
      </c>
      <c r="AU274" s="16"/>
      <c r="AV274" s="16"/>
      <c r="AW274" s="16" t="n">
        <v>1</v>
      </c>
      <c r="AX274" s="16"/>
      <c r="AY274" s="16"/>
      <c r="AZ274" s="16"/>
      <c r="BA274" s="5" t="n">
        <v>1</v>
      </c>
      <c r="BB274" s="16" t="n">
        <v>1</v>
      </c>
      <c r="BC274" s="16" t="e">
        <f aca="false">MatchData[cheval scored crossings]*5</f>
        <v>#VALUE!</v>
      </c>
      <c r="BD274" s="16" t="e">
        <f aca="false">MatchData[moat scored crosings]*5</f>
        <v>#VALUE!</v>
      </c>
      <c r="BE274" s="16" t="e">
        <f aca="false">MatchData[ramparts scored crossings]*5</f>
        <v>#VALUE!</v>
      </c>
      <c r="BF274" s="16" t="e">
        <f aca="false">MatchData[drawbridge scored crossings]*5</f>
        <v>#VALUE!</v>
      </c>
      <c r="BG274" s="16" t="e">
        <f aca="false">MatchData[sally port scored crossings]*5</f>
        <v>#VALUE!</v>
      </c>
      <c r="BH274" s="16" t="e">
        <f aca="false">MatchData[rock wall scored crossings]*5</f>
        <v>#VALUE!</v>
      </c>
      <c r="BI274" s="16" t="e">
        <f aca="false">MatchData[rough terrain scored crossings]*5</f>
        <v>#VALUE!</v>
      </c>
      <c r="BJ274" s="16" t="e">
        <f aca="false">MatchData[low bar scored crossings]*5</f>
        <v>#VALUE!</v>
      </c>
      <c r="BK274" s="16" t="e">
        <f aca="false">SUM(MatchData[[#this row],[low bar teleop crossings]:[rough terrain scored crossings]])</f>
        <v>#VALUE!</v>
      </c>
      <c r="BL274" s="16" t="e">
        <f aca="false">IFERROR(IF(OR(MatchData[[#this row],[challenge flag]],MatchData[[#this row],[climb flag]]),1,0),0)</f>
        <v>#VALUE!</v>
      </c>
      <c r="BM274" s="16" t="e">
        <f aca="false">MatchData[auto high goals]*10+MatchData[teleop high goals]*5</f>
        <v>#VALUE!</v>
      </c>
      <c r="BN274" s="16" t="e">
        <f aca="false">MatchData[auto low goals]*5+MatchData[teleop low goals]*2</f>
        <v>#VALUE!</v>
      </c>
      <c r="BO274" s="16" t="e">
        <f aca="false">MatchData[high goal score]+MatchData[low goal score]</f>
        <v>#VALUE!</v>
      </c>
      <c r="BP274" s="16" t="e">
        <f aca="false">MatchData[teleop high goals]+MatchData[teleop low goals]</f>
        <v>#VALUE!</v>
      </c>
      <c r="BQ274" s="16" t="e">
        <f aca="false">MatchData[[#this row],[auto reach flag]]*2+SUM(MatchData[[#this row],[portcullis auto crossings]:[low bar auto crossings]])*10+MatchData[[#this row],[auto low goals]]*5+MatchData[auto high goals]*10</f>
        <v>#VALUE!</v>
      </c>
      <c r="BR274" s="16" t="e">
        <f aca="false">SUM(MatchData[[#this row],[cheval teleop crossing score]:[low bar teleop crossing score]])</f>
        <v>#VALUE!</v>
      </c>
      <c r="BS274" s="16" t="e">
        <f aca="false">SUMIF(MatchData[team],MatchData[[#this row],[team]],MatchData[total auto score])/MatchData[match count]</f>
        <v>#VALUE!</v>
      </c>
      <c r="BT274" s="16" t="e">
        <f aca="false">MatchData[challenge flag]*5</f>
        <v>#VALUE!</v>
      </c>
      <c r="BU274" s="16" t="e">
        <f aca="false">MatchData[climb flag]*15</f>
        <v>#VALUE!</v>
      </c>
      <c r="BV274" s="16" t="e">
        <f aca="false">SUM(MatchData[[#this row],[total goal score]],MatchData[[#this row],[crossing score]],MatchData[[#this row],[challenge score]],MatchData[[#this row],[climb score]],MatchData[[#this row],[total auto score]])</f>
        <v>#VALUE!</v>
      </c>
      <c r="BW274" s="16" t="e">
        <f aca="false">ROUND(SUMIF(MatchData[team],MatchData[[#this row],[team]],MatchData[teleop low goals])/COUNTIF(MatchData[team],MatchData[[#this row],[team]]),2)</f>
        <v>#VALUE!</v>
      </c>
      <c r="BX274" s="16" t="e">
        <f aca="false">ROUND(SUMIF(MatchData[team],MatchData[[#this row],[team]],MatchData[teleop high goals])/COUNTIF(MatchData[team],MatchData[[#this row],[team]]),2)</f>
        <v>#VALUE!</v>
      </c>
      <c r="BY274" s="16" t="e">
        <f aca="false">COUNTIF(MatchData[team],MatchData[[#this row],[team]])</f>
        <v>#VALUE!</v>
      </c>
      <c r="BZ274" s="16" t="e">
        <f aca="false">SUMIF(MatchData[team],MatchData[[#this row],[team]],MatchData[portcullis available])</f>
        <v>#VALUE!</v>
      </c>
      <c r="CA274" s="16" t="e">
        <f aca="false">SUMIF(MatchData[team],MatchData[[#this row],[team]],MatchData[cheval available])</f>
        <v>#VALUE!</v>
      </c>
      <c r="CB274" s="16" t="e">
        <f aca="false">SUMIF(MatchData[team],MatchData[[#this row],[team]],MatchData[moat available])</f>
        <v>#VALUE!</v>
      </c>
      <c r="CC274" s="16" t="e">
        <f aca="false">SUMIF(MatchData[team],MatchData[[#this row],[team]],MatchData[ramparts available])</f>
        <v>#VALUE!</v>
      </c>
      <c r="CD274" s="16" t="e">
        <f aca="false">SUMIF(MatchData[team],MatchData[[#this row],[team]],MatchData[drawbridge available])</f>
        <v>#VALUE!</v>
      </c>
      <c r="CE274" s="16" t="e">
        <f aca="false">SUMIF(MatchData[team],MatchData[[#this row],[team]],MatchData[sally port available])</f>
        <v>#VALUE!</v>
      </c>
      <c r="CF274" s="16" t="e">
        <f aca="false">SUMIF(MatchData[team],MatchData[[#this row],[team]],MatchData[rock wall available])</f>
        <v>#VALUE!</v>
      </c>
      <c r="CG274" s="16" t="e">
        <f aca="false">SUMIF(MatchData[team],MatchData[[#this row],[team]],MatchData[rough terrain available])</f>
        <v>#VALUE!</v>
      </c>
      <c r="CH274" s="16" t="e">
        <f aca="false">SUMIF(MatchData[team],MatchData[[#this row],[team]],MatchData[low bar available])</f>
        <v>#VALUE!</v>
      </c>
      <c r="CI274" s="16" t="e">
        <f aca="false">SUMIF(MatchData[team],MatchData[[#this row],[team]],MatchData[portcullis teleop crossings]:MatchData[portcullis scored crossings])</f>
        <v>#VALUE!</v>
      </c>
      <c r="CJ274" s="16" t="e">
        <f aca="false">SUMIF(MatchData[team],MatchData[[#this row],[team]],MatchData[cheval teleop crossings])+SUMIF(MatchData[team],MatchData[[#this row],[team]],MatchData[cheval scored crossings])</f>
        <v>#VALUE!</v>
      </c>
      <c r="CK274" s="16" t="e">
        <f aca="false">SUMIF(MatchData[team],MatchData[[#this row],[team]],MatchData[moat teleop crossings])+SUMIF(MatchData[team],MatchData[[#this row],[team]],MatchData[moat scored crosings])</f>
        <v>#VALUE!</v>
      </c>
      <c r="CL274" s="16" t="e">
        <f aca="false">SUMIF(MatchData[team],MatchData[[#this row],[team]],MatchData[ramparts teleop crossings])+SUMIF(MatchData[team],MatchData[[#this row],[team]],MatchData[ramparts scored crossings])</f>
        <v>#VALUE!</v>
      </c>
      <c r="CM274" s="16" t="e">
        <f aca="false">SUMIF(MatchData[team],MatchData[[#this row],[team]],MatchData[drawbridge teleop crossings])+SUMIF(MatchData[team],MatchData[[#this row],[team]],MatchData[drawbridge scored crossings])</f>
        <v>#VALUE!</v>
      </c>
      <c r="CN274" s="16" t="e">
        <f aca="false">SUMIF(MatchData[team],MatchData[[#this row],[team]],MatchData[sally port teleop crossings])+SUMIF(MatchData[team],MatchData[[#this row],[team]],MatchData[sally port scored crossings])</f>
        <v>#VALUE!</v>
      </c>
      <c r="CO274" s="16" t="e">
        <f aca="false">SUMIF(MatchData[team],MatchData[[#this row],[team]],MatchData[rock wall teleop crossings])+SUMIF(MatchData[team],MatchData[[#this row],[team]],MatchData[rock wall scored crossings])</f>
        <v>#VALUE!</v>
      </c>
      <c r="CP274" s="16" t="e">
        <f aca="false">SUMIF(MatchData[team],MatchData[[#this row],[team]],MatchData[rough terrain teleop crossings])+SUMIF(MatchData[team],MatchData[[#this row],[team]],MatchData[rough terrain scored crossings])</f>
        <v>#VALUE!</v>
      </c>
      <c r="CQ274" s="16" t="e">
        <f aca="false">SUMIF(MatchData[team],MatchData[[#this row],[team]],MatchData[low bar teleop crossings])+SUMIF(MatchData[team],MatchData[[#this row],[team]],MatchData[low bar scored crossings])</f>
        <v>#VALUE!</v>
      </c>
      <c r="CR274" s="16" t="e">
        <f aca="false">IFERROR(ROUND(MatchData[[#this row],[portcullis sum]]/MatchData[[#this row],[portcullis avail count]],2),0)</f>
        <v>#VALUE!</v>
      </c>
      <c r="CS274" s="16" t="e">
        <f aca="false">IFERROR(ROUND(MatchData[[#this row],[cheval sum]]/MatchData[[#this row],[cheval avail count]],2),0)</f>
        <v>#VALUE!</v>
      </c>
      <c r="CT274" s="16" t="e">
        <f aca="false">IFERROR(ROUND(MatchData[[#this row],[moat sum]]/MatchData[[#this row],[moat avail count]],2),0)</f>
        <v>#VALUE!</v>
      </c>
      <c r="CU274" s="16" t="e">
        <f aca="false">IFERROR(ROUND(MatchData[[#this row],[ramparts sum]]/MatchData[[#this row],[ramparts avail count]],2),0)</f>
        <v>#VALUE!</v>
      </c>
      <c r="CV274" s="16" t="e">
        <f aca="false">IFERROR(ROUND(MatchData[[#this row],[drawbridge sum]]/MatchData[[#this row],[drawbridge avail countigh6]],2),0)</f>
        <v>#VALUE!</v>
      </c>
      <c r="CW274" s="16" t="e">
        <f aca="false">IFERROR(ROUND(MatchData[[#this row],[sally port sum]]/MatchData[[#this row],[sally port avail count]],2),0)</f>
        <v>#VALUE!</v>
      </c>
      <c r="CX274" s="5" t="e">
        <f aca="false">IFERROR(ROUND(MatchData[[#this row],[rock wall sum]]/MatchData[[#this row],[rock wall avail count]],2),0)</f>
        <v>#VALUE!</v>
      </c>
      <c r="CY274" s="5" t="e">
        <f aca="false">IFERROR(ROUND(MatchData[[#this row],[rough terrain sum]]/MatchData[[#this row],[rough terrain avail count]],2),0)</f>
        <v>#VALUE!</v>
      </c>
      <c r="CZ274" s="5" t="e">
        <f aca="false">IFERROR(ROUND(MatchData[[#this row],[low bar sum]]/MatchData[[#this row],[low bar avail count]],2),0)</f>
        <v>#VALUE!</v>
      </c>
      <c r="DA274" s="16" t="e">
        <f aca="false">SUM(MatchData[[#this row],[cheval sum]:[low bar sum]])/MatchData[match count]</f>
        <v>#VALUE!</v>
      </c>
      <c r="DB274" s="16" t="n">
        <f aca="false">MAX(IF(C$2:C$74=C274,BP$2:BP$74))</f>
        <v>-1.79769313486232E+308</v>
      </c>
      <c r="DC274" s="16" t="e">
        <f aca="false">AVERAGEIF(MatchData[team],MatchData[[#this row],[team]],MatchData[total score])</f>
        <v>#VALUE!</v>
      </c>
      <c r="DD274" s="16" t="e">
        <f aca="false">ROUND(AVERAGEIF(MatchData[team],MatchData[team],MatchData[climb or challenge flag]),2)</f>
        <v>#VALUE!</v>
      </c>
    </row>
    <row r="275" customFormat="false" ht="14.5" hidden="false" customHeight="false" outlineLevel="0" collapsed="false">
      <c r="A275" s="20" t="s">
        <v>108</v>
      </c>
      <c r="B275" s="14" t="n">
        <v>46</v>
      </c>
      <c r="C275" s="15" t="n">
        <v>847</v>
      </c>
      <c r="D275" s="5" t="s">
        <v>113</v>
      </c>
      <c r="E275" s="5" t="s">
        <v>161</v>
      </c>
      <c r="G275" s="16"/>
      <c r="I275" s="16"/>
      <c r="J275" s="5" t="n">
        <v>1</v>
      </c>
      <c r="K275" s="16"/>
      <c r="L275" s="5" t="n">
        <v>1</v>
      </c>
      <c r="M275" s="5" t="n">
        <v>1</v>
      </c>
      <c r="N275" s="0"/>
      <c r="O275" s="0"/>
      <c r="P275" s="5" t="n">
        <v>1</v>
      </c>
      <c r="Q275" s="0"/>
      <c r="R275" s="5" t="n">
        <v>1</v>
      </c>
      <c r="S275" s="16"/>
      <c r="U275" s="16"/>
      <c r="V275" s="16"/>
      <c r="W275" s="0"/>
      <c r="AA275" s="5" t="n">
        <v>1</v>
      </c>
      <c r="AD275" s="16"/>
      <c r="AE275" s="5"/>
      <c r="AF275" s="16"/>
      <c r="AG275" s="16"/>
      <c r="AH275" s="16"/>
      <c r="AJ275" s="16"/>
      <c r="AL275" s="16"/>
      <c r="AN275" s="16"/>
      <c r="AP275" s="16"/>
      <c r="AR275" s="16"/>
      <c r="AS275" s="5" t="n">
        <v>1</v>
      </c>
      <c r="AT275" s="16" t="n">
        <v>2</v>
      </c>
      <c r="AU275" s="16"/>
      <c r="AV275" s="16"/>
      <c r="AW275" s="16"/>
      <c r="AX275" s="16"/>
      <c r="AY275" s="16"/>
      <c r="AZ275" s="16"/>
      <c r="BB275" s="16" t="n">
        <v>1</v>
      </c>
      <c r="BC275" s="16" t="e">
        <f aca="false">MatchData[cheval scored crossings]*5</f>
        <v>#VALUE!</v>
      </c>
      <c r="BD275" s="16" t="e">
        <f aca="false">MatchData[moat scored crosings]*5</f>
        <v>#VALUE!</v>
      </c>
      <c r="BE275" s="16" t="e">
        <f aca="false">MatchData[ramparts scored crossings]*5</f>
        <v>#VALUE!</v>
      </c>
      <c r="BF275" s="16" t="e">
        <f aca="false">MatchData[drawbridge scored crossings]*5</f>
        <v>#VALUE!</v>
      </c>
      <c r="BG275" s="16" t="e">
        <f aca="false">MatchData[sally port scored crossings]*5</f>
        <v>#VALUE!</v>
      </c>
      <c r="BH275" s="16" t="e">
        <f aca="false">MatchData[rock wall scored crossings]*5</f>
        <v>#VALUE!</v>
      </c>
      <c r="BI275" s="16" t="e">
        <f aca="false">MatchData[rough terrain scored crossings]*5</f>
        <v>#VALUE!</v>
      </c>
      <c r="BJ275" s="16" t="e">
        <f aca="false">MatchData[low bar scored crossings]*5</f>
        <v>#VALUE!</v>
      </c>
      <c r="BK275" s="16" t="e">
        <f aca="false">SUM(MatchData[[#this row],[low bar teleop crossings]:[rough terrain scored crossings]])</f>
        <v>#VALUE!</v>
      </c>
      <c r="BL275" s="16" t="e">
        <f aca="false">IFERROR(IF(OR(MatchData[[#this row],[challenge flag]],MatchData[[#this row],[climb flag]]),1,0),0)</f>
        <v>#VALUE!</v>
      </c>
      <c r="BM275" s="16" t="e">
        <f aca="false">MatchData[auto high goals]*10+MatchData[teleop high goals]*5</f>
        <v>#VALUE!</v>
      </c>
      <c r="BN275" s="16" t="e">
        <f aca="false">MatchData[auto low goals]*5+MatchData[teleop low goals]*2</f>
        <v>#VALUE!</v>
      </c>
      <c r="BO275" s="16" t="e">
        <f aca="false">MatchData[high goal score]+MatchData[low goal score]</f>
        <v>#VALUE!</v>
      </c>
      <c r="BP275" s="16" t="e">
        <f aca="false">MatchData[teleop high goals]+MatchData[teleop low goals]</f>
        <v>#VALUE!</v>
      </c>
      <c r="BQ275" s="16" t="e">
        <f aca="false">MatchData[[#this row],[auto reach flag]]*2+SUM(MatchData[[#this row],[portcullis auto crossings]:[low bar auto crossings]])*10+MatchData[[#this row],[auto low goals]]*5+MatchData[auto high goals]*10</f>
        <v>#VALUE!</v>
      </c>
      <c r="BR275" s="16" t="e">
        <f aca="false">SUM(MatchData[[#this row],[cheval teleop crossing score]:[low bar teleop crossing score]])</f>
        <v>#VALUE!</v>
      </c>
      <c r="BS275" s="16" t="e">
        <f aca="false">SUMIF(MatchData[team],MatchData[[#this row],[team]],MatchData[total auto score])/MatchData[match count]</f>
        <v>#VALUE!</v>
      </c>
      <c r="BT275" s="16" t="e">
        <f aca="false">MatchData[challenge flag]*5</f>
        <v>#VALUE!</v>
      </c>
      <c r="BU275" s="16" t="e">
        <f aca="false">MatchData[climb flag]*15</f>
        <v>#VALUE!</v>
      </c>
      <c r="BV275" s="16" t="e">
        <f aca="false">SUM(MatchData[[#this row],[total goal score]],MatchData[[#this row],[crossing score]],MatchData[[#this row],[challenge score]],MatchData[[#this row],[climb score]],MatchData[[#this row],[total auto score]])</f>
        <v>#VALUE!</v>
      </c>
      <c r="BW275" s="16" t="e">
        <f aca="false">ROUND(SUMIF(MatchData[team],MatchData[[#this row],[team]],MatchData[teleop low goals])/COUNTIF(MatchData[team],MatchData[[#this row],[team]]),2)</f>
        <v>#VALUE!</v>
      </c>
      <c r="BX275" s="16" t="e">
        <f aca="false">ROUND(SUMIF(MatchData[team],MatchData[[#this row],[team]],MatchData[teleop high goals])/COUNTIF(MatchData[team],MatchData[[#this row],[team]]),2)</f>
        <v>#VALUE!</v>
      </c>
      <c r="BY275" s="16" t="e">
        <f aca="false">COUNTIF(MatchData[team],MatchData[[#this row],[team]])</f>
        <v>#VALUE!</v>
      </c>
      <c r="BZ275" s="16" t="e">
        <f aca="false">SUMIF(MatchData[team],MatchData[[#this row],[team]],MatchData[portcullis available])</f>
        <v>#VALUE!</v>
      </c>
      <c r="CA275" s="16" t="e">
        <f aca="false">SUMIF(MatchData[team],MatchData[[#this row],[team]],MatchData[cheval available])</f>
        <v>#VALUE!</v>
      </c>
      <c r="CB275" s="16" t="e">
        <f aca="false">SUMIF(MatchData[team],MatchData[[#this row],[team]],MatchData[moat available])</f>
        <v>#VALUE!</v>
      </c>
      <c r="CC275" s="16" t="e">
        <f aca="false">SUMIF(MatchData[team],MatchData[[#this row],[team]],MatchData[ramparts available])</f>
        <v>#VALUE!</v>
      </c>
      <c r="CD275" s="16" t="e">
        <f aca="false">SUMIF(MatchData[team],MatchData[[#this row],[team]],MatchData[drawbridge available])</f>
        <v>#VALUE!</v>
      </c>
      <c r="CE275" s="16" t="e">
        <f aca="false">SUMIF(MatchData[team],MatchData[[#this row],[team]],MatchData[sally port available])</f>
        <v>#VALUE!</v>
      </c>
      <c r="CF275" s="16" t="e">
        <f aca="false">SUMIF(MatchData[team],MatchData[[#this row],[team]],MatchData[rock wall available])</f>
        <v>#VALUE!</v>
      </c>
      <c r="CG275" s="16" t="e">
        <f aca="false">SUMIF(MatchData[team],MatchData[[#this row],[team]],MatchData[rough terrain available])</f>
        <v>#VALUE!</v>
      </c>
      <c r="CH275" s="16" t="e">
        <f aca="false">SUMIF(MatchData[team],MatchData[[#this row],[team]],MatchData[low bar available])</f>
        <v>#VALUE!</v>
      </c>
      <c r="CI275" s="16" t="e">
        <f aca="false">SUMIF(MatchData[team],MatchData[[#this row],[team]],MatchData[portcullis teleop crossings]:MatchData[portcullis scored crossings])</f>
        <v>#VALUE!</v>
      </c>
      <c r="CJ275" s="16" t="e">
        <f aca="false">SUMIF(MatchData[team],MatchData[[#this row],[team]],MatchData[cheval teleop crossings])+SUMIF(MatchData[team],MatchData[[#this row],[team]],MatchData[cheval scored crossings])</f>
        <v>#VALUE!</v>
      </c>
      <c r="CK275" s="16" t="e">
        <f aca="false">SUMIF(MatchData[team],MatchData[[#this row],[team]],MatchData[moat teleop crossings])+SUMIF(MatchData[team],MatchData[[#this row],[team]],MatchData[moat scored crosings])</f>
        <v>#VALUE!</v>
      </c>
      <c r="CL275" s="16" t="e">
        <f aca="false">SUMIF(MatchData[team],MatchData[[#this row],[team]],MatchData[ramparts teleop crossings])+SUMIF(MatchData[team],MatchData[[#this row],[team]],MatchData[ramparts scored crossings])</f>
        <v>#VALUE!</v>
      </c>
      <c r="CM275" s="16" t="e">
        <f aca="false">SUMIF(MatchData[team],MatchData[[#this row],[team]],MatchData[drawbridge teleop crossings])+SUMIF(MatchData[team],MatchData[[#this row],[team]],MatchData[drawbridge scored crossings])</f>
        <v>#VALUE!</v>
      </c>
      <c r="CN275" s="16" t="e">
        <f aca="false">SUMIF(MatchData[team],MatchData[[#this row],[team]],MatchData[sally port teleop crossings])+SUMIF(MatchData[team],MatchData[[#this row],[team]],MatchData[sally port scored crossings])</f>
        <v>#VALUE!</v>
      </c>
      <c r="CO275" s="16" t="e">
        <f aca="false">SUMIF(MatchData[team],MatchData[[#this row],[team]],MatchData[rock wall teleop crossings])+SUMIF(MatchData[team],MatchData[[#this row],[team]],MatchData[rock wall scored crossings])</f>
        <v>#VALUE!</v>
      </c>
      <c r="CP275" s="16" t="e">
        <f aca="false">SUMIF(MatchData[team],MatchData[[#this row],[team]],MatchData[rough terrain teleop crossings])+SUMIF(MatchData[team],MatchData[[#this row],[team]],MatchData[rough terrain scored crossings])</f>
        <v>#VALUE!</v>
      </c>
      <c r="CQ275" s="16" t="e">
        <f aca="false">SUMIF(MatchData[team],MatchData[[#this row],[team]],MatchData[low bar teleop crossings])+SUMIF(MatchData[team],MatchData[[#this row],[team]],MatchData[low bar scored crossings])</f>
        <v>#VALUE!</v>
      </c>
      <c r="CR275" s="16" t="e">
        <f aca="false">IFERROR(ROUND(MatchData[[#this row],[portcullis sum]]/MatchData[[#this row],[portcullis avail count]],2),0)</f>
        <v>#VALUE!</v>
      </c>
      <c r="CS275" s="16" t="e">
        <f aca="false">IFERROR(ROUND(MatchData[[#this row],[cheval sum]]/MatchData[[#this row],[cheval avail count]],2),0)</f>
        <v>#VALUE!</v>
      </c>
      <c r="CT275" s="16" t="e">
        <f aca="false">IFERROR(ROUND(MatchData[[#this row],[moat sum]]/MatchData[[#this row],[moat avail count]],2),0)</f>
        <v>#VALUE!</v>
      </c>
      <c r="CU275" s="16" t="e">
        <f aca="false">IFERROR(ROUND(MatchData[[#this row],[ramparts sum]]/MatchData[[#this row],[ramparts avail count]],2),0)</f>
        <v>#VALUE!</v>
      </c>
      <c r="CV275" s="16" t="e">
        <f aca="false">IFERROR(ROUND(MatchData[[#this row],[drawbridge sum]]/MatchData[[#this row],[drawbridge avail countigh6]],2),0)</f>
        <v>#VALUE!</v>
      </c>
      <c r="CW275" s="16" t="e">
        <f aca="false">IFERROR(ROUND(MatchData[[#this row],[sally port sum]]/MatchData[[#this row],[sally port avail count]],2),0)</f>
        <v>#VALUE!</v>
      </c>
      <c r="CX275" s="5" t="e">
        <f aca="false">IFERROR(ROUND(MatchData[[#this row],[rock wall sum]]/MatchData[[#this row],[rock wall avail count]],2),0)</f>
        <v>#VALUE!</v>
      </c>
      <c r="CY275" s="5" t="e">
        <f aca="false">IFERROR(ROUND(MatchData[[#this row],[rough terrain sum]]/MatchData[[#this row],[rough terrain avail count]],2),0)</f>
        <v>#VALUE!</v>
      </c>
      <c r="CZ275" s="5" t="e">
        <f aca="false">IFERROR(ROUND(MatchData[[#this row],[low bar sum]]/MatchData[[#this row],[low bar avail count]],2),0)</f>
        <v>#VALUE!</v>
      </c>
      <c r="DA275" s="16" t="e">
        <f aca="false">SUM(MatchData[[#this row],[cheval sum]:[low bar sum]])/MatchData[match count]</f>
        <v>#VALUE!</v>
      </c>
      <c r="DB275" s="16" t="n">
        <f aca="false">MAX(IF(C$2:C$74=C275,BP$2:BP$74))</f>
        <v>-1.79769313486232E+308</v>
      </c>
      <c r="DC275" s="16" t="e">
        <f aca="false">AVERAGEIF(MatchData[team],MatchData[[#this row],[team]],MatchData[total score])</f>
        <v>#VALUE!</v>
      </c>
      <c r="DD275" s="16" t="e">
        <f aca="false">ROUND(AVERAGEIF(MatchData[team],MatchData[team],MatchData[climb or challenge flag]),2)</f>
        <v>#VALUE!</v>
      </c>
    </row>
    <row r="276" customFormat="false" ht="14.5" hidden="false" customHeight="false" outlineLevel="0" collapsed="false">
      <c r="A276" s="20" t="s">
        <v>108</v>
      </c>
      <c r="B276" s="14" t="n">
        <v>46</v>
      </c>
      <c r="C276" s="15" t="n">
        <v>997</v>
      </c>
      <c r="D276" s="5" t="s">
        <v>113</v>
      </c>
      <c r="E276" s="5" t="s">
        <v>162</v>
      </c>
      <c r="G276" s="16"/>
      <c r="I276" s="16"/>
      <c r="J276" s="5" t="n">
        <v>1</v>
      </c>
      <c r="K276" s="16"/>
      <c r="L276" s="5" t="n">
        <v>1</v>
      </c>
      <c r="M276" s="5" t="n">
        <v>1</v>
      </c>
      <c r="N276" s="0"/>
      <c r="O276" s="0"/>
      <c r="P276" s="5" t="n">
        <v>1</v>
      </c>
      <c r="Q276" s="0"/>
      <c r="R276" s="5" t="n">
        <v>1</v>
      </c>
      <c r="S276" s="16"/>
      <c r="U276" s="16"/>
      <c r="V276" s="16"/>
      <c r="W276" s="0"/>
      <c r="AB276" s="5" t="n">
        <v>1</v>
      </c>
      <c r="AD276" s="16" t="n">
        <v>1</v>
      </c>
      <c r="AE276" s="5"/>
      <c r="AF276" s="16"/>
      <c r="AG276" s="16"/>
      <c r="AH276" s="16" t="n">
        <v>2</v>
      </c>
      <c r="AJ276" s="16"/>
      <c r="AL276" s="16"/>
      <c r="AN276" s="16"/>
      <c r="AP276" s="16"/>
      <c r="AR276" s="16"/>
      <c r="AT276" s="16"/>
      <c r="AU276" s="16"/>
      <c r="AV276" s="16"/>
      <c r="AW276" s="16" t="n">
        <v>1</v>
      </c>
      <c r="AX276" s="16"/>
      <c r="AY276" s="16"/>
      <c r="AZ276" s="16"/>
      <c r="BB276" s="16" t="n">
        <v>1</v>
      </c>
      <c r="BC276" s="16" t="e">
        <f aca="false">MatchData[cheval scored crossings]*5</f>
        <v>#VALUE!</v>
      </c>
      <c r="BD276" s="16" t="e">
        <f aca="false">MatchData[moat scored crosings]*5</f>
        <v>#VALUE!</v>
      </c>
      <c r="BE276" s="16" t="e">
        <f aca="false">MatchData[ramparts scored crossings]*5</f>
        <v>#VALUE!</v>
      </c>
      <c r="BF276" s="16" t="e">
        <f aca="false">MatchData[drawbridge scored crossings]*5</f>
        <v>#VALUE!</v>
      </c>
      <c r="BG276" s="16" t="e">
        <f aca="false">MatchData[sally port scored crossings]*5</f>
        <v>#VALUE!</v>
      </c>
      <c r="BH276" s="16" t="e">
        <f aca="false">MatchData[rock wall scored crossings]*5</f>
        <v>#VALUE!</v>
      </c>
      <c r="BI276" s="16" t="e">
        <f aca="false">MatchData[rough terrain scored crossings]*5</f>
        <v>#VALUE!</v>
      </c>
      <c r="BJ276" s="16" t="e">
        <f aca="false">MatchData[low bar scored crossings]*5</f>
        <v>#VALUE!</v>
      </c>
      <c r="BK276" s="16" t="e">
        <f aca="false">SUM(MatchData[[#this row],[low bar teleop crossings]:[rough terrain scored crossings]])</f>
        <v>#VALUE!</v>
      </c>
      <c r="BL276" s="16" t="e">
        <f aca="false">IFERROR(IF(OR(MatchData[[#this row],[challenge flag]],MatchData[[#this row],[climb flag]]),1,0),0)</f>
        <v>#VALUE!</v>
      </c>
      <c r="BM276" s="16" t="e">
        <f aca="false">MatchData[auto high goals]*10+MatchData[teleop high goals]*5</f>
        <v>#VALUE!</v>
      </c>
      <c r="BN276" s="16" t="e">
        <f aca="false">MatchData[auto low goals]*5+MatchData[teleop low goals]*2</f>
        <v>#VALUE!</v>
      </c>
      <c r="BO276" s="16" t="e">
        <f aca="false">MatchData[high goal score]+MatchData[low goal score]</f>
        <v>#VALUE!</v>
      </c>
      <c r="BP276" s="16" t="e">
        <f aca="false">MatchData[teleop high goals]+MatchData[teleop low goals]</f>
        <v>#VALUE!</v>
      </c>
      <c r="BQ276" s="16" t="e">
        <f aca="false">MatchData[[#this row],[auto reach flag]]*2+SUM(MatchData[[#this row],[portcullis auto crossings]:[low bar auto crossings]])*10+MatchData[[#this row],[auto low goals]]*5+MatchData[auto high goals]*10</f>
        <v>#VALUE!</v>
      </c>
      <c r="BR276" s="16" t="e">
        <f aca="false">SUM(MatchData[[#this row],[cheval teleop crossing score]:[low bar teleop crossing score]])</f>
        <v>#VALUE!</v>
      </c>
      <c r="BS276" s="16" t="e">
        <f aca="false">SUMIF(MatchData[team],MatchData[[#this row],[team]],MatchData[total auto score])/MatchData[match count]</f>
        <v>#VALUE!</v>
      </c>
      <c r="BT276" s="16" t="e">
        <f aca="false">MatchData[challenge flag]*5</f>
        <v>#VALUE!</v>
      </c>
      <c r="BU276" s="16" t="e">
        <f aca="false">MatchData[climb flag]*15</f>
        <v>#VALUE!</v>
      </c>
      <c r="BV276" s="16" t="e">
        <f aca="false">SUM(MatchData[[#this row],[total goal score]],MatchData[[#this row],[crossing score]],MatchData[[#this row],[challenge score]],MatchData[[#this row],[climb score]],MatchData[[#this row],[total auto score]])</f>
        <v>#VALUE!</v>
      </c>
      <c r="BW276" s="16" t="e">
        <f aca="false">ROUND(SUMIF(MatchData[team],MatchData[[#this row],[team]],MatchData[teleop low goals])/COUNTIF(MatchData[team],MatchData[[#this row],[team]]),2)</f>
        <v>#VALUE!</v>
      </c>
      <c r="BX276" s="16" t="e">
        <f aca="false">ROUND(SUMIF(MatchData[team],MatchData[[#this row],[team]],MatchData[teleop high goals])/COUNTIF(MatchData[team],MatchData[[#this row],[team]]),2)</f>
        <v>#VALUE!</v>
      </c>
      <c r="BY276" s="16" t="e">
        <f aca="false">COUNTIF(MatchData[team],MatchData[[#this row],[team]])</f>
        <v>#VALUE!</v>
      </c>
      <c r="BZ276" s="16" t="e">
        <f aca="false">SUMIF(MatchData[team],MatchData[[#this row],[team]],MatchData[portcullis available])</f>
        <v>#VALUE!</v>
      </c>
      <c r="CA276" s="16" t="e">
        <f aca="false">SUMIF(MatchData[team],MatchData[[#this row],[team]],MatchData[cheval available])</f>
        <v>#VALUE!</v>
      </c>
      <c r="CB276" s="16" t="e">
        <f aca="false">SUMIF(MatchData[team],MatchData[[#this row],[team]],MatchData[moat available])</f>
        <v>#VALUE!</v>
      </c>
      <c r="CC276" s="16" t="e">
        <f aca="false">SUMIF(MatchData[team],MatchData[[#this row],[team]],MatchData[ramparts available])</f>
        <v>#VALUE!</v>
      </c>
      <c r="CD276" s="16" t="e">
        <f aca="false">SUMIF(MatchData[team],MatchData[[#this row],[team]],MatchData[drawbridge available])</f>
        <v>#VALUE!</v>
      </c>
      <c r="CE276" s="16" t="e">
        <f aca="false">SUMIF(MatchData[team],MatchData[[#this row],[team]],MatchData[sally port available])</f>
        <v>#VALUE!</v>
      </c>
      <c r="CF276" s="16" t="e">
        <f aca="false">SUMIF(MatchData[team],MatchData[[#this row],[team]],MatchData[rock wall available])</f>
        <v>#VALUE!</v>
      </c>
      <c r="CG276" s="16" t="e">
        <f aca="false">SUMIF(MatchData[team],MatchData[[#this row],[team]],MatchData[rough terrain available])</f>
        <v>#VALUE!</v>
      </c>
      <c r="CH276" s="16" t="e">
        <f aca="false">SUMIF(MatchData[team],MatchData[[#this row],[team]],MatchData[low bar available])</f>
        <v>#VALUE!</v>
      </c>
      <c r="CI276" s="16" t="e">
        <f aca="false">SUMIF(MatchData[team],MatchData[[#this row],[team]],MatchData[portcullis teleop crossings]:MatchData[portcullis scored crossings])</f>
        <v>#VALUE!</v>
      </c>
      <c r="CJ276" s="16" t="e">
        <f aca="false">SUMIF(MatchData[team],MatchData[[#this row],[team]],MatchData[cheval teleop crossings])+SUMIF(MatchData[team],MatchData[[#this row],[team]],MatchData[cheval scored crossings])</f>
        <v>#VALUE!</v>
      </c>
      <c r="CK276" s="16" t="e">
        <f aca="false">SUMIF(MatchData[team],MatchData[[#this row],[team]],MatchData[moat teleop crossings])+SUMIF(MatchData[team],MatchData[[#this row],[team]],MatchData[moat scored crosings])</f>
        <v>#VALUE!</v>
      </c>
      <c r="CL276" s="16" t="e">
        <f aca="false">SUMIF(MatchData[team],MatchData[[#this row],[team]],MatchData[ramparts teleop crossings])+SUMIF(MatchData[team],MatchData[[#this row],[team]],MatchData[ramparts scored crossings])</f>
        <v>#VALUE!</v>
      </c>
      <c r="CM276" s="16" t="e">
        <f aca="false">SUMIF(MatchData[team],MatchData[[#this row],[team]],MatchData[drawbridge teleop crossings])+SUMIF(MatchData[team],MatchData[[#this row],[team]],MatchData[drawbridge scored crossings])</f>
        <v>#VALUE!</v>
      </c>
      <c r="CN276" s="16" t="e">
        <f aca="false">SUMIF(MatchData[team],MatchData[[#this row],[team]],MatchData[sally port teleop crossings])+SUMIF(MatchData[team],MatchData[[#this row],[team]],MatchData[sally port scored crossings])</f>
        <v>#VALUE!</v>
      </c>
      <c r="CO276" s="16" t="e">
        <f aca="false">SUMIF(MatchData[team],MatchData[[#this row],[team]],MatchData[rock wall teleop crossings])+SUMIF(MatchData[team],MatchData[[#this row],[team]],MatchData[rock wall scored crossings])</f>
        <v>#VALUE!</v>
      </c>
      <c r="CP276" s="16" t="e">
        <f aca="false">SUMIF(MatchData[team],MatchData[[#this row],[team]],MatchData[rough terrain teleop crossings])+SUMIF(MatchData[team],MatchData[[#this row],[team]],MatchData[rough terrain scored crossings])</f>
        <v>#VALUE!</v>
      </c>
      <c r="CQ276" s="16" t="e">
        <f aca="false">SUMIF(MatchData[team],MatchData[[#this row],[team]],MatchData[low bar teleop crossings])+SUMIF(MatchData[team],MatchData[[#this row],[team]],MatchData[low bar scored crossings])</f>
        <v>#VALUE!</v>
      </c>
      <c r="CR276" s="16" t="e">
        <f aca="false">IFERROR(ROUND(MatchData[[#this row],[portcullis sum]]/MatchData[[#this row],[portcullis avail count]],2),0)</f>
        <v>#VALUE!</v>
      </c>
      <c r="CS276" s="16" t="e">
        <f aca="false">IFERROR(ROUND(MatchData[[#this row],[cheval sum]]/MatchData[[#this row],[cheval avail count]],2),0)</f>
        <v>#VALUE!</v>
      </c>
      <c r="CT276" s="16" t="e">
        <f aca="false">IFERROR(ROUND(MatchData[[#this row],[moat sum]]/MatchData[[#this row],[moat avail count]],2),0)</f>
        <v>#VALUE!</v>
      </c>
      <c r="CU276" s="16" t="e">
        <f aca="false">IFERROR(ROUND(MatchData[[#this row],[ramparts sum]]/MatchData[[#this row],[ramparts avail count]],2),0)</f>
        <v>#VALUE!</v>
      </c>
      <c r="CV276" s="16" t="e">
        <f aca="false">IFERROR(ROUND(MatchData[[#this row],[drawbridge sum]]/MatchData[[#this row],[drawbridge avail countigh6]],2),0)</f>
        <v>#VALUE!</v>
      </c>
      <c r="CW276" s="16" t="e">
        <f aca="false">IFERROR(ROUND(MatchData[[#this row],[sally port sum]]/MatchData[[#this row],[sally port avail count]],2),0)</f>
        <v>#VALUE!</v>
      </c>
      <c r="CX276" s="5" t="e">
        <f aca="false">IFERROR(ROUND(MatchData[[#this row],[rock wall sum]]/MatchData[[#this row],[rock wall avail count]],2),0)</f>
        <v>#VALUE!</v>
      </c>
      <c r="CY276" s="5" t="e">
        <f aca="false">IFERROR(ROUND(MatchData[[#this row],[rough terrain sum]]/MatchData[[#this row],[rough terrain avail count]],2),0)</f>
        <v>#VALUE!</v>
      </c>
      <c r="CZ276" s="5" t="e">
        <f aca="false">IFERROR(ROUND(MatchData[[#this row],[low bar sum]]/MatchData[[#this row],[low bar avail count]],2),0)</f>
        <v>#VALUE!</v>
      </c>
      <c r="DA276" s="16" t="e">
        <f aca="false">SUM(MatchData[[#this row],[cheval sum]:[low bar sum]])/MatchData[match count]</f>
        <v>#VALUE!</v>
      </c>
      <c r="DB276" s="16" t="n">
        <f aca="false">MAX(IF(C$2:C$74=C276,BP$2:BP$74))</f>
        <v>-1.79769313486232E+308</v>
      </c>
      <c r="DC276" s="16" t="e">
        <f aca="false">AVERAGEIF(MatchData[team],MatchData[[#this row],[team]],MatchData[total score])</f>
        <v>#VALUE!</v>
      </c>
      <c r="DD276" s="16" t="e">
        <f aca="false">ROUND(AVERAGEIF(MatchData[team],MatchData[team],MatchData[climb or challenge flag]),2)</f>
        <v>#VALUE!</v>
      </c>
    </row>
    <row r="277" customFormat="false" ht="14.5" hidden="false" customHeight="false" outlineLevel="0" collapsed="false">
      <c r="A277" s="20" t="s">
        <v>108</v>
      </c>
      <c r="B277" s="14" t="n">
        <v>46</v>
      </c>
      <c r="C277" s="15" t="n">
        <v>2374</v>
      </c>
      <c r="D277" s="5" t="s">
        <v>113</v>
      </c>
      <c r="E277" s="5" t="s">
        <v>153</v>
      </c>
      <c r="G277" s="16"/>
      <c r="I277" s="16"/>
      <c r="J277" s="5" t="n">
        <v>1</v>
      </c>
      <c r="K277" s="16"/>
      <c r="L277" s="5" t="n">
        <v>1</v>
      </c>
      <c r="M277" s="5" t="n">
        <v>1</v>
      </c>
      <c r="N277" s="0"/>
      <c r="O277" s="0"/>
      <c r="P277" s="5" t="n">
        <v>1</v>
      </c>
      <c r="Q277" s="0"/>
      <c r="R277" s="5" t="n">
        <v>1</v>
      </c>
      <c r="S277" s="16" t="n">
        <v>1</v>
      </c>
      <c r="U277" s="16"/>
      <c r="V277" s="16"/>
      <c r="W277" s="0"/>
      <c r="AD277" s="16"/>
      <c r="AE277" s="5"/>
      <c r="AF277" s="16"/>
      <c r="AG277" s="16"/>
      <c r="AH277" s="16"/>
      <c r="AI277" s="5" t="n">
        <v>2</v>
      </c>
      <c r="AJ277" s="16" t="n">
        <v>2</v>
      </c>
      <c r="AL277" s="16"/>
      <c r="AN277" s="16"/>
      <c r="AP277" s="16"/>
      <c r="AR277" s="16"/>
      <c r="AT277" s="16"/>
      <c r="AU277" s="16"/>
      <c r="AV277" s="16"/>
      <c r="AW277" s="16" t="n">
        <v>1</v>
      </c>
      <c r="AX277" s="16"/>
      <c r="AY277" s="16"/>
      <c r="AZ277" s="16"/>
      <c r="BB277" s="16" t="n">
        <v>1</v>
      </c>
      <c r="BC277" s="16" t="e">
        <f aca="false">MatchData[cheval scored crossings]*5</f>
        <v>#VALUE!</v>
      </c>
      <c r="BD277" s="16" t="e">
        <f aca="false">MatchData[moat scored crosings]*5</f>
        <v>#VALUE!</v>
      </c>
      <c r="BE277" s="16" t="e">
        <f aca="false">MatchData[ramparts scored crossings]*5</f>
        <v>#VALUE!</v>
      </c>
      <c r="BF277" s="16" t="e">
        <f aca="false">MatchData[drawbridge scored crossings]*5</f>
        <v>#VALUE!</v>
      </c>
      <c r="BG277" s="16" t="e">
        <f aca="false">MatchData[sally port scored crossings]*5</f>
        <v>#VALUE!</v>
      </c>
      <c r="BH277" s="16" t="e">
        <f aca="false">MatchData[rock wall scored crossings]*5</f>
        <v>#VALUE!</v>
      </c>
      <c r="BI277" s="16" t="e">
        <f aca="false">MatchData[rough terrain scored crossings]*5</f>
        <v>#VALUE!</v>
      </c>
      <c r="BJ277" s="16" t="e">
        <f aca="false">MatchData[low bar scored crossings]*5</f>
        <v>#VALUE!</v>
      </c>
      <c r="BK277" s="16" t="e">
        <f aca="false">SUM(MatchData[[#this row],[low bar teleop crossings]:[rough terrain scored crossings]])</f>
        <v>#VALUE!</v>
      </c>
      <c r="BL277" s="16" t="e">
        <f aca="false">IFERROR(IF(OR(MatchData[[#this row],[challenge flag]],MatchData[[#this row],[climb flag]]),1,0),0)</f>
        <v>#VALUE!</v>
      </c>
      <c r="BM277" s="16" t="e">
        <f aca="false">MatchData[auto high goals]*10+MatchData[teleop high goals]*5</f>
        <v>#VALUE!</v>
      </c>
      <c r="BN277" s="16" t="e">
        <f aca="false">MatchData[auto low goals]*5+MatchData[teleop low goals]*2</f>
        <v>#VALUE!</v>
      </c>
      <c r="BO277" s="16" t="e">
        <f aca="false">MatchData[high goal score]+MatchData[low goal score]</f>
        <v>#VALUE!</v>
      </c>
      <c r="BP277" s="16" t="e">
        <f aca="false">MatchData[teleop high goals]+MatchData[teleop low goals]</f>
        <v>#VALUE!</v>
      </c>
      <c r="BQ277" s="16" t="e">
        <f aca="false">MatchData[[#this row],[auto reach flag]]*2+SUM(MatchData[[#this row],[portcullis auto crossings]:[low bar auto crossings]])*10+MatchData[[#this row],[auto low goals]]*5+MatchData[auto high goals]*10</f>
        <v>#VALUE!</v>
      </c>
      <c r="BR277" s="16" t="e">
        <f aca="false">SUM(MatchData[[#this row],[cheval teleop crossing score]:[low bar teleop crossing score]])</f>
        <v>#VALUE!</v>
      </c>
      <c r="BS277" s="16" t="e">
        <f aca="false">SUMIF(MatchData[team],MatchData[[#this row],[team]],MatchData[total auto score])/MatchData[match count]</f>
        <v>#VALUE!</v>
      </c>
      <c r="BT277" s="16" t="e">
        <f aca="false">MatchData[challenge flag]*5</f>
        <v>#VALUE!</v>
      </c>
      <c r="BU277" s="16" t="e">
        <f aca="false">MatchData[climb flag]*15</f>
        <v>#VALUE!</v>
      </c>
      <c r="BV277" s="16" t="e">
        <f aca="false">SUM(MatchData[[#this row],[total goal score]],MatchData[[#this row],[crossing score]],MatchData[[#this row],[challenge score]],MatchData[[#this row],[climb score]],MatchData[[#this row],[total auto score]])</f>
        <v>#VALUE!</v>
      </c>
      <c r="BW277" s="16" t="e">
        <f aca="false">ROUND(SUMIF(MatchData[team],MatchData[[#this row],[team]],MatchData[teleop low goals])/COUNTIF(MatchData[team],MatchData[[#this row],[team]]),2)</f>
        <v>#VALUE!</v>
      </c>
      <c r="BX277" s="16" t="e">
        <f aca="false">ROUND(SUMIF(MatchData[team],MatchData[[#this row],[team]],MatchData[teleop high goals])/COUNTIF(MatchData[team],MatchData[[#this row],[team]]),2)</f>
        <v>#VALUE!</v>
      </c>
      <c r="BY277" s="16" t="e">
        <f aca="false">COUNTIF(MatchData[team],MatchData[[#this row],[team]])</f>
        <v>#VALUE!</v>
      </c>
      <c r="BZ277" s="16" t="e">
        <f aca="false">SUMIF(MatchData[team],MatchData[[#this row],[team]],MatchData[portcullis available])</f>
        <v>#VALUE!</v>
      </c>
      <c r="CA277" s="16" t="e">
        <f aca="false">SUMIF(MatchData[team],MatchData[[#this row],[team]],MatchData[cheval available])</f>
        <v>#VALUE!</v>
      </c>
      <c r="CB277" s="16" t="e">
        <f aca="false">SUMIF(MatchData[team],MatchData[[#this row],[team]],MatchData[moat available])</f>
        <v>#VALUE!</v>
      </c>
      <c r="CC277" s="16" t="e">
        <f aca="false">SUMIF(MatchData[team],MatchData[[#this row],[team]],MatchData[ramparts available])</f>
        <v>#VALUE!</v>
      </c>
      <c r="CD277" s="16" t="e">
        <f aca="false">SUMIF(MatchData[team],MatchData[[#this row],[team]],MatchData[drawbridge available])</f>
        <v>#VALUE!</v>
      </c>
      <c r="CE277" s="16" t="e">
        <f aca="false">SUMIF(MatchData[team],MatchData[[#this row],[team]],MatchData[sally port available])</f>
        <v>#VALUE!</v>
      </c>
      <c r="CF277" s="16" t="e">
        <f aca="false">SUMIF(MatchData[team],MatchData[[#this row],[team]],MatchData[rock wall available])</f>
        <v>#VALUE!</v>
      </c>
      <c r="CG277" s="16" t="e">
        <f aca="false">SUMIF(MatchData[team],MatchData[[#this row],[team]],MatchData[rough terrain available])</f>
        <v>#VALUE!</v>
      </c>
      <c r="CH277" s="16" t="e">
        <f aca="false">SUMIF(MatchData[team],MatchData[[#this row],[team]],MatchData[low bar available])</f>
        <v>#VALUE!</v>
      </c>
      <c r="CI277" s="16" t="e">
        <f aca="false">SUMIF(MatchData[team],MatchData[[#this row],[team]],MatchData[portcullis teleop crossings]:MatchData[portcullis scored crossings])</f>
        <v>#VALUE!</v>
      </c>
      <c r="CJ277" s="16" t="e">
        <f aca="false">SUMIF(MatchData[team],MatchData[[#this row],[team]],MatchData[cheval teleop crossings])+SUMIF(MatchData[team],MatchData[[#this row],[team]],MatchData[cheval scored crossings])</f>
        <v>#VALUE!</v>
      </c>
      <c r="CK277" s="16" t="e">
        <f aca="false">SUMIF(MatchData[team],MatchData[[#this row],[team]],MatchData[moat teleop crossings])+SUMIF(MatchData[team],MatchData[[#this row],[team]],MatchData[moat scored crosings])</f>
        <v>#VALUE!</v>
      </c>
      <c r="CL277" s="16" t="e">
        <f aca="false">SUMIF(MatchData[team],MatchData[[#this row],[team]],MatchData[ramparts teleop crossings])+SUMIF(MatchData[team],MatchData[[#this row],[team]],MatchData[ramparts scored crossings])</f>
        <v>#VALUE!</v>
      </c>
      <c r="CM277" s="16" t="e">
        <f aca="false">SUMIF(MatchData[team],MatchData[[#this row],[team]],MatchData[drawbridge teleop crossings])+SUMIF(MatchData[team],MatchData[[#this row],[team]],MatchData[drawbridge scored crossings])</f>
        <v>#VALUE!</v>
      </c>
      <c r="CN277" s="16" t="e">
        <f aca="false">SUMIF(MatchData[team],MatchData[[#this row],[team]],MatchData[sally port teleop crossings])+SUMIF(MatchData[team],MatchData[[#this row],[team]],MatchData[sally port scored crossings])</f>
        <v>#VALUE!</v>
      </c>
      <c r="CO277" s="16" t="e">
        <f aca="false">SUMIF(MatchData[team],MatchData[[#this row],[team]],MatchData[rock wall teleop crossings])+SUMIF(MatchData[team],MatchData[[#this row],[team]],MatchData[rock wall scored crossings])</f>
        <v>#VALUE!</v>
      </c>
      <c r="CP277" s="16" t="e">
        <f aca="false">SUMIF(MatchData[team],MatchData[[#this row],[team]],MatchData[rough terrain teleop crossings])+SUMIF(MatchData[team],MatchData[[#this row],[team]],MatchData[rough terrain scored crossings])</f>
        <v>#VALUE!</v>
      </c>
      <c r="CQ277" s="16" t="e">
        <f aca="false">SUMIF(MatchData[team],MatchData[[#this row],[team]],MatchData[low bar teleop crossings])+SUMIF(MatchData[team],MatchData[[#this row],[team]],MatchData[low bar scored crossings])</f>
        <v>#VALUE!</v>
      </c>
      <c r="CR277" s="16" t="e">
        <f aca="false">IFERROR(ROUND(MatchData[[#this row],[portcullis sum]]/MatchData[[#this row],[portcullis avail count]],2),0)</f>
        <v>#VALUE!</v>
      </c>
      <c r="CS277" s="16" t="e">
        <f aca="false">IFERROR(ROUND(MatchData[[#this row],[cheval sum]]/MatchData[[#this row],[cheval avail count]],2),0)</f>
        <v>#VALUE!</v>
      </c>
      <c r="CT277" s="16" t="e">
        <f aca="false">IFERROR(ROUND(MatchData[[#this row],[moat sum]]/MatchData[[#this row],[moat avail count]],2),0)</f>
        <v>#VALUE!</v>
      </c>
      <c r="CU277" s="16" t="e">
        <f aca="false">IFERROR(ROUND(MatchData[[#this row],[ramparts sum]]/MatchData[[#this row],[ramparts avail count]],2),0)</f>
        <v>#VALUE!</v>
      </c>
      <c r="CV277" s="16" t="e">
        <f aca="false">IFERROR(ROUND(MatchData[[#this row],[drawbridge sum]]/MatchData[[#this row],[drawbridge avail countigh6]],2),0)</f>
        <v>#VALUE!</v>
      </c>
      <c r="CW277" s="16" t="e">
        <f aca="false">IFERROR(ROUND(MatchData[[#this row],[sally port sum]]/MatchData[[#this row],[sally port avail count]],2),0)</f>
        <v>#VALUE!</v>
      </c>
      <c r="CX277" s="5" t="e">
        <f aca="false">IFERROR(ROUND(MatchData[[#this row],[rock wall sum]]/MatchData[[#this row],[rock wall avail count]],2),0)</f>
        <v>#VALUE!</v>
      </c>
      <c r="CY277" s="5" t="e">
        <f aca="false">IFERROR(ROUND(MatchData[[#this row],[rough terrain sum]]/MatchData[[#this row],[rough terrain avail count]],2),0)</f>
        <v>#VALUE!</v>
      </c>
      <c r="CZ277" s="5" t="e">
        <f aca="false">IFERROR(ROUND(MatchData[[#this row],[low bar sum]]/MatchData[[#this row],[low bar avail count]],2),0)</f>
        <v>#VALUE!</v>
      </c>
      <c r="DA277" s="16" t="e">
        <f aca="false">SUM(MatchData[[#this row],[cheval sum]:[low bar sum]])/MatchData[match count]</f>
        <v>#VALUE!</v>
      </c>
      <c r="DB277" s="16" t="n">
        <f aca="false">MAX(IF(C$2:C$74=C277,BP$2:BP$74))</f>
        <v>-1.79769313486232E+308</v>
      </c>
      <c r="DC277" s="16" t="e">
        <f aca="false">AVERAGEIF(MatchData[team],MatchData[[#this row],[team]],MatchData[total score])</f>
        <v>#VALUE!</v>
      </c>
      <c r="DD277" s="16" t="e">
        <f aca="false">ROUND(AVERAGEIF(MatchData[team],MatchData[team],MatchData[climb or challenge flag]),2)</f>
        <v>#VALUE!</v>
      </c>
    </row>
    <row r="278" customFormat="false" ht="14.5" hidden="false" customHeight="false" outlineLevel="0" collapsed="false">
      <c r="A278" s="20" t="s">
        <v>108</v>
      </c>
      <c r="B278" s="14" t="n">
        <v>47</v>
      </c>
      <c r="C278" s="15" t="n">
        <v>2990</v>
      </c>
      <c r="D278" s="5" t="s">
        <v>109</v>
      </c>
      <c r="E278" s="5" t="s">
        <v>114</v>
      </c>
      <c r="G278" s="16"/>
      <c r="I278" s="16" t="n">
        <v>2</v>
      </c>
      <c r="J278" s="5" t="n">
        <v>1</v>
      </c>
      <c r="K278" s="16"/>
      <c r="L278" s="5" t="n">
        <v>1</v>
      </c>
      <c r="N278" s="5" t="n">
        <v>1</v>
      </c>
      <c r="O278" s="0"/>
      <c r="P278" s="5" t="n">
        <v>1</v>
      </c>
      <c r="Q278" s="0"/>
      <c r="R278" s="5" t="n">
        <v>1</v>
      </c>
      <c r="S278" s="16"/>
      <c r="U278" s="16"/>
      <c r="V278" s="16"/>
      <c r="W278" s="5" t="n">
        <v>1</v>
      </c>
      <c r="AD278" s="16"/>
      <c r="AE278" s="5"/>
      <c r="AF278" s="16"/>
      <c r="AG278" s="16"/>
      <c r="AH278" s="16" t="n">
        <v>1</v>
      </c>
      <c r="AJ278" s="16"/>
      <c r="AL278" s="16" t="n">
        <v>1</v>
      </c>
      <c r="AN278" s="16"/>
      <c r="AP278" s="16"/>
      <c r="AR278" s="16"/>
      <c r="AT278" s="16"/>
      <c r="AU278" s="16"/>
      <c r="AV278" s="16"/>
      <c r="AW278" s="16" t="n">
        <v>1</v>
      </c>
      <c r="AX278" s="16"/>
      <c r="AY278" s="16"/>
      <c r="AZ278" s="16"/>
      <c r="BB278" s="16" t="n">
        <v>1</v>
      </c>
      <c r="BC278" s="16" t="e">
        <f aca="false">MatchData[cheval scored crossings]*5</f>
        <v>#VALUE!</v>
      </c>
      <c r="BD278" s="16" t="e">
        <f aca="false">MatchData[moat scored crosings]*5</f>
        <v>#VALUE!</v>
      </c>
      <c r="BE278" s="16" t="e">
        <f aca="false">MatchData[ramparts scored crossings]*5</f>
        <v>#VALUE!</v>
      </c>
      <c r="BF278" s="16" t="e">
        <f aca="false">MatchData[drawbridge scored crossings]*5</f>
        <v>#VALUE!</v>
      </c>
      <c r="BG278" s="16" t="e">
        <f aca="false">MatchData[sally port scored crossings]*5</f>
        <v>#VALUE!</v>
      </c>
      <c r="BH278" s="16" t="e">
        <f aca="false">MatchData[rock wall scored crossings]*5</f>
        <v>#VALUE!</v>
      </c>
      <c r="BI278" s="16" t="e">
        <f aca="false">MatchData[rough terrain scored crossings]*5</f>
        <v>#VALUE!</v>
      </c>
      <c r="BJ278" s="16" t="e">
        <f aca="false">MatchData[low bar scored crossings]*5</f>
        <v>#VALUE!</v>
      </c>
      <c r="BK278" s="16" t="e">
        <f aca="false">SUM(MatchData[[#this row],[low bar teleop crossings]:[rough terrain scored crossings]])</f>
        <v>#VALUE!</v>
      </c>
      <c r="BL278" s="16" t="e">
        <f aca="false">IFERROR(IF(OR(MatchData[[#this row],[challenge flag]],MatchData[[#this row],[climb flag]]),1,0),0)</f>
        <v>#VALUE!</v>
      </c>
      <c r="BM278" s="16" t="e">
        <f aca="false">MatchData[auto high goals]*10+MatchData[teleop high goals]*5</f>
        <v>#VALUE!</v>
      </c>
      <c r="BN278" s="16" t="e">
        <f aca="false">MatchData[auto low goals]*5+MatchData[teleop low goals]*2</f>
        <v>#VALUE!</v>
      </c>
      <c r="BO278" s="16" t="e">
        <f aca="false">MatchData[high goal score]+MatchData[low goal score]</f>
        <v>#VALUE!</v>
      </c>
      <c r="BP278" s="16" t="e">
        <f aca="false">MatchData[teleop high goals]+MatchData[teleop low goals]</f>
        <v>#VALUE!</v>
      </c>
      <c r="BQ278" s="16" t="e">
        <f aca="false">MatchData[[#this row],[auto reach flag]]*2+SUM(MatchData[[#this row],[portcullis auto crossings]:[low bar auto crossings]])*10+MatchData[[#this row],[auto low goals]]*5+MatchData[auto high goals]*10</f>
        <v>#VALUE!</v>
      </c>
      <c r="BR278" s="16" t="e">
        <f aca="false">SUM(MatchData[[#this row],[cheval teleop crossing score]:[low bar teleop crossing score]])</f>
        <v>#VALUE!</v>
      </c>
      <c r="BS278" s="16" t="e">
        <f aca="false">SUMIF(MatchData[team],MatchData[[#this row],[team]],MatchData[total auto score])/MatchData[match count]</f>
        <v>#VALUE!</v>
      </c>
      <c r="BT278" s="16" t="e">
        <f aca="false">MatchData[challenge flag]*5</f>
        <v>#VALUE!</v>
      </c>
      <c r="BU278" s="16" t="e">
        <f aca="false">MatchData[climb flag]*15</f>
        <v>#VALUE!</v>
      </c>
      <c r="BV278" s="16" t="e">
        <f aca="false">SUM(MatchData[[#this row],[total goal score]],MatchData[[#this row],[crossing score]],MatchData[[#this row],[challenge score]],MatchData[[#this row],[climb score]],MatchData[[#this row],[total auto score]])</f>
        <v>#VALUE!</v>
      </c>
      <c r="BW278" s="16" t="e">
        <f aca="false">ROUND(SUMIF(MatchData[team],MatchData[[#this row],[team]],MatchData[teleop low goals])/COUNTIF(MatchData[team],MatchData[[#this row],[team]]),2)</f>
        <v>#VALUE!</v>
      </c>
      <c r="BX278" s="16" t="e">
        <f aca="false">ROUND(SUMIF(MatchData[team],MatchData[[#this row],[team]],MatchData[teleop high goals])/COUNTIF(MatchData[team],MatchData[[#this row],[team]]),2)</f>
        <v>#VALUE!</v>
      </c>
      <c r="BY278" s="16" t="e">
        <f aca="false">COUNTIF(MatchData[team],MatchData[[#this row],[team]])</f>
        <v>#VALUE!</v>
      </c>
      <c r="BZ278" s="16" t="e">
        <f aca="false">SUMIF(MatchData[team],MatchData[[#this row],[team]],MatchData[portcullis available])</f>
        <v>#VALUE!</v>
      </c>
      <c r="CA278" s="16" t="e">
        <f aca="false">SUMIF(MatchData[team],MatchData[[#this row],[team]],MatchData[cheval available])</f>
        <v>#VALUE!</v>
      </c>
      <c r="CB278" s="16" t="e">
        <f aca="false">SUMIF(MatchData[team],MatchData[[#this row],[team]],MatchData[moat available])</f>
        <v>#VALUE!</v>
      </c>
      <c r="CC278" s="16" t="e">
        <f aca="false">SUMIF(MatchData[team],MatchData[[#this row],[team]],MatchData[ramparts available])</f>
        <v>#VALUE!</v>
      </c>
      <c r="CD278" s="16" t="e">
        <f aca="false">SUMIF(MatchData[team],MatchData[[#this row],[team]],MatchData[drawbridge available])</f>
        <v>#VALUE!</v>
      </c>
      <c r="CE278" s="16" t="e">
        <f aca="false">SUMIF(MatchData[team],MatchData[[#this row],[team]],MatchData[sally port available])</f>
        <v>#VALUE!</v>
      </c>
      <c r="CF278" s="16" t="e">
        <f aca="false">SUMIF(MatchData[team],MatchData[[#this row],[team]],MatchData[rock wall available])</f>
        <v>#VALUE!</v>
      </c>
      <c r="CG278" s="16" t="e">
        <f aca="false">SUMIF(MatchData[team],MatchData[[#this row],[team]],MatchData[rough terrain available])</f>
        <v>#VALUE!</v>
      </c>
      <c r="CH278" s="16" t="e">
        <f aca="false">SUMIF(MatchData[team],MatchData[[#this row],[team]],MatchData[low bar available])</f>
        <v>#VALUE!</v>
      </c>
      <c r="CI278" s="16" t="e">
        <f aca="false">SUMIF(MatchData[team],MatchData[[#this row],[team]],MatchData[portcullis teleop crossings]:MatchData[portcullis scored crossings])</f>
        <v>#VALUE!</v>
      </c>
      <c r="CJ278" s="16" t="e">
        <f aca="false">SUMIF(MatchData[team],MatchData[[#this row],[team]],MatchData[cheval teleop crossings])+SUMIF(MatchData[team],MatchData[[#this row],[team]],MatchData[cheval scored crossings])</f>
        <v>#VALUE!</v>
      </c>
      <c r="CK278" s="16" t="e">
        <f aca="false">SUMIF(MatchData[team],MatchData[[#this row],[team]],MatchData[moat teleop crossings])+SUMIF(MatchData[team],MatchData[[#this row],[team]],MatchData[moat scored crosings])</f>
        <v>#VALUE!</v>
      </c>
      <c r="CL278" s="16" t="e">
        <f aca="false">SUMIF(MatchData[team],MatchData[[#this row],[team]],MatchData[ramparts teleop crossings])+SUMIF(MatchData[team],MatchData[[#this row],[team]],MatchData[ramparts scored crossings])</f>
        <v>#VALUE!</v>
      </c>
      <c r="CM278" s="16" t="e">
        <f aca="false">SUMIF(MatchData[team],MatchData[[#this row],[team]],MatchData[drawbridge teleop crossings])+SUMIF(MatchData[team],MatchData[[#this row],[team]],MatchData[drawbridge scored crossings])</f>
        <v>#VALUE!</v>
      </c>
      <c r="CN278" s="16" t="e">
        <f aca="false">SUMIF(MatchData[team],MatchData[[#this row],[team]],MatchData[sally port teleop crossings])+SUMIF(MatchData[team],MatchData[[#this row],[team]],MatchData[sally port scored crossings])</f>
        <v>#VALUE!</v>
      </c>
      <c r="CO278" s="16" t="e">
        <f aca="false">SUMIF(MatchData[team],MatchData[[#this row],[team]],MatchData[rock wall teleop crossings])+SUMIF(MatchData[team],MatchData[[#this row],[team]],MatchData[rock wall scored crossings])</f>
        <v>#VALUE!</v>
      </c>
      <c r="CP278" s="16" t="e">
        <f aca="false">SUMIF(MatchData[team],MatchData[[#this row],[team]],MatchData[rough terrain teleop crossings])+SUMIF(MatchData[team],MatchData[[#this row],[team]],MatchData[rough terrain scored crossings])</f>
        <v>#VALUE!</v>
      </c>
      <c r="CQ278" s="16" t="e">
        <f aca="false">SUMIF(MatchData[team],MatchData[[#this row],[team]],MatchData[low bar teleop crossings])+SUMIF(MatchData[team],MatchData[[#this row],[team]],MatchData[low bar scored crossings])</f>
        <v>#VALUE!</v>
      </c>
      <c r="CR278" s="16" t="e">
        <f aca="false">IFERROR(ROUND(MatchData[[#this row],[portcullis sum]]/MatchData[[#this row],[portcullis avail count]],2),0)</f>
        <v>#VALUE!</v>
      </c>
      <c r="CS278" s="16" t="e">
        <f aca="false">IFERROR(ROUND(MatchData[[#this row],[cheval sum]]/MatchData[[#this row],[cheval avail count]],2),0)</f>
        <v>#VALUE!</v>
      </c>
      <c r="CT278" s="16" t="e">
        <f aca="false">IFERROR(ROUND(MatchData[[#this row],[moat sum]]/MatchData[[#this row],[moat avail count]],2),0)</f>
        <v>#VALUE!</v>
      </c>
      <c r="CU278" s="16" t="e">
        <f aca="false">IFERROR(ROUND(MatchData[[#this row],[ramparts sum]]/MatchData[[#this row],[ramparts avail count]],2),0)</f>
        <v>#VALUE!</v>
      </c>
      <c r="CV278" s="16" t="e">
        <f aca="false">IFERROR(ROUND(MatchData[[#this row],[drawbridge sum]]/MatchData[[#this row],[drawbridge avail countigh6]],2),0)</f>
        <v>#VALUE!</v>
      </c>
      <c r="CW278" s="16" t="e">
        <f aca="false">IFERROR(ROUND(MatchData[[#this row],[sally port sum]]/MatchData[[#this row],[sally port avail count]],2),0)</f>
        <v>#VALUE!</v>
      </c>
      <c r="CX278" s="5" t="e">
        <f aca="false">IFERROR(ROUND(MatchData[[#this row],[rock wall sum]]/MatchData[[#this row],[rock wall avail count]],2),0)</f>
        <v>#VALUE!</v>
      </c>
      <c r="CY278" s="5" t="e">
        <f aca="false">IFERROR(ROUND(MatchData[[#this row],[rough terrain sum]]/MatchData[[#this row],[rough terrain avail count]],2),0)</f>
        <v>#VALUE!</v>
      </c>
      <c r="CZ278" s="5" t="e">
        <f aca="false">IFERROR(ROUND(MatchData[[#this row],[low bar sum]]/MatchData[[#this row],[low bar avail count]],2),0)</f>
        <v>#VALUE!</v>
      </c>
      <c r="DA278" s="16" t="e">
        <f aca="false">SUM(MatchData[[#this row],[cheval sum]:[low bar sum]])/MatchData[match count]</f>
        <v>#VALUE!</v>
      </c>
      <c r="DB278" s="16" t="n">
        <f aca="false">MAX(IF(C$2:C$74=C278,BP$2:BP$74))</f>
        <v>-1.79769313486232E+308</v>
      </c>
      <c r="DC278" s="16" t="e">
        <f aca="false">AVERAGEIF(MatchData[team],MatchData[[#this row],[team]],MatchData[total score])</f>
        <v>#VALUE!</v>
      </c>
      <c r="DD278" s="16" t="e">
        <f aca="false">ROUND(AVERAGEIF(MatchData[team],MatchData[team],MatchData[climb or challenge flag]),2)</f>
        <v>#VALUE!</v>
      </c>
    </row>
    <row r="279" customFormat="false" ht="14.5" hidden="false" customHeight="false" outlineLevel="0" collapsed="false">
      <c r="A279" s="20" t="s">
        <v>108</v>
      </c>
      <c r="B279" s="18" t="n">
        <v>47</v>
      </c>
      <c r="C279" s="15" t="n">
        <v>4127</v>
      </c>
      <c r="D279" s="5" t="s">
        <v>109</v>
      </c>
      <c r="G279" s="16" t="n">
        <v>1</v>
      </c>
      <c r="I279" s="16"/>
      <c r="J279" s="5" t="n">
        <v>1</v>
      </c>
      <c r="K279" s="16"/>
      <c r="L279" s="5" t="n">
        <v>1</v>
      </c>
      <c r="N279" s="5" t="n">
        <v>1</v>
      </c>
      <c r="O279" s="0"/>
      <c r="P279" s="5" t="n">
        <v>1</v>
      </c>
      <c r="Q279" s="0"/>
      <c r="R279" s="5" t="n">
        <v>1</v>
      </c>
      <c r="S279" s="16"/>
      <c r="U279" s="16"/>
      <c r="V279" s="16"/>
      <c r="AD279" s="16"/>
      <c r="AE279" s="5"/>
      <c r="AF279" s="16"/>
      <c r="AG279" s="16"/>
      <c r="AH279" s="16"/>
      <c r="AJ279" s="16"/>
      <c r="AL279" s="16"/>
      <c r="AN279" s="16"/>
      <c r="AP279" s="16"/>
      <c r="AR279" s="16"/>
      <c r="AS279" s="5" t="n">
        <v>1</v>
      </c>
      <c r="AT279" s="16" t="n">
        <v>1</v>
      </c>
      <c r="AU279" s="16"/>
      <c r="AV279" s="16"/>
      <c r="AW279" s="16" t="n">
        <v>1</v>
      </c>
      <c r="AX279" s="16"/>
      <c r="AY279" s="16"/>
      <c r="AZ279" s="16"/>
      <c r="BB279" s="16" t="n">
        <v>1</v>
      </c>
      <c r="BC279" s="16" t="e">
        <f aca="false">MatchData[cheval scored crossings]*5</f>
        <v>#VALUE!</v>
      </c>
      <c r="BD279" s="16" t="e">
        <f aca="false">MatchData[moat scored crosings]*5</f>
        <v>#VALUE!</v>
      </c>
      <c r="BE279" s="16" t="e">
        <f aca="false">MatchData[ramparts scored crossings]*5</f>
        <v>#VALUE!</v>
      </c>
      <c r="BF279" s="16" t="e">
        <f aca="false">MatchData[drawbridge scored crossings]*5</f>
        <v>#VALUE!</v>
      </c>
      <c r="BG279" s="16" t="e">
        <f aca="false">MatchData[sally port scored crossings]*5</f>
        <v>#VALUE!</v>
      </c>
      <c r="BH279" s="16" t="e">
        <f aca="false">MatchData[rock wall scored crossings]*5</f>
        <v>#VALUE!</v>
      </c>
      <c r="BI279" s="16" t="e">
        <f aca="false">MatchData[rough terrain scored crossings]*5</f>
        <v>#VALUE!</v>
      </c>
      <c r="BJ279" s="16" t="e">
        <f aca="false">MatchData[low bar scored crossings]*5</f>
        <v>#VALUE!</v>
      </c>
      <c r="BK279" s="16" t="e">
        <f aca="false">SUM(MatchData[[#this row],[low bar teleop crossings]:[rough terrain scored crossings]])</f>
        <v>#VALUE!</v>
      </c>
      <c r="BL279" s="16" t="e">
        <f aca="false">IFERROR(IF(OR(MatchData[[#this row],[challenge flag]],MatchData[[#this row],[climb flag]]),1,0),0)</f>
        <v>#VALUE!</v>
      </c>
      <c r="BM279" s="16" t="e">
        <f aca="false">MatchData[auto high goals]*10+MatchData[teleop high goals]*5</f>
        <v>#VALUE!</v>
      </c>
      <c r="BN279" s="16" t="e">
        <f aca="false">MatchData[auto low goals]*5+MatchData[teleop low goals]*2</f>
        <v>#VALUE!</v>
      </c>
      <c r="BO279" s="16" t="e">
        <f aca="false">MatchData[high goal score]+MatchData[low goal score]</f>
        <v>#VALUE!</v>
      </c>
      <c r="BP279" s="16" t="e">
        <f aca="false">MatchData[teleop high goals]+MatchData[teleop low goals]</f>
        <v>#VALUE!</v>
      </c>
      <c r="BQ279" s="16" t="e">
        <f aca="false">MatchData[[#this row],[auto reach flag]]*2+SUM(MatchData[[#this row],[portcullis auto crossings]:[low bar auto crossings]])*10+MatchData[[#this row],[auto low goals]]*5+MatchData[auto high goals]*10</f>
        <v>#VALUE!</v>
      </c>
      <c r="BR279" s="16" t="e">
        <f aca="false">SUM(MatchData[[#this row],[cheval teleop crossing score]:[low bar teleop crossing score]])</f>
        <v>#VALUE!</v>
      </c>
      <c r="BS279" s="16" t="e">
        <f aca="false">SUMIF(MatchData[team],MatchData[[#this row],[team]],MatchData[total auto score])/MatchData[match count]</f>
        <v>#VALUE!</v>
      </c>
      <c r="BT279" s="16" t="e">
        <f aca="false">MatchData[challenge flag]*5</f>
        <v>#VALUE!</v>
      </c>
      <c r="BU279" s="16" t="e">
        <f aca="false">MatchData[climb flag]*15</f>
        <v>#VALUE!</v>
      </c>
      <c r="BV279" s="16" t="e">
        <f aca="false">SUM(MatchData[[#this row],[total goal score]],MatchData[[#this row],[crossing score]],MatchData[[#this row],[challenge score]],MatchData[[#this row],[climb score]],MatchData[[#this row],[total auto score]])</f>
        <v>#VALUE!</v>
      </c>
      <c r="BW279" s="16" t="e">
        <f aca="false">ROUND(SUMIF(MatchData[team],MatchData[[#this row],[team]],MatchData[teleop low goals])/COUNTIF(MatchData[team],MatchData[[#this row],[team]]),2)</f>
        <v>#VALUE!</v>
      </c>
      <c r="BX279" s="16" t="e">
        <f aca="false">ROUND(SUMIF(MatchData[team],MatchData[[#this row],[team]],MatchData[teleop high goals])/COUNTIF(MatchData[team],MatchData[[#this row],[team]]),2)</f>
        <v>#VALUE!</v>
      </c>
      <c r="BY279" s="16" t="e">
        <f aca="false">COUNTIF(MatchData[team],MatchData[[#this row],[team]])</f>
        <v>#VALUE!</v>
      </c>
      <c r="BZ279" s="16" t="e">
        <f aca="false">SUMIF(MatchData[team],MatchData[[#this row],[team]],MatchData[portcullis available])</f>
        <v>#VALUE!</v>
      </c>
      <c r="CA279" s="16" t="e">
        <f aca="false">SUMIF(MatchData[team],MatchData[[#this row],[team]],MatchData[cheval available])</f>
        <v>#VALUE!</v>
      </c>
      <c r="CB279" s="16" t="e">
        <f aca="false">SUMIF(MatchData[team],MatchData[[#this row],[team]],MatchData[moat available])</f>
        <v>#VALUE!</v>
      </c>
      <c r="CC279" s="16" t="e">
        <f aca="false">SUMIF(MatchData[team],MatchData[[#this row],[team]],MatchData[ramparts available])</f>
        <v>#VALUE!</v>
      </c>
      <c r="CD279" s="16" t="e">
        <f aca="false">SUMIF(MatchData[team],MatchData[[#this row],[team]],MatchData[drawbridge available])</f>
        <v>#VALUE!</v>
      </c>
      <c r="CE279" s="16" t="e">
        <f aca="false">SUMIF(MatchData[team],MatchData[[#this row],[team]],MatchData[sally port available])</f>
        <v>#VALUE!</v>
      </c>
      <c r="CF279" s="16" t="e">
        <f aca="false">SUMIF(MatchData[team],MatchData[[#this row],[team]],MatchData[rock wall available])</f>
        <v>#VALUE!</v>
      </c>
      <c r="CG279" s="16" t="e">
        <f aca="false">SUMIF(MatchData[team],MatchData[[#this row],[team]],MatchData[rough terrain available])</f>
        <v>#VALUE!</v>
      </c>
      <c r="CH279" s="16" t="e">
        <f aca="false">SUMIF(MatchData[team],MatchData[[#this row],[team]],MatchData[low bar available])</f>
        <v>#VALUE!</v>
      </c>
      <c r="CI279" s="16" t="e">
        <f aca="false">SUMIF(MatchData[team],MatchData[[#this row],[team]],MatchData[portcullis teleop crossings]:MatchData[portcullis scored crossings])</f>
        <v>#VALUE!</v>
      </c>
      <c r="CJ279" s="16" t="e">
        <f aca="false">SUMIF(MatchData[team],MatchData[[#this row],[team]],MatchData[cheval teleop crossings])+SUMIF(MatchData[team],MatchData[[#this row],[team]],MatchData[cheval scored crossings])</f>
        <v>#VALUE!</v>
      </c>
      <c r="CK279" s="16" t="e">
        <f aca="false">SUMIF(MatchData[team],MatchData[[#this row],[team]],MatchData[moat teleop crossings])+SUMIF(MatchData[team],MatchData[[#this row],[team]],MatchData[moat scored crosings])</f>
        <v>#VALUE!</v>
      </c>
      <c r="CL279" s="16" t="e">
        <f aca="false">SUMIF(MatchData[team],MatchData[[#this row],[team]],MatchData[ramparts teleop crossings])+SUMIF(MatchData[team],MatchData[[#this row],[team]],MatchData[ramparts scored crossings])</f>
        <v>#VALUE!</v>
      </c>
      <c r="CM279" s="16" t="e">
        <f aca="false">SUMIF(MatchData[team],MatchData[[#this row],[team]],MatchData[drawbridge teleop crossings])+SUMIF(MatchData[team],MatchData[[#this row],[team]],MatchData[drawbridge scored crossings])</f>
        <v>#VALUE!</v>
      </c>
      <c r="CN279" s="16" t="e">
        <f aca="false">SUMIF(MatchData[team],MatchData[[#this row],[team]],MatchData[sally port teleop crossings])+SUMIF(MatchData[team],MatchData[[#this row],[team]],MatchData[sally port scored crossings])</f>
        <v>#VALUE!</v>
      </c>
      <c r="CO279" s="16" t="e">
        <f aca="false">SUMIF(MatchData[team],MatchData[[#this row],[team]],MatchData[rock wall teleop crossings])+SUMIF(MatchData[team],MatchData[[#this row],[team]],MatchData[rock wall scored crossings])</f>
        <v>#VALUE!</v>
      </c>
      <c r="CP279" s="16" t="e">
        <f aca="false">SUMIF(MatchData[team],MatchData[[#this row],[team]],MatchData[rough terrain teleop crossings])+SUMIF(MatchData[team],MatchData[[#this row],[team]],MatchData[rough terrain scored crossings])</f>
        <v>#VALUE!</v>
      </c>
      <c r="CQ279" s="16" t="e">
        <f aca="false">SUMIF(MatchData[team],MatchData[[#this row],[team]],MatchData[low bar teleop crossings])+SUMIF(MatchData[team],MatchData[[#this row],[team]],MatchData[low bar scored crossings])</f>
        <v>#VALUE!</v>
      </c>
      <c r="CR279" s="16" t="e">
        <f aca="false">IFERROR(ROUND(MatchData[[#this row],[portcullis sum]]/MatchData[[#this row],[portcullis avail count]],2),0)</f>
        <v>#VALUE!</v>
      </c>
      <c r="CS279" s="16" t="e">
        <f aca="false">IFERROR(ROUND(MatchData[[#this row],[cheval sum]]/MatchData[[#this row],[cheval avail count]],2),0)</f>
        <v>#VALUE!</v>
      </c>
      <c r="CT279" s="16" t="e">
        <f aca="false">IFERROR(ROUND(MatchData[[#this row],[moat sum]]/MatchData[[#this row],[moat avail count]],2),0)</f>
        <v>#VALUE!</v>
      </c>
      <c r="CU279" s="16" t="e">
        <f aca="false">IFERROR(ROUND(MatchData[[#this row],[ramparts sum]]/MatchData[[#this row],[ramparts avail count]],2),0)</f>
        <v>#VALUE!</v>
      </c>
      <c r="CV279" s="16" t="e">
        <f aca="false">IFERROR(ROUND(MatchData[[#this row],[drawbridge sum]]/MatchData[[#this row],[drawbridge avail countigh6]],2),0)</f>
        <v>#VALUE!</v>
      </c>
      <c r="CW279" s="16" t="e">
        <f aca="false">IFERROR(ROUND(MatchData[[#this row],[sally port sum]]/MatchData[[#this row],[sally port avail count]],2),0)</f>
        <v>#VALUE!</v>
      </c>
      <c r="CX279" s="5" t="e">
        <f aca="false">IFERROR(ROUND(MatchData[[#this row],[rock wall sum]]/MatchData[[#this row],[rock wall avail count]],2),0)</f>
        <v>#VALUE!</v>
      </c>
      <c r="CY279" s="5" t="e">
        <f aca="false">IFERROR(ROUND(MatchData[[#this row],[rough terrain sum]]/MatchData[[#this row],[rough terrain avail count]],2),0)</f>
        <v>#VALUE!</v>
      </c>
      <c r="CZ279" s="5" t="e">
        <f aca="false">IFERROR(ROUND(MatchData[[#this row],[low bar sum]]/MatchData[[#this row],[low bar avail count]],2),0)</f>
        <v>#VALUE!</v>
      </c>
      <c r="DA279" s="16" t="e">
        <f aca="false">SUM(MatchData[[#this row],[cheval sum]:[low bar sum]])/MatchData[match count]</f>
        <v>#VALUE!</v>
      </c>
      <c r="DB279" s="16" t="n">
        <f aca="false">MAX(IF(C$2:C$74=C279,BP$2:BP$74))</f>
        <v>-1.79769313486232E+308</v>
      </c>
      <c r="DC279" s="16" t="e">
        <f aca="false">AVERAGEIF(MatchData[team],MatchData[[#this row],[team]],MatchData[total score])</f>
        <v>#VALUE!</v>
      </c>
      <c r="DD279" s="16" t="e">
        <f aca="false">ROUND(AVERAGEIF(MatchData[team],MatchData[team],MatchData[climb or challenge flag]),2)</f>
        <v>#VALUE!</v>
      </c>
    </row>
    <row r="280" customFormat="false" ht="14.5" hidden="false" customHeight="false" outlineLevel="0" collapsed="false">
      <c r="A280" s="20" t="s">
        <v>108</v>
      </c>
      <c r="B280" s="18" t="n">
        <v>47</v>
      </c>
      <c r="C280" s="15" t="n">
        <v>4662</v>
      </c>
      <c r="D280" s="5" t="s">
        <v>109</v>
      </c>
      <c r="E280" s="5" t="s">
        <v>153</v>
      </c>
      <c r="G280" s="16"/>
      <c r="I280" s="16"/>
      <c r="J280" s="5" t="n">
        <v>1</v>
      </c>
      <c r="K280" s="16"/>
      <c r="L280" s="5" t="n">
        <v>1</v>
      </c>
      <c r="M280" s="5" t="n">
        <v>1</v>
      </c>
      <c r="N280" s="5" t="n">
        <v>1</v>
      </c>
      <c r="O280" s="0"/>
      <c r="P280" s="5" t="n">
        <v>1</v>
      </c>
      <c r="Q280" s="0"/>
      <c r="R280" s="0"/>
      <c r="S280" s="16"/>
      <c r="U280" s="16"/>
      <c r="V280" s="16"/>
      <c r="AB280" s="5" t="n">
        <v>1</v>
      </c>
      <c r="AC280" s="5" t="n">
        <v>2</v>
      </c>
      <c r="AD280" s="16"/>
      <c r="AE280" s="5"/>
      <c r="AF280" s="16"/>
      <c r="AG280" s="16"/>
      <c r="AH280" s="16" t="n">
        <v>1</v>
      </c>
      <c r="AJ280" s="16"/>
      <c r="AL280" s="16" t="n">
        <v>1</v>
      </c>
      <c r="AN280" s="16"/>
      <c r="AP280" s="16"/>
      <c r="AR280" s="16"/>
      <c r="AS280" s="5" t="n">
        <v>1</v>
      </c>
      <c r="AT280" s="16" t="n">
        <v>1</v>
      </c>
      <c r="AU280" s="16"/>
      <c r="AV280" s="16"/>
      <c r="AW280" s="16" t="n">
        <v>1</v>
      </c>
      <c r="AX280" s="16"/>
      <c r="AY280" s="16" t="n">
        <v>1</v>
      </c>
      <c r="AZ280" s="16"/>
      <c r="BB280" s="16" t="n">
        <v>1</v>
      </c>
      <c r="BC280" s="16" t="e">
        <f aca="false">MatchData[cheval scored crossings]*5</f>
        <v>#VALUE!</v>
      </c>
      <c r="BD280" s="16" t="e">
        <f aca="false">MatchData[moat scored crosings]*5</f>
        <v>#VALUE!</v>
      </c>
      <c r="BE280" s="16" t="e">
        <f aca="false">MatchData[ramparts scored crossings]*5</f>
        <v>#VALUE!</v>
      </c>
      <c r="BF280" s="16" t="e">
        <f aca="false">MatchData[drawbridge scored crossings]*5</f>
        <v>#VALUE!</v>
      </c>
      <c r="BG280" s="16" t="e">
        <f aca="false">MatchData[sally port scored crossings]*5</f>
        <v>#VALUE!</v>
      </c>
      <c r="BH280" s="16" t="e">
        <f aca="false">MatchData[rock wall scored crossings]*5</f>
        <v>#VALUE!</v>
      </c>
      <c r="BI280" s="16" t="e">
        <f aca="false">MatchData[rough terrain scored crossings]*5</f>
        <v>#VALUE!</v>
      </c>
      <c r="BJ280" s="16" t="e">
        <f aca="false">MatchData[low bar scored crossings]*5</f>
        <v>#VALUE!</v>
      </c>
      <c r="BK280" s="16" t="e">
        <f aca="false">SUM(MatchData[[#this row],[low bar teleop crossings]:[rough terrain scored crossings]])</f>
        <v>#VALUE!</v>
      </c>
      <c r="BL280" s="16" t="e">
        <f aca="false">IFERROR(IF(OR(MatchData[[#this row],[challenge flag]],MatchData[[#this row],[climb flag]]),1,0),0)</f>
        <v>#VALUE!</v>
      </c>
      <c r="BM280" s="16" t="e">
        <f aca="false">MatchData[auto high goals]*10+MatchData[teleop high goals]*5</f>
        <v>#VALUE!</v>
      </c>
      <c r="BN280" s="16" t="e">
        <f aca="false">MatchData[auto low goals]*5+MatchData[teleop low goals]*2</f>
        <v>#VALUE!</v>
      </c>
      <c r="BO280" s="16" t="e">
        <f aca="false">MatchData[high goal score]+MatchData[low goal score]</f>
        <v>#VALUE!</v>
      </c>
      <c r="BP280" s="16" t="e">
        <f aca="false">MatchData[teleop high goals]+MatchData[teleop low goals]</f>
        <v>#VALUE!</v>
      </c>
      <c r="BQ280" s="16" t="e">
        <f aca="false">MatchData[[#this row],[auto reach flag]]*2+SUM(MatchData[[#this row],[portcullis auto crossings]:[low bar auto crossings]])*10+MatchData[[#this row],[auto low goals]]*5+MatchData[auto high goals]*10</f>
        <v>#VALUE!</v>
      </c>
      <c r="BR280" s="16" t="e">
        <f aca="false">SUM(MatchData[[#this row],[cheval teleop crossing score]:[low bar teleop crossing score]])</f>
        <v>#VALUE!</v>
      </c>
      <c r="BS280" s="16" t="e">
        <f aca="false">SUMIF(MatchData[team],MatchData[[#this row],[team]],MatchData[total auto score])/MatchData[match count]</f>
        <v>#VALUE!</v>
      </c>
      <c r="BT280" s="16" t="e">
        <f aca="false">MatchData[challenge flag]*5</f>
        <v>#VALUE!</v>
      </c>
      <c r="BU280" s="16" t="e">
        <f aca="false">MatchData[climb flag]*15</f>
        <v>#VALUE!</v>
      </c>
      <c r="BV280" s="16" t="e">
        <f aca="false">SUM(MatchData[[#this row],[total goal score]],MatchData[[#this row],[crossing score]],MatchData[[#this row],[challenge score]],MatchData[[#this row],[climb score]],MatchData[[#this row],[total auto score]])</f>
        <v>#VALUE!</v>
      </c>
      <c r="BW280" s="16" t="e">
        <f aca="false">ROUND(SUMIF(MatchData[team],MatchData[[#this row],[team]],MatchData[teleop low goals])/COUNTIF(MatchData[team],MatchData[[#this row],[team]]),2)</f>
        <v>#VALUE!</v>
      </c>
      <c r="BX280" s="16" t="e">
        <f aca="false">ROUND(SUMIF(MatchData[team],MatchData[[#this row],[team]],MatchData[teleop high goals])/COUNTIF(MatchData[team],MatchData[[#this row],[team]]),2)</f>
        <v>#VALUE!</v>
      </c>
      <c r="BY280" s="16" t="e">
        <f aca="false">COUNTIF(MatchData[team],MatchData[[#this row],[team]])</f>
        <v>#VALUE!</v>
      </c>
      <c r="BZ280" s="16" t="e">
        <f aca="false">SUMIF(MatchData[team],MatchData[[#this row],[team]],MatchData[portcullis available])</f>
        <v>#VALUE!</v>
      </c>
      <c r="CA280" s="16" t="e">
        <f aca="false">SUMIF(MatchData[team],MatchData[[#this row],[team]],MatchData[cheval available])</f>
        <v>#VALUE!</v>
      </c>
      <c r="CB280" s="16" t="e">
        <f aca="false">SUMIF(MatchData[team],MatchData[[#this row],[team]],MatchData[moat available])</f>
        <v>#VALUE!</v>
      </c>
      <c r="CC280" s="16" t="e">
        <f aca="false">SUMIF(MatchData[team],MatchData[[#this row],[team]],MatchData[ramparts available])</f>
        <v>#VALUE!</v>
      </c>
      <c r="CD280" s="16" t="e">
        <f aca="false">SUMIF(MatchData[team],MatchData[[#this row],[team]],MatchData[drawbridge available])</f>
        <v>#VALUE!</v>
      </c>
      <c r="CE280" s="16" t="e">
        <f aca="false">SUMIF(MatchData[team],MatchData[[#this row],[team]],MatchData[sally port available])</f>
        <v>#VALUE!</v>
      </c>
      <c r="CF280" s="16" t="e">
        <f aca="false">SUMIF(MatchData[team],MatchData[[#this row],[team]],MatchData[rock wall available])</f>
        <v>#VALUE!</v>
      </c>
      <c r="CG280" s="16" t="e">
        <f aca="false">SUMIF(MatchData[team],MatchData[[#this row],[team]],MatchData[rough terrain available])</f>
        <v>#VALUE!</v>
      </c>
      <c r="CH280" s="16" t="e">
        <f aca="false">SUMIF(MatchData[team],MatchData[[#this row],[team]],MatchData[low bar available])</f>
        <v>#VALUE!</v>
      </c>
      <c r="CI280" s="16" t="e">
        <f aca="false">SUMIF(MatchData[team],MatchData[[#this row],[team]],MatchData[portcullis teleop crossings]:MatchData[portcullis scored crossings])</f>
        <v>#VALUE!</v>
      </c>
      <c r="CJ280" s="16" t="e">
        <f aca="false">SUMIF(MatchData[team],MatchData[[#this row],[team]],MatchData[cheval teleop crossings])+SUMIF(MatchData[team],MatchData[[#this row],[team]],MatchData[cheval scored crossings])</f>
        <v>#VALUE!</v>
      </c>
      <c r="CK280" s="16" t="e">
        <f aca="false">SUMIF(MatchData[team],MatchData[[#this row],[team]],MatchData[moat teleop crossings])+SUMIF(MatchData[team],MatchData[[#this row],[team]],MatchData[moat scored crosings])</f>
        <v>#VALUE!</v>
      </c>
      <c r="CL280" s="16" t="e">
        <f aca="false">SUMIF(MatchData[team],MatchData[[#this row],[team]],MatchData[ramparts teleop crossings])+SUMIF(MatchData[team],MatchData[[#this row],[team]],MatchData[ramparts scored crossings])</f>
        <v>#VALUE!</v>
      </c>
      <c r="CM280" s="16" t="e">
        <f aca="false">SUMIF(MatchData[team],MatchData[[#this row],[team]],MatchData[drawbridge teleop crossings])+SUMIF(MatchData[team],MatchData[[#this row],[team]],MatchData[drawbridge scored crossings])</f>
        <v>#VALUE!</v>
      </c>
      <c r="CN280" s="16" t="e">
        <f aca="false">SUMIF(MatchData[team],MatchData[[#this row],[team]],MatchData[sally port teleop crossings])+SUMIF(MatchData[team],MatchData[[#this row],[team]],MatchData[sally port scored crossings])</f>
        <v>#VALUE!</v>
      </c>
      <c r="CO280" s="16" t="e">
        <f aca="false">SUMIF(MatchData[team],MatchData[[#this row],[team]],MatchData[rock wall teleop crossings])+SUMIF(MatchData[team],MatchData[[#this row],[team]],MatchData[rock wall scored crossings])</f>
        <v>#VALUE!</v>
      </c>
      <c r="CP280" s="16" t="e">
        <f aca="false">SUMIF(MatchData[team],MatchData[[#this row],[team]],MatchData[rough terrain teleop crossings])+SUMIF(MatchData[team],MatchData[[#this row],[team]],MatchData[rough terrain scored crossings])</f>
        <v>#VALUE!</v>
      </c>
      <c r="CQ280" s="16" t="e">
        <f aca="false">SUMIF(MatchData[team],MatchData[[#this row],[team]],MatchData[low bar teleop crossings])+SUMIF(MatchData[team],MatchData[[#this row],[team]],MatchData[low bar scored crossings])</f>
        <v>#VALUE!</v>
      </c>
      <c r="CR280" s="16" t="e">
        <f aca="false">IFERROR(ROUND(MatchData[[#this row],[portcullis sum]]/MatchData[[#this row],[portcullis avail count]],2),0)</f>
        <v>#VALUE!</v>
      </c>
      <c r="CS280" s="16" t="e">
        <f aca="false">IFERROR(ROUND(MatchData[[#this row],[cheval sum]]/MatchData[[#this row],[cheval avail count]],2),0)</f>
        <v>#VALUE!</v>
      </c>
      <c r="CT280" s="16" t="e">
        <f aca="false">IFERROR(ROUND(MatchData[[#this row],[moat sum]]/MatchData[[#this row],[moat avail count]],2),0)</f>
        <v>#VALUE!</v>
      </c>
      <c r="CU280" s="16" t="e">
        <f aca="false">IFERROR(ROUND(MatchData[[#this row],[ramparts sum]]/MatchData[[#this row],[ramparts avail count]],2),0)</f>
        <v>#VALUE!</v>
      </c>
      <c r="CV280" s="16" t="e">
        <f aca="false">IFERROR(ROUND(MatchData[[#this row],[drawbridge sum]]/MatchData[[#this row],[drawbridge avail countigh6]],2),0)</f>
        <v>#VALUE!</v>
      </c>
      <c r="CW280" s="16" t="e">
        <f aca="false">IFERROR(ROUND(MatchData[[#this row],[sally port sum]]/MatchData[[#this row],[sally port avail count]],2),0)</f>
        <v>#VALUE!</v>
      </c>
      <c r="CX280" s="5" t="e">
        <f aca="false">IFERROR(ROUND(MatchData[[#this row],[rock wall sum]]/MatchData[[#this row],[rock wall avail count]],2),0)</f>
        <v>#VALUE!</v>
      </c>
      <c r="CY280" s="5" t="e">
        <f aca="false">IFERROR(ROUND(MatchData[[#this row],[rough terrain sum]]/MatchData[[#this row],[rough terrain avail count]],2),0)</f>
        <v>#VALUE!</v>
      </c>
      <c r="CZ280" s="5" t="e">
        <f aca="false">IFERROR(ROUND(MatchData[[#this row],[low bar sum]]/MatchData[[#this row],[low bar avail count]],2),0)</f>
        <v>#VALUE!</v>
      </c>
      <c r="DA280" s="16" t="e">
        <f aca="false">SUM(MatchData[[#this row],[cheval sum]:[low bar sum]])/MatchData[match count]</f>
        <v>#VALUE!</v>
      </c>
      <c r="DB280" s="16" t="n">
        <f aca="false">MAX(IF(C$2:C$74=C280,BP$2:BP$74))</f>
        <v>-1.79769313486232E+308</v>
      </c>
      <c r="DC280" s="16" t="e">
        <f aca="false">AVERAGEIF(MatchData[team],MatchData[[#this row],[team]],MatchData[total score])</f>
        <v>#VALUE!</v>
      </c>
      <c r="DD280" s="16" t="e">
        <f aca="false">ROUND(AVERAGEIF(MatchData[team],MatchData[team],MatchData[climb or challenge flag]),2)</f>
        <v>#VALUE!</v>
      </c>
    </row>
    <row r="281" customFormat="false" ht="14.5" hidden="false" customHeight="false" outlineLevel="0" collapsed="false">
      <c r="A281" s="20" t="s">
        <v>108</v>
      </c>
      <c r="B281" s="14" t="n">
        <v>47</v>
      </c>
      <c r="C281" s="15" t="n">
        <v>3673</v>
      </c>
      <c r="D281" s="5" t="s">
        <v>113</v>
      </c>
      <c r="E281" s="5" t="s">
        <v>149</v>
      </c>
      <c r="G281" s="16"/>
      <c r="I281" s="16"/>
      <c r="J281" s="5" t="n">
        <v>1</v>
      </c>
      <c r="K281" s="16"/>
      <c r="L281" s="5" t="n">
        <v>1</v>
      </c>
      <c r="M281" s="5" t="n">
        <v>1</v>
      </c>
      <c r="O281" s="5" t="n">
        <v>1</v>
      </c>
      <c r="P281" s="0"/>
      <c r="Q281" s="0"/>
      <c r="R281" s="5" t="n">
        <v>1</v>
      </c>
      <c r="S281" s="16"/>
      <c r="U281" s="16" t="n">
        <v>1</v>
      </c>
      <c r="V281" s="16"/>
      <c r="AD281" s="16"/>
      <c r="AE281" s="5"/>
      <c r="AF281" s="16"/>
      <c r="AG281" s="16"/>
      <c r="AH281" s="16" t="n">
        <v>1</v>
      </c>
      <c r="AJ281" s="16"/>
      <c r="AL281" s="16"/>
      <c r="AN281" s="16"/>
      <c r="AP281" s="16"/>
      <c r="AR281" s="16"/>
      <c r="AT281" s="16"/>
      <c r="AU281" s="16"/>
      <c r="AV281" s="16"/>
      <c r="AW281" s="16"/>
      <c r="AX281" s="16"/>
      <c r="AY281" s="16"/>
      <c r="AZ281" s="16" t="n">
        <v>1</v>
      </c>
      <c r="BB281" s="16"/>
      <c r="BC281" s="16" t="e">
        <f aca="false">MatchData[cheval scored crossings]*5</f>
        <v>#VALUE!</v>
      </c>
      <c r="BD281" s="16" t="e">
        <f aca="false">MatchData[moat scored crosings]*5</f>
        <v>#VALUE!</v>
      </c>
      <c r="BE281" s="16" t="e">
        <f aca="false">MatchData[ramparts scored crossings]*5</f>
        <v>#VALUE!</v>
      </c>
      <c r="BF281" s="16" t="e">
        <f aca="false">MatchData[drawbridge scored crossings]*5</f>
        <v>#VALUE!</v>
      </c>
      <c r="BG281" s="16" t="e">
        <f aca="false">MatchData[sally port scored crossings]*5</f>
        <v>#VALUE!</v>
      </c>
      <c r="BH281" s="16" t="e">
        <f aca="false">MatchData[rock wall scored crossings]*5</f>
        <v>#VALUE!</v>
      </c>
      <c r="BI281" s="16" t="e">
        <f aca="false">MatchData[rough terrain scored crossings]*5</f>
        <v>#VALUE!</v>
      </c>
      <c r="BJ281" s="16" t="e">
        <f aca="false">MatchData[low bar scored crossings]*5</f>
        <v>#VALUE!</v>
      </c>
      <c r="BK281" s="16" t="e">
        <f aca="false">SUM(MatchData[[#this row],[low bar teleop crossings]:[rough terrain scored crossings]])</f>
        <v>#VALUE!</v>
      </c>
      <c r="BL281" s="16" t="e">
        <f aca="false">IFERROR(IF(OR(MatchData[[#this row],[challenge flag]],MatchData[[#this row],[climb flag]]),1,0),0)</f>
        <v>#VALUE!</v>
      </c>
      <c r="BM281" s="16" t="e">
        <f aca="false">MatchData[auto high goals]*10+MatchData[teleop high goals]*5</f>
        <v>#VALUE!</v>
      </c>
      <c r="BN281" s="16" t="e">
        <f aca="false">MatchData[auto low goals]*5+MatchData[teleop low goals]*2</f>
        <v>#VALUE!</v>
      </c>
      <c r="BO281" s="16" t="e">
        <f aca="false">MatchData[high goal score]+MatchData[low goal score]</f>
        <v>#VALUE!</v>
      </c>
      <c r="BP281" s="16" t="e">
        <f aca="false">MatchData[teleop high goals]+MatchData[teleop low goals]</f>
        <v>#VALUE!</v>
      </c>
      <c r="BQ281" s="16" t="e">
        <f aca="false">MatchData[[#this row],[auto reach flag]]*2+SUM(MatchData[[#this row],[portcullis auto crossings]:[low bar auto crossings]])*10+MatchData[[#this row],[auto low goals]]*5+MatchData[auto high goals]*10</f>
        <v>#VALUE!</v>
      </c>
      <c r="BR281" s="16" t="e">
        <f aca="false">SUM(MatchData[[#this row],[cheval teleop crossing score]:[low bar teleop crossing score]])</f>
        <v>#VALUE!</v>
      </c>
      <c r="BS281" s="16" t="e">
        <f aca="false">SUMIF(MatchData[team],MatchData[[#this row],[team]],MatchData[total auto score])/MatchData[match count]</f>
        <v>#VALUE!</v>
      </c>
      <c r="BT281" s="16" t="e">
        <f aca="false">MatchData[challenge flag]*5</f>
        <v>#VALUE!</v>
      </c>
      <c r="BU281" s="16" t="e">
        <f aca="false">MatchData[climb flag]*15</f>
        <v>#VALUE!</v>
      </c>
      <c r="BV281" s="16" t="e">
        <f aca="false">SUM(MatchData[[#this row],[total goal score]],MatchData[[#this row],[crossing score]],MatchData[[#this row],[challenge score]],MatchData[[#this row],[climb score]],MatchData[[#this row],[total auto score]])</f>
        <v>#VALUE!</v>
      </c>
      <c r="BW281" s="16" t="e">
        <f aca="false">ROUND(SUMIF(MatchData[team],MatchData[[#this row],[team]],MatchData[teleop low goals])/COUNTIF(MatchData[team],MatchData[[#this row],[team]]),2)</f>
        <v>#VALUE!</v>
      </c>
      <c r="BX281" s="16" t="e">
        <f aca="false">ROUND(SUMIF(MatchData[team],MatchData[[#this row],[team]],MatchData[teleop high goals])/COUNTIF(MatchData[team],MatchData[[#this row],[team]]),2)</f>
        <v>#VALUE!</v>
      </c>
      <c r="BY281" s="16" t="e">
        <f aca="false">COUNTIF(MatchData[team],MatchData[[#this row],[team]])</f>
        <v>#VALUE!</v>
      </c>
      <c r="BZ281" s="16" t="e">
        <f aca="false">SUMIF(MatchData[team],MatchData[[#this row],[team]],MatchData[portcullis available])</f>
        <v>#VALUE!</v>
      </c>
      <c r="CA281" s="16" t="e">
        <f aca="false">SUMIF(MatchData[team],MatchData[[#this row],[team]],MatchData[cheval available])</f>
        <v>#VALUE!</v>
      </c>
      <c r="CB281" s="16" t="e">
        <f aca="false">SUMIF(MatchData[team],MatchData[[#this row],[team]],MatchData[moat available])</f>
        <v>#VALUE!</v>
      </c>
      <c r="CC281" s="16" t="e">
        <f aca="false">SUMIF(MatchData[team],MatchData[[#this row],[team]],MatchData[ramparts available])</f>
        <v>#VALUE!</v>
      </c>
      <c r="CD281" s="16" t="e">
        <f aca="false">SUMIF(MatchData[team],MatchData[[#this row],[team]],MatchData[drawbridge available])</f>
        <v>#VALUE!</v>
      </c>
      <c r="CE281" s="16" t="e">
        <f aca="false">SUMIF(MatchData[team],MatchData[[#this row],[team]],MatchData[sally port available])</f>
        <v>#VALUE!</v>
      </c>
      <c r="CF281" s="16" t="e">
        <f aca="false">SUMIF(MatchData[team],MatchData[[#this row],[team]],MatchData[rock wall available])</f>
        <v>#VALUE!</v>
      </c>
      <c r="CG281" s="16" t="e">
        <f aca="false">SUMIF(MatchData[team],MatchData[[#this row],[team]],MatchData[rough terrain available])</f>
        <v>#VALUE!</v>
      </c>
      <c r="CH281" s="16" t="e">
        <f aca="false">SUMIF(MatchData[team],MatchData[[#this row],[team]],MatchData[low bar available])</f>
        <v>#VALUE!</v>
      </c>
      <c r="CI281" s="16" t="e">
        <f aca="false">SUMIF(MatchData[team],MatchData[[#this row],[team]],MatchData[portcullis teleop crossings]:MatchData[portcullis scored crossings])</f>
        <v>#VALUE!</v>
      </c>
      <c r="CJ281" s="16" t="e">
        <f aca="false">SUMIF(MatchData[team],MatchData[[#this row],[team]],MatchData[cheval teleop crossings])+SUMIF(MatchData[team],MatchData[[#this row],[team]],MatchData[cheval scored crossings])</f>
        <v>#VALUE!</v>
      </c>
      <c r="CK281" s="16" t="e">
        <f aca="false">SUMIF(MatchData[team],MatchData[[#this row],[team]],MatchData[moat teleop crossings])+SUMIF(MatchData[team],MatchData[[#this row],[team]],MatchData[moat scored crosings])</f>
        <v>#VALUE!</v>
      </c>
      <c r="CL281" s="16" t="e">
        <f aca="false">SUMIF(MatchData[team],MatchData[[#this row],[team]],MatchData[ramparts teleop crossings])+SUMIF(MatchData[team],MatchData[[#this row],[team]],MatchData[ramparts scored crossings])</f>
        <v>#VALUE!</v>
      </c>
      <c r="CM281" s="16" t="e">
        <f aca="false">SUMIF(MatchData[team],MatchData[[#this row],[team]],MatchData[drawbridge teleop crossings])+SUMIF(MatchData[team],MatchData[[#this row],[team]],MatchData[drawbridge scored crossings])</f>
        <v>#VALUE!</v>
      </c>
      <c r="CN281" s="16" t="e">
        <f aca="false">SUMIF(MatchData[team],MatchData[[#this row],[team]],MatchData[sally port teleop crossings])+SUMIF(MatchData[team],MatchData[[#this row],[team]],MatchData[sally port scored crossings])</f>
        <v>#VALUE!</v>
      </c>
      <c r="CO281" s="16" t="e">
        <f aca="false">SUMIF(MatchData[team],MatchData[[#this row],[team]],MatchData[rock wall teleop crossings])+SUMIF(MatchData[team],MatchData[[#this row],[team]],MatchData[rock wall scored crossings])</f>
        <v>#VALUE!</v>
      </c>
      <c r="CP281" s="16" t="e">
        <f aca="false">SUMIF(MatchData[team],MatchData[[#this row],[team]],MatchData[rough terrain teleop crossings])+SUMIF(MatchData[team],MatchData[[#this row],[team]],MatchData[rough terrain scored crossings])</f>
        <v>#VALUE!</v>
      </c>
      <c r="CQ281" s="16" t="e">
        <f aca="false">SUMIF(MatchData[team],MatchData[[#this row],[team]],MatchData[low bar teleop crossings])+SUMIF(MatchData[team],MatchData[[#this row],[team]],MatchData[low bar scored crossings])</f>
        <v>#VALUE!</v>
      </c>
      <c r="CR281" s="16" t="e">
        <f aca="false">IFERROR(ROUND(MatchData[[#this row],[portcullis sum]]/MatchData[[#this row],[portcullis avail count]],2),0)</f>
        <v>#VALUE!</v>
      </c>
      <c r="CS281" s="16" t="e">
        <f aca="false">IFERROR(ROUND(MatchData[[#this row],[cheval sum]]/MatchData[[#this row],[cheval avail count]],2),0)</f>
        <v>#VALUE!</v>
      </c>
      <c r="CT281" s="16" t="e">
        <f aca="false">IFERROR(ROUND(MatchData[[#this row],[moat sum]]/MatchData[[#this row],[moat avail count]],2),0)</f>
        <v>#VALUE!</v>
      </c>
      <c r="CU281" s="16" t="e">
        <f aca="false">IFERROR(ROUND(MatchData[[#this row],[ramparts sum]]/MatchData[[#this row],[ramparts avail count]],2),0)</f>
        <v>#VALUE!</v>
      </c>
      <c r="CV281" s="16" t="e">
        <f aca="false">IFERROR(ROUND(MatchData[[#this row],[drawbridge sum]]/MatchData[[#this row],[drawbridge avail countigh6]],2),0)</f>
        <v>#VALUE!</v>
      </c>
      <c r="CW281" s="16" t="e">
        <f aca="false">IFERROR(ROUND(MatchData[[#this row],[sally port sum]]/MatchData[[#this row],[sally port avail count]],2),0)</f>
        <v>#VALUE!</v>
      </c>
      <c r="CX281" s="5" t="e">
        <f aca="false">IFERROR(ROUND(MatchData[[#this row],[rock wall sum]]/MatchData[[#this row],[rock wall avail count]],2),0)</f>
        <v>#VALUE!</v>
      </c>
      <c r="CY281" s="5" t="e">
        <f aca="false">IFERROR(ROUND(MatchData[[#this row],[rough terrain sum]]/MatchData[[#this row],[rough terrain avail count]],2),0)</f>
        <v>#VALUE!</v>
      </c>
      <c r="CZ281" s="5" t="e">
        <f aca="false">IFERROR(ROUND(MatchData[[#this row],[low bar sum]]/MatchData[[#this row],[low bar avail count]],2),0)</f>
        <v>#VALUE!</v>
      </c>
      <c r="DA281" s="16" t="e">
        <f aca="false">SUM(MatchData[[#this row],[cheval sum]:[low bar sum]])/MatchData[match count]</f>
        <v>#VALUE!</v>
      </c>
      <c r="DB281" s="16" t="n">
        <f aca="false">MAX(IF(C$2:C$74=C281,BP$2:BP$74))</f>
        <v>-1.79769313486232E+308</v>
      </c>
      <c r="DC281" s="16" t="e">
        <f aca="false">AVERAGEIF(MatchData[team],MatchData[[#this row],[team]],MatchData[total score])</f>
        <v>#VALUE!</v>
      </c>
      <c r="DD281" s="16" t="e">
        <f aca="false">ROUND(AVERAGEIF(MatchData[team],MatchData[team],MatchData[climb or challenge flag]),2)</f>
        <v>#VALUE!</v>
      </c>
    </row>
    <row r="282" customFormat="false" ht="14.5" hidden="false" customHeight="false" outlineLevel="0" collapsed="false">
      <c r="A282" s="20" t="s">
        <v>108</v>
      </c>
      <c r="B282" s="14" t="n">
        <v>47</v>
      </c>
      <c r="C282" s="15" t="n">
        <v>3674</v>
      </c>
      <c r="D282" s="5" t="s">
        <v>113</v>
      </c>
      <c r="E282" s="5" t="s">
        <v>125</v>
      </c>
      <c r="G282" s="16" t="n">
        <v>1</v>
      </c>
      <c r="I282" s="16"/>
      <c r="J282" s="5" t="n">
        <v>1</v>
      </c>
      <c r="K282" s="16"/>
      <c r="L282" s="5" t="n">
        <v>1</v>
      </c>
      <c r="M282" s="5" t="n">
        <v>1</v>
      </c>
      <c r="O282" s="5" t="n">
        <v>1</v>
      </c>
      <c r="P282" s="0"/>
      <c r="Q282" s="0"/>
      <c r="R282" s="5" t="n">
        <v>1</v>
      </c>
      <c r="S282" s="16"/>
      <c r="U282" s="16"/>
      <c r="V282" s="16"/>
      <c r="AD282" s="16" t="n">
        <v>2</v>
      </c>
      <c r="AE282" s="5"/>
      <c r="AF282" s="16"/>
      <c r="AG282" s="16"/>
      <c r="AH282" s="16" t="n">
        <v>2</v>
      </c>
      <c r="AJ282" s="16"/>
      <c r="AL282" s="16"/>
      <c r="AN282" s="16"/>
      <c r="AP282" s="16"/>
      <c r="AR282" s="16"/>
      <c r="AT282" s="16"/>
      <c r="AU282" s="16"/>
      <c r="AV282" s="16"/>
      <c r="AW282" s="16" t="n">
        <v>1</v>
      </c>
      <c r="AX282" s="16"/>
      <c r="AY282" s="16"/>
      <c r="AZ282" s="16"/>
      <c r="BB282" s="16" t="n">
        <v>1</v>
      </c>
      <c r="BC282" s="16" t="e">
        <f aca="false">MatchData[cheval scored crossings]*5</f>
        <v>#VALUE!</v>
      </c>
      <c r="BD282" s="16" t="e">
        <f aca="false">MatchData[moat scored crosings]*5</f>
        <v>#VALUE!</v>
      </c>
      <c r="BE282" s="16" t="e">
        <f aca="false">MatchData[ramparts scored crossings]*5</f>
        <v>#VALUE!</v>
      </c>
      <c r="BF282" s="16" t="e">
        <f aca="false">MatchData[drawbridge scored crossings]*5</f>
        <v>#VALUE!</v>
      </c>
      <c r="BG282" s="16" t="e">
        <f aca="false">MatchData[sally port scored crossings]*5</f>
        <v>#VALUE!</v>
      </c>
      <c r="BH282" s="16" t="e">
        <f aca="false">MatchData[rock wall scored crossings]*5</f>
        <v>#VALUE!</v>
      </c>
      <c r="BI282" s="16" t="e">
        <f aca="false">MatchData[rough terrain scored crossings]*5</f>
        <v>#VALUE!</v>
      </c>
      <c r="BJ282" s="16" t="e">
        <f aca="false">MatchData[low bar scored crossings]*5</f>
        <v>#VALUE!</v>
      </c>
      <c r="BK282" s="16" t="e">
        <f aca="false">SUM(MatchData[[#this row],[low bar teleop crossings]:[rough terrain scored crossings]])</f>
        <v>#VALUE!</v>
      </c>
      <c r="BL282" s="16" t="e">
        <f aca="false">IFERROR(IF(OR(MatchData[[#this row],[challenge flag]],MatchData[[#this row],[climb flag]]),1,0),0)</f>
        <v>#VALUE!</v>
      </c>
      <c r="BM282" s="16" t="e">
        <f aca="false">MatchData[auto high goals]*10+MatchData[teleop high goals]*5</f>
        <v>#VALUE!</v>
      </c>
      <c r="BN282" s="16" t="e">
        <f aca="false">MatchData[auto low goals]*5+MatchData[teleop low goals]*2</f>
        <v>#VALUE!</v>
      </c>
      <c r="BO282" s="16" t="e">
        <f aca="false">MatchData[high goal score]+MatchData[low goal score]</f>
        <v>#VALUE!</v>
      </c>
      <c r="BP282" s="16" t="e">
        <f aca="false">MatchData[teleop high goals]+MatchData[teleop low goals]</f>
        <v>#VALUE!</v>
      </c>
      <c r="BQ282" s="16" t="e">
        <f aca="false">MatchData[[#this row],[auto reach flag]]*2+SUM(MatchData[[#this row],[portcullis auto crossings]:[low bar auto crossings]])*10+MatchData[[#this row],[auto low goals]]*5+MatchData[auto high goals]*10</f>
        <v>#VALUE!</v>
      </c>
      <c r="BR282" s="16" t="e">
        <f aca="false">SUM(MatchData[[#this row],[cheval teleop crossing score]:[low bar teleop crossing score]])</f>
        <v>#VALUE!</v>
      </c>
      <c r="BS282" s="16" t="e">
        <f aca="false">SUMIF(MatchData[team],MatchData[[#this row],[team]],MatchData[total auto score])/MatchData[match count]</f>
        <v>#VALUE!</v>
      </c>
      <c r="BT282" s="16" t="e">
        <f aca="false">MatchData[challenge flag]*5</f>
        <v>#VALUE!</v>
      </c>
      <c r="BU282" s="16" t="e">
        <f aca="false">MatchData[climb flag]*15</f>
        <v>#VALUE!</v>
      </c>
      <c r="BV282" s="16" t="e">
        <f aca="false">SUM(MatchData[[#this row],[total goal score]],MatchData[[#this row],[crossing score]],MatchData[[#this row],[challenge score]],MatchData[[#this row],[climb score]],MatchData[[#this row],[total auto score]])</f>
        <v>#VALUE!</v>
      </c>
      <c r="BW282" s="16" t="e">
        <f aca="false">ROUND(SUMIF(MatchData[team],MatchData[[#this row],[team]],MatchData[teleop low goals])/COUNTIF(MatchData[team],MatchData[[#this row],[team]]),2)</f>
        <v>#VALUE!</v>
      </c>
      <c r="BX282" s="16" t="e">
        <f aca="false">ROUND(SUMIF(MatchData[team],MatchData[[#this row],[team]],MatchData[teleop high goals])/COUNTIF(MatchData[team],MatchData[[#this row],[team]]),2)</f>
        <v>#VALUE!</v>
      </c>
      <c r="BY282" s="16" t="e">
        <f aca="false">COUNTIF(MatchData[team],MatchData[[#this row],[team]])</f>
        <v>#VALUE!</v>
      </c>
      <c r="BZ282" s="16" t="e">
        <f aca="false">SUMIF(MatchData[team],MatchData[[#this row],[team]],MatchData[portcullis available])</f>
        <v>#VALUE!</v>
      </c>
      <c r="CA282" s="16" t="e">
        <f aca="false">SUMIF(MatchData[team],MatchData[[#this row],[team]],MatchData[cheval available])</f>
        <v>#VALUE!</v>
      </c>
      <c r="CB282" s="16" t="e">
        <f aca="false">SUMIF(MatchData[team],MatchData[[#this row],[team]],MatchData[moat available])</f>
        <v>#VALUE!</v>
      </c>
      <c r="CC282" s="16" t="e">
        <f aca="false">SUMIF(MatchData[team],MatchData[[#this row],[team]],MatchData[ramparts available])</f>
        <v>#VALUE!</v>
      </c>
      <c r="CD282" s="16" t="e">
        <f aca="false">SUMIF(MatchData[team],MatchData[[#this row],[team]],MatchData[drawbridge available])</f>
        <v>#VALUE!</v>
      </c>
      <c r="CE282" s="16" t="e">
        <f aca="false">SUMIF(MatchData[team],MatchData[[#this row],[team]],MatchData[sally port available])</f>
        <v>#VALUE!</v>
      </c>
      <c r="CF282" s="16" t="e">
        <f aca="false">SUMIF(MatchData[team],MatchData[[#this row],[team]],MatchData[rock wall available])</f>
        <v>#VALUE!</v>
      </c>
      <c r="CG282" s="16" t="e">
        <f aca="false">SUMIF(MatchData[team],MatchData[[#this row],[team]],MatchData[rough terrain available])</f>
        <v>#VALUE!</v>
      </c>
      <c r="CH282" s="16" t="e">
        <f aca="false">SUMIF(MatchData[team],MatchData[[#this row],[team]],MatchData[low bar available])</f>
        <v>#VALUE!</v>
      </c>
      <c r="CI282" s="16" t="e">
        <f aca="false">SUMIF(MatchData[team],MatchData[[#this row],[team]],MatchData[portcullis teleop crossings]:MatchData[portcullis scored crossings])</f>
        <v>#VALUE!</v>
      </c>
      <c r="CJ282" s="16" t="e">
        <f aca="false">SUMIF(MatchData[team],MatchData[[#this row],[team]],MatchData[cheval teleop crossings])+SUMIF(MatchData[team],MatchData[[#this row],[team]],MatchData[cheval scored crossings])</f>
        <v>#VALUE!</v>
      </c>
      <c r="CK282" s="16" t="e">
        <f aca="false">SUMIF(MatchData[team],MatchData[[#this row],[team]],MatchData[moat teleop crossings])+SUMIF(MatchData[team],MatchData[[#this row],[team]],MatchData[moat scored crosings])</f>
        <v>#VALUE!</v>
      </c>
      <c r="CL282" s="16" t="e">
        <f aca="false">SUMIF(MatchData[team],MatchData[[#this row],[team]],MatchData[ramparts teleop crossings])+SUMIF(MatchData[team],MatchData[[#this row],[team]],MatchData[ramparts scored crossings])</f>
        <v>#VALUE!</v>
      </c>
      <c r="CM282" s="16" t="e">
        <f aca="false">SUMIF(MatchData[team],MatchData[[#this row],[team]],MatchData[drawbridge teleop crossings])+SUMIF(MatchData[team],MatchData[[#this row],[team]],MatchData[drawbridge scored crossings])</f>
        <v>#VALUE!</v>
      </c>
      <c r="CN282" s="16" t="e">
        <f aca="false">SUMIF(MatchData[team],MatchData[[#this row],[team]],MatchData[sally port teleop crossings])+SUMIF(MatchData[team],MatchData[[#this row],[team]],MatchData[sally port scored crossings])</f>
        <v>#VALUE!</v>
      </c>
      <c r="CO282" s="16" t="e">
        <f aca="false">SUMIF(MatchData[team],MatchData[[#this row],[team]],MatchData[rock wall teleop crossings])+SUMIF(MatchData[team],MatchData[[#this row],[team]],MatchData[rock wall scored crossings])</f>
        <v>#VALUE!</v>
      </c>
      <c r="CP282" s="16" t="e">
        <f aca="false">SUMIF(MatchData[team],MatchData[[#this row],[team]],MatchData[rough terrain teleop crossings])+SUMIF(MatchData[team],MatchData[[#this row],[team]],MatchData[rough terrain scored crossings])</f>
        <v>#VALUE!</v>
      </c>
      <c r="CQ282" s="16" t="e">
        <f aca="false">SUMIF(MatchData[team],MatchData[[#this row],[team]],MatchData[low bar teleop crossings])+SUMIF(MatchData[team],MatchData[[#this row],[team]],MatchData[low bar scored crossings])</f>
        <v>#VALUE!</v>
      </c>
      <c r="CR282" s="16" t="e">
        <f aca="false">IFERROR(ROUND(MatchData[[#this row],[portcullis sum]]/MatchData[[#this row],[portcullis avail count]],2),0)</f>
        <v>#VALUE!</v>
      </c>
      <c r="CS282" s="16" t="e">
        <f aca="false">IFERROR(ROUND(MatchData[[#this row],[cheval sum]]/MatchData[[#this row],[cheval avail count]],2),0)</f>
        <v>#VALUE!</v>
      </c>
      <c r="CT282" s="16" t="e">
        <f aca="false">IFERROR(ROUND(MatchData[[#this row],[moat sum]]/MatchData[[#this row],[moat avail count]],2),0)</f>
        <v>#VALUE!</v>
      </c>
      <c r="CU282" s="16" t="e">
        <f aca="false">IFERROR(ROUND(MatchData[[#this row],[ramparts sum]]/MatchData[[#this row],[ramparts avail count]],2),0)</f>
        <v>#VALUE!</v>
      </c>
      <c r="CV282" s="16" t="e">
        <f aca="false">IFERROR(ROUND(MatchData[[#this row],[drawbridge sum]]/MatchData[[#this row],[drawbridge avail countigh6]],2),0)</f>
        <v>#VALUE!</v>
      </c>
      <c r="CW282" s="16" t="e">
        <f aca="false">IFERROR(ROUND(MatchData[[#this row],[sally port sum]]/MatchData[[#this row],[sally port avail count]],2),0)</f>
        <v>#VALUE!</v>
      </c>
      <c r="CX282" s="5" t="e">
        <f aca="false">IFERROR(ROUND(MatchData[[#this row],[rock wall sum]]/MatchData[[#this row],[rock wall avail count]],2),0)</f>
        <v>#VALUE!</v>
      </c>
      <c r="CY282" s="5" t="e">
        <f aca="false">IFERROR(ROUND(MatchData[[#this row],[rough terrain sum]]/MatchData[[#this row],[rough terrain avail count]],2),0)</f>
        <v>#VALUE!</v>
      </c>
      <c r="CZ282" s="5" t="e">
        <f aca="false">IFERROR(ROUND(MatchData[[#this row],[low bar sum]]/MatchData[[#this row],[low bar avail count]],2),0)</f>
        <v>#VALUE!</v>
      </c>
      <c r="DA282" s="16" t="e">
        <f aca="false">SUM(MatchData[[#this row],[cheval sum]:[low bar sum]])/MatchData[match count]</f>
        <v>#VALUE!</v>
      </c>
      <c r="DB282" s="16" t="n">
        <f aca="false">MAX(IF(C$2:C$74=C282,BP$2:BP$74))</f>
        <v>-1.79769313486232E+308</v>
      </c>
      <c r="DC282" s="16" t="e">
        <f aca="false">AVERAGEIF(MatchData[team],MatchData[[#this row],[team]],MatchData[total score])</f>
        <v>#VALUE!</v>
      </c>
      <c r="DD282" s="16" t="e">
        <f aca="false">ROUND(AVERAGEIF(MatchData[team],MatchData[team],MatchData[climb or challenge flag]),2)</f>
        <v>#VALUE!</v>
      </c>
    </row>
    <row r="283" customFormat="false" ht="14.5" hidden="false" customHeight="false" outlineLevel="0" collapsed="false">
      <c r="A283" s="20" t="s">
        <v>108</v>
      </c>
      <c r="B283" s="14" t="n">
        <v>47</v>
      </c>
      <c r="C283" s="15" t="n">
        <v>5975</v>
      </c>
      <c r="D283" s="5" t="s">
        <v>113</v>
      </c>
      <c r="E283" s="5" t="s">
        <v>127</v>
      </c>
      <c r="G283" s="16"/>
      <c r="I283" s="16"/>
      <c r="J283" s="5" t="n">
        <v>1</v>
      </c>
      <c r="K283" s="16"/>
      <c r="L283" s="5" t="n">
        <v>1</v>
      </c>
      <c r="M283" s="5" t="n">
        <v>1</v>
      </c>
      <c r="O283" s="5" t="n">
        <v>1</v>
      </c>
      <c r="P283" s="0"/>
      <c r="Q283" s="0"/>
      <c r="R283" s="5" t="n">
        <v>1</v>
      </c>
      <c r="S283" s="16"/>
      <c r="U283" s="16"/>
      <c r="V283" s="16"/>
      <c r="AD283" s="16"/>
      <c r="AE283" s="5"/>
      <c r="AF283" s="16"/>
      <c r="AG283" s="16"/>
      <c r="AH283" s="16"/>
      <c r="AJ283" s="16"/>
      <c r="AL283" s="16"/>
      <c r="AN283" s="16"/>
      <c r="AP283" s="16"/>
      <c r="AR283" s="16"/>
      <c r="AS283" s="5" t="n">
        <v>1</v>
      </c>
      <c r="AT283" s="16"/>
      <c r="AU283" s="16"/>
      <c r="AV283" s="16"/>
      <c r="AW283" s="16"/>
      <c r="AX283" s="16"/>
      <c r="AY283" s="16" t="n">
        <v>1</v>
      </c>
      <c r="AZ283" s="16"/>
      <c r="BB283" s="16"/>
      <c r="BC283" s="16" t="e">
        <f aca="false">MatchData[cheval scored crossings]*5</f>
        <v>#VALUE!</v>
      </c>
      <c r="BD283" s="16" t="e">
        <f aca="false">MatchData[moat scored crosings]*5</f>
        <v>#VALUE!</v>
      </c>
      <c r="BE283" s="16" t="e">
        <f aca="false">MatchData[ramparts scored crossings]*5</f>
        <v>#VALUE!</v>
      </c>
      <c r="BF283" s="16" t="e">
        <f aca="false">MatchData[drawbridge scored crossings]*5</f>
        <v>#VALUE!</v>
      </c>
      <c r="BG283" s="16" t="e">
        <f aca="false">MatchData[sally port scored crossings]*5</f>
        <v>#VALUE!</v>
      </c>
      <c r="BH283" s="16" t="e">
        <f aca="false">MatchData[rock wall scored crossings]*5</f>
        <v>#VALUE!</v>
      </c>
      <c r="BI283" s="16" t="e">
        <f aca="false">MatchData[rough terrain scored crossings]*5</f>
        <v>#VALUE!</v>
      </c>
      <c r="BJ283" s="16" t="e">
        <f aca="false">MatchData[low bar scored crossings]*5</f>
        <v>#VALUE!</v>
      </c>
      <c r="BK283" s="16" t="e">
        <f aca="false">SUM(MatchData[[#this row],[low bar teleop crossings]:[rough terrain scored crossings]])</f>
        <v>#VALUE!</v>
      </c>
      <c r="BL283" s="16" t="e">
        <f aca="false">IFERROR(IF(OR(MatchData[[#this row],[challenge flag]],MatchData[[#this row],[climb flag]]),1,0),0)</f>
        <v>#VALUE!</v>
      </c>
      <c r="BM283" s="16" t="e">
        <f aca="false">MatchData[auto high goals]*10+MatchData[teleop high goals]*5</f>
        <v>#VALUE!</v>
      </c>
      <c r="BN283" s="16" t="e">
        <f aca="false">MatchData[auto low goals]*5+MatchData[teleop low goals]*2</f>
        <v>#VALUE!</v>
      </c>
      <c r="BO283" s="16" t="e">
        <f aca="false">MatchData[high goal score]+MatchData[low goal score]</f>
        <v>#VALUE!</v>
      </c>
      <c r="BP283" s="16" t="e">
        <f aca="false">MatchData[teleop high goals]+MatchData[teleop low goals]</f>
        <v>#VALUE!</v>
      </c>
      <c r="BQ283" s="16" t="e">
        <f aca="false">MatchData[[#this row],[auto reach flag]]*2+SUM(MatchData[[#this row],[portcullis auto crossings]:[low bar auto crossings]])*10+MatchData[[#this row],[auto low goals]]*5+MatchData[auto high goals]*10</f>
        <v>#VALUE!</v>
      </c>
      <c r="BR283" s="16" t="e">
        <f aca="false">SUM(MatchData[[#this row],[cheval teleop crossing score]:[low bar teleop crossing score]])</f>
        <v>#VALUE!</v>
      </c>
      <c r="BS283" s="16" t="e">
        <f aca="false">SUMIF(MatchData[team],MatchData[[#this row],[team]],MatchData[total auto score])/MatchData[match count]</f>
        <v>#VALUE!</v>
      </c>
      <c r="BT283" s="16" t="e">
        <f aca="false">MatchData[challenge flag]*5</f>
        <v>#VALUE!</v>
      </c>
      <c r="BU283" s="16" t="e">
        <f aca="false">MatchData[climb flag]*15</f>
        <v>#VALUE!</v>
      </c>
      <c r="BV283" s="16" t="e">
        <f aca="false">SUM(MatchData[[#this row],[total goal score]],MatchData[[#this row],[crossing score]],MatchData[[#this row],[challenge score]],MatchData[[#this row],[climb score]],MatchData[[#this row],[total auto score]])</f>
        <v>#VALUE!</v>
      </c>
      <c r="BW283" s="16" t="e">
        <f aca="false">ROUND(SUMIF(MatchData[team],MatchData[[#this row],[team]],MatchData[teleop low goals])/COUNTIF(MatchData[team],MatchData[[#this row],[team]]),2)</f>
        <v>#VALUE!</v>
      </c>
      <c r="BX283" s="16" t="e">
        <f aca="false">ROUND(SUMIF(MatchData[team],MatchData[[#this row],[team]],MatchData[teleop high goals])/COUNTIF(MatchData[team],MatchData[[#this row],[team]]),2)</f>
        <v>#VALUE!</v>
      </c>
      <c r="BY283" s="16" t="e">
        <f aca="false">COUNTIF(MatchData[team],MatchData[[#this row],[team]])</f>
        <v>#VALUE!</v>
      </c>
      <c r="BZ283" s="16" t="e">
        <f aca="false">SUMIF(MatchData[team],MatchData[[#this row],[team]],MatchData[portcullis available])</f>
        <v>#VALUE!</v>
      </c>
      <c r="CA283" s="16" t="e">
        <f aca="false">SUMIF(MatchData[team],MatchData[[#this row],[team]],MatchData[cheval available])</f>
        <v>#VALUE!</v>
      </c>
      <c r="CB283" s="16" t="e">
        <f aca="false">SUMIF(MatchData[team],MatchData[[#this row],[team]],MatchData[moat available])</f>
        <v>#VALUE!</v>
      </c>
      <c r="CC283" s="16" t="e">
        <f aca="false">SUMIF(MatchData[team],MatchData[[#this row],[team]],MatchData[ramparts available])</f>
        <v>#VALUE!</v>
      </c>
      <c r="CD283" s="16" t="e">
        <f aca="false">SUMIF(MatchData[team],MatchData[[#this row],[team]],MatchData[drawbridge available])</f>
        <v>#VALUE!</v>
      </c>
      <c r="CE283" s="16" t="e">
        <f aca="false">SUMIF(MatchData[team],MatchData[[#this row],[team]],MatchData[sally port available])</f>
        <v>#VALUE!</v>
      </c>
      <c r="CF283" s="16" t="e">
        <f aca="false">SUMIF(MatchData[team],MatchData[[#this row],[team]],MatchData[rock wall available])</f>
        <v>#VALUE!</v>
      </c>
      <c r="CG283" s="16" t="e">
        <f aca="false">SUMIF(MatchData[team],MatchData[[#this row],[team]],MatchData[rough terrain available])</f>
        <v>#VALUE!</v>
      </c>
      <c r="CH283" s="16" t="e">
        <f aca="false">SUMIF(MatchData[team],MatchData[[#this row],[team]],MatchData[low bar available])</f>
        <v>#VALUE!</v>
      </c>
      <c r="CI283" s="16" t="e">
        <f aca="false">SUMIF(MatchData[team],MatchData[[#this row],[team]],MatchData[portcullis teleop crossings]:MatchData[portcullis scored crossings])</f>
        <v>#VALUE!</v>
      </c>
      <c r="CJ283" s="16" t="e">
        <f aca="false">SUMIF(MatchData[team],MatchData[[#this row],[team]],MatchData[cheval teleop crossings])+SUMIF(MatchData[team],MatchData[[#this row],[team]],MatchData[cheval scored crossings])</f>
        <v>#VALUE!</v>
      </c>
      <c r="CK283" s="16" t="e">
        <f aca="false">SUMIF(MatchData[team],MatchData[[#this row],[team]],MatchData[moat teleop crossings])+SUMIF(MatchData[team],MatchData[[#this row],[team]],MatchData[moat scored crosings])</f>
        <v>#VALUE!</v>
      </c>
      <c r="CL283" s="16" t="e">
        <f aca="false">SUMIF(MatchData[team],MatchData[[#this row],[team]],MatchData[ramparts teleop crossings])+SUMIF(MatchData[team],MatchData[[#this row],[team]],MatchData[ramparts scored crossings])</f>
        <v>#VALUE!</v>
      </c>
      <c r="CM283" s="16" t="e">
        <f aca="false">SUMIF(MatchData[team],MatchData[[#this row],[team]],MatchData[drawbridge teleop crossings])+SUMIF(MatchData[team],MatchData[[#this row],[team]],MatchData[drawbridge scored crossings])</f>
        <v>#VALUE!</v>
      </c>
      <c r="CN283" s="16" t="e">
        <f aca="false">SUMIF(MatchData[team],MatchData[[#this row],[team]],MatchData[sally port teleop crossings])+SUMIF(MatchData[team],MatchData[[#this row],[team]],MatchData[sally port scored crossings])</f>
        <v>#VALUE!</v>
      </c>
      <c r="CO283" s="16" t="e">
        <f aca="false">SUMIF(MatchData[team],MatchData[[#this row],[team]],MatchData[rock wall teleop crossings])+SUMIF(MatchData[team],MatchData[[#this row],[team]],MatchData[rock wall scored crossings])</f>
        <v>#VALUE!</v>
      </c>
      <c r="CP283" s="16" t="e">
        <f aca="false">SUMIF(MatchData[team],MatchData[[#this row],[team]],MatchData[rough terrain teleop crossings])+SUMIF(MatchData[team],MatchData[[#this row],[team]],MatchData[rough terrain scored crossings])</f>
        <v>#VALUE!</v>
      </c>
      <c r="CQ283" s="16" t="e">
        <f aca="false">SUMIF(MatchData[team],MatchData[[#this row],[team]],MatchData[low bar teleop crossings])+SUMIF(MatchData[team],MatchData[[#this row],[team]],MatchData[low bar scored crossings])</f>
        <v>#VALUE!</v>
      </c>
      <c r="CR283" s="16" t="e">
        <f aca="false">IFERROR(ROUND(MatchData[[#this row],[portcullis sum]]/MatchData[[#this row],[portcullis avail count]],2),0)</f>
        <v>#VALUE!</v>
      </c>
      <c r="CS283" s="16" t="e">
        <f aca="false">IFERROR(ROUND(MatchData[[#this row],[cheval sum]]/MatchData[[#this row],[cheval avail count]],2),0)</f>
        <v>#VALUE!</v>
      </c>
      <c r="CT283" s="16" t="e">
        <f aca="false">IFERROR(ROUND(MatchData[[#this row],[moat sum]]/MatchData[[#this row],[moat avail count]],2),0)</f>
        <v>#VALUE!</v>
      </c>
      <c r="CU283" s="16" t="e">
        <f aca="false">IFERROR(ROUND(MatchData[[#this row],[ramparts sum]]/MatchData[[#this row],[ramparts avail count]],2),0)</f>
        <v>#VALUE!</v>
      </c>
      <c r="CV283" s="16" t="e">
        <f aca="false">IFERROR(ROUND(MatchData[[#this row],[drawbridge sum]]/MatchData[[#this row],[drawbridge avail countigh6]],2),0)</f>
        <v>#VALUE!</v>
      </c>
      <c r="CW283" s="16" t="e">
        <f aca="false">IFERROR(ROUND(MatchData[[#this row],[sally port sum]]/MatchData[[#this row],[sally port avail count]],2),0)</f>
        <v>#VALUE!</v>
      </c>
      <c r="CX283" s="5" t="e">
        <f aca="false">IFERROR(ROUND(MatchData[[#this row],[rock wall sum]]/MatchData[[#this row],[rock wall avail count]],2),0)</f>
        <v>#VALUE!</v>
      </c>
      <c r="CY283" s="5" t="e">
        <f aca="false">IFERROR(ROUND(MatchData[[#this row],[rough terrain sum]]/MatchData[[#this row],[rough terrain avail count]],2),0)</f>
        <v>#VALUE!</v>
      </c>
      <c r="CZ283" s="5" t="e">
        <f aca="false">IFERROR(ROUND(MatchData[[#this row],[low bar sum]]/MatchData[[#this row],[low bar avail count]],2),0)</f>
        <v>#VALUE!</v>
      </c>
      <c r="DA283" s="16" t="e">
        <f aca="false">SUM(MatchData[[#this row],[cheval sum]:[low bar sum]])/MatchData[match count]</f>
        <v>#VALUE!</v>
      </c>
      <c r="DB283" s="16" t="n">
        <f aca="false">MAX(IF(C$2:C$74=C283,BP$2:BP$74))</f>
        <v>-1.79769313486232E+308</v>
      </c>
      <c r="DC283" s="16" t="e">
        <f aca="false">AVERAGEIF(MatchData[team],MatchData[[#this row],[team]],MatchData[total score])</f>
        <v>#VALUE!</v>
      </c>
      <c r="DD283" s="16" t="e">
        <f aca="false">ROUND(AVERAGEIF(MatchData[team],MatchData[team],MatchData[climb or challenge flag]),2)</f>
        <v>#VALUE!</v>
      </c>
    </row>
    <row r="284" customFormat="false" ht="14.5" hidden="false" customHeight="false" outlineLevel="0" collapsed="false">
      <c r="A284" s="20" t="s">
        <v>108</v>
      </c>
      <c r="B284" s="14" t="n">
        <v>48</v>
      </c>
      <c r="C284" s="15" t="n">
        <v>2002</v>
      </c>
      <c r="D284" s="5" t="s">
        <v>109</v>
      </c>
      <c r="G284" s="16"/>
      <c r="I284" s="16"/>
      <c r="J284" s="5" t="n">
        <v>1</v>
      </c>
      <c r="K284" s="16" t="n">
        <v>1</v>
      </c>
      <c r="M284" s="5" t="n">
        <v>1</v>
      </c>
      <c r="P284" s="5" t="n">
        <v>1</v>
      </c>
      <c r="Q284" s="0"/>
      <c r="R284" s="5" t="n">
        <v>1</v>
      </c>
      <c r="S284" s="16"/>
      <c r="U284" s="16"/>
      <c r="V284" s="16"/>
      <c r="AA284" s="5" t="n">
        <v>1</v>
      </c>
      <c r="AD284" s="16"/>
      <c r="AE284" s="5"/>
      <c r="AF284" s="16"/>
      <c r="AG284" s="16"/>
      <c r="AH284" s="16"/>
      <c r="AJ284" s="16"/>
      <c r="AL284" s="16"/>
      <c r="AN284" s="16"/>
      <c r="AP284" s="16"/>
      <c r="AR284" s="16"/>
      <c r="AT284" s="16" t="n">
        <v>1</v>
      </c>
      <c r="AU284" s="16"/>
      <c r="AV284" s="16"/>
      <c r="AW284" s="16" t="n">
        <v>1</v>
      </c>
      <c r="AX284" s="16"/>
      <c r="AY284" s="16"/>
      <c r="AZ284" s="16"/>
      <c r="BB284" s="16" t="n">
        <v>1</v>
      </c>
      <c r="BC284" s="16" t="e">
        <f aca="false">MatchData[cheval scored crossings]*5</f>
        <v>#VALUE!</v>
      </c>
      <c r="BD284" s="16" t="e">
        <f aca="false">MatchData[moat scored crosings]*5</f>
        <v>#VALUE!</v>
      </c>
      <c r="BE284" s="16" t="e">
        <f aca="false">MatchData[ramparts scored crossings]*5</f>
        <v>#VALUE!</v>
      </c>
      <c r="BF284" s="16" t="e">
        <f aca="false">MatchData[drawbridge scored crossings]*5</f>
        <v>#VALUE!</v>
      </c>
      <c r="BG284" s="16" t="e">
        <f aca="false">MatchData[sally port scored crossings]*5</f>
        <v>#VALUE!</v>
      </c>
      <c r="BH284" s="16" t="e">
        <f aca="false">MatchData[rock wall scored crossings]*5</f>
        <v>#VALUE!</v>
      </c>
      <c r="BI284" s="16" t="e">
        <f aca="false">MatchData[rough terrain scored crossings]*5</f>
        <v>#VALUE!</v>
      </c>
      <c r="BJ284" s="16" t="e">
        <f aca="false">MatchData[low bar scored crossings]*5</f>
        <v>#VALUE!</v>
      </c>
      <c r="BK284" s="16" t="e">
        <f aca="false">SUM(MatchData[[#this row],[low bar teleop crossings]:[rough terrain scored crossings]])</f>
        <v>#VALUE!</v>
      </c>
      <c r="BL284" s="16" t="e">
        <f aca="false">IFERROR(IF(OR(MatchData[[#this row],[challenge flag]],MatchData[[#this row],[climb flag]]),1,0),0)</f>
        <v>#VALUE!</v>
      </c>
      <c r="BM284" s="16" t="e">
        <f aca="false">MatchData[auto high goals]*10+MatchData[teleop high goals]*5</f>
        <v>#VALUE!</v>
      </c>
      <c r="BN284" s="16" t="e">
        <f aca="false">MatchData[auto low goals]*5+MatchData[teleop low goals]*2</f>
        <v>#VALUE!</v>
      </c>
      <c r="BO284" s="16" t="e">
        <f aca="false">MatchData[high goal score]+MatchData[low goal score]</f>
        <v>#VALUE!</v>
      </c>
      <c r="BP284" s="16" t="e">
        <f aca="false">MatchData[teleop high goals]+MatchData[teleop low goals]</f>
        <v>#VALUE!</v>
      </c>
      <c r="BQ284" s="16" t="e">
        <f aca="false">MatchData[[#this row],[auto reach flag]]*2+SUM(MatchData[[#this row],[portcullis auto crossings]:[low bar auto crossings]])*10+MatchData[[#this row],[auto low goals]]*5+MatchData[auto high goals]*10</f>
        <v>#VALUE!</v>
      </c>
      <c r="BR284" s="16" t="e">
        <f aca="false">SUM(MatchData[[#this row],[cheval teleop crossing score]:[low bar teleop crossing score]])</f>
        <v>#VALUE!</v>
      </c>
      <c r="BS284" s="16" t="e">
        <f aca="false">SUMIF(MatchData[team],MatchData[[#this row],[team]],MatchData[total auto score])/MatchData[match count]</f>
        <v>#VALUE!</v>
      </c>
      <c r="BT284" s="16" t="e">
        <f aca="false">MatchData[challenge flag]*5</f>
        <v>#VALUE!</v>
      </c>
      <c r="BU284" s="16" t="e">
        <f aca="false">MatchData[climb flag]*15</f>
        <v>#VALUE!</v>
      </c>
      <c r="BV284" s="16" t="e">
        <f aca="false">SUM(MatchData[[#this row],[total goal score]],MatchData[[#this row],[crossing score]],MatchData[[#this row],[challenge score]],MatchData[[#this row],[climb score]],MatchData[[#this row],[total auto score]])</f>
        <v>#VALUE!</v>
      </c>
      <c r="BW284" s="16" t="e">
        <f aca="false">ROUND(SUMIF(MatchData[team],MatchData[[#this row],[team]],MatchData[teleop low goals])/COUNTIF(MatchData[team],MatchData[[#this row],[team]]),2)</f>
        <v>#VALUE!</v>
      </c>
      <c r="BX284" s="16" t="e">
        <f aca="false">ROUND(SUMIF(MatchData[team],MatchData[[#this row],[team]],MatchData[teleop high goals])/COUNTIF(MatchData[team],MatchData[[#this row],[team]]),2)</f>
        <v>#VALUE!</v>
      </c>
      <c r="BY284" s="16" t="e">
        <f aca="false">COUNTIF(MatchData[team],MatchData[[#this row],[team]])</f>
        <v>#VALUE!</v>
      </c>
      <c r="BZ284" s="16" t="e">
        <f aca="false">SUMIF(MatchData[team],MatchData[[#this row],[team]],MatchData[portcullis available])</f>
        <v>#VALUE!</v>
      </c>
      <c r="CA284" s="16" t="e">
        <f aca="false">SUMIF(MatchData[team],MatchData[[#this row],[team]],MatchData[cheval available])</f>
        <v>#VALUE!</v>
      </c>
      <c r="CB284" s="16" t="e">
        <f aca="false">SUMIF(MatchData[team],MatchData[[#this row],[team]],MatchData[moat available])</f>
        <v>#VALUE!</v>
      </c>
      <c r="CC284" s="16" t="e">
        <f aca="false">SUMIF(MatchData[team],MatchData[[#this row],[team]],MatchData[ramparts available])</f>
        <v>#VALUE!</v>
      </c>
      <c r="CD284" s="16" t="e">
        <f aca="false">SUMIF(MatchData[team],MatchData[[#this row],[team]],MatchData[drawbridge available])</f>
        <v>#VALUE!</v>
      </c>
      <c r="CE284" s="16" t="e">
        <f aca="false">SUMIF(MatchData[team],MatchData[[#this row],[team]],MatchData[sally port available])</f>
        <v>#VALUE!</v>
      </c>
      <c r="CF284" s="16" t="e">
        <f aca="false">SUMIF(MatchData[team],MatchData[[#this row],[team]],MatchData[rock wall available])</f>
        <v>#VALUE!</v>
      </c>
      <c r="CG284" s="16" t="e">
        <f aca="false">SUMIF(MatchData[team],MatchData[[#this row],[team]],MatchData[rough terrain available])</f>
        <v>#VALUE!</v>
      </c>
      <c r="CH284" s="16" t="e">
        <f aca="false">SUMIF(MatchData[team],MatchData[[#this row],[team]],MatchData[low bar available])</f>
        <v>#VALUE!</v>
      </c>
      <c r="CI284" s="16" t="e">
        <f aca="false">SUMIF(MatchData[team],MatchData[[#this row],[team]],MatchData[portcullis teleop crossings]:MatchData[portcullis scored crossings])</f>
        <v>#VALUE!</v>
      </c>
      <c r="CJ284" s="16" t="e">
        <f aca="false">SUMIF(MatchData[team],MatchData[[#this row],[team]],MatchData[cheval teleop crossings])+SUMIF(MatchData[team],MatchData[[#this row],[team]],MatchData[cheval scored crossings])</f>
        <v>#VALUE!</v>
      </c>
      <c r="CK284" s="16" t="e">
        <f aca="false">SUMIF(MatchData[team],MatchData[[#this row],[team]],MatchData[moat teleop crossings])+SUMIF(MatchData[team],MatchData[[#this row],[team]],MatchData[moat scored crosings])</f>
        <v>#VALUE!</v>
      </c>
      <c r="CL284" s="16" t="e">
        <f aca="false">SUMIF(MatchData[team],MatchData[[#this row],[team]],MatchData[ramparts teleop crossings])+SUMIF(MatchData[team],MatchData[[#this row],[team]],MatchData[ramparts scored crossings])</f>
        <v>#VALUE!</v>
      </c>
      <c r="CM284" s="16" t="e">
        <f aca="false">SUMIF(MatchData[team],MatchData[[#this row],[team]],MatchData[drawbridge teleop crossings])+SUMIF(MatchData[team],MatchData[[#this row],[team]],MatchData[drawbridge scored crossings])</f>
        <v>#VALUE!</v>
      </c>
      <c r="CN284" s="16" t="e">
        <f aca="false">SUMIF(MatchData[team],MatchData[[#this row],[team]],MatchData[sally port teleop crossings])+SUMIF(MatchData[team],MatchData[[#this row],[team]],MatchData[sally port scored crossings])</f>
        <v>#VALUE!</v>
      </c>
      <c r="CO284" s="16" t="e">
        <f aca="false">SUMIF(MatchData[team],MatchData[[#this row],[team]],MatchData[rock wall teleop crossings])+SUMIF(MatchData[team],MatchData[[#this row],[team]],MatchData[rock wall scored crossings])</f>
        <v>#VALUE!</v>
      </c>
      <c r="CP284" s="16" t="e">
        <f aca="false">SUMIF(MatchData[team],MatchData[[#this row],[team]],MatchData[rough terrain teleop crossings])+SUMIF(MatchData[team],MatchData[[#this row],[team]],MatchData[rough terrain scored crossings])</f>
        <v>#VALUE!</v>
      </c>
      <c r="CQ284" s="16" t="e">
        <f aca="false">SUMIF(MatchData[team],MatchData[[#this row],[team]],MatchData[low bar teleop crossings])+SUMIF(MatchData[team],MatchData[[#this row],[team]],MatchData[low bar scored crossings])</f>
        <v>#VALUE!</v>
      </c>
      <c r="CR284" s="16" t="e">
        <f aca="false">IFERROR(ROUND(MatchData[[#this row],[portcullis sum]]/MatchData[[#this row],[portcullis avail count]],2),0)</f>
        <v>#VALUE!</v>
      </c>
      <c r="CS284" s="16" t="e">
        <f aca="false">IFERROR(ROUND(MatchData[[#this row],[cheval sum]]/MatchData[[#this row],[cheval avail count]],2),0)</f>
        <v>#VALUE!</v>
      </c>
      <c r="CT284" s="16" t="e">
        <f aca="false">IFERROR(ROUND(MatchData[[#this row],[moat sum]]/MatchData[[#this row],[moat avail count]],2),0)</f>
        <v>#VALUE!</v>
      </c>
      <c r="CU284" s="16" t="e">
        <f aca="false">IFERROR(ROUND(MatchData[[#this row],[ramparts sum]]/MatchData[[#this row],[ramparts avail count]],2),0)</f>
        <v>#VALUE!</v>
      </c>
      <c r="CV284" s="16" t="e">
        <f aca="false">IFERROR(ROUND(MatchData[[#this row],[drawbridge sum]]/MatchData[[#this row],[drawbridge avail countigh6]],2),0)</f>
        <v>#VALUE!</v>
      </c>
      <c r="CW284" s="16" t="e">
        <f aca="false">IFERROR(ROUND(MatchData[[#this row],[sally port sum]]/MatchData[[#this row],[sally port avail count]],2),0)</f>
        <v>#VALUE!</v>
      </c>
      <c r="CX284" s="5" t="e">
        <f aca="false">IFERROR(ROUND(MatchData[[#this row],[rock wall sum]]/MatchData[[#this row],[rock wall avail count]],2),0)</f>
        <v>#VALUE!</v>
      </c>
      <c r="CY284" s="5" t="e">
        <f aca="false">IFERROR(ROUND(MatchData[[#this row],[rough terrain sum]]/MatchData[[#this row],[rough terrain avail count]],2),0)</f>
        <v>#VALUE!</v>
      </c>
      <c r="CZ284" s="5" t="e">
        <f aca="false">IFERROR(ROUND(MatchData[[#this row],[low bar sum]]/MatchData[[#this row],[low bar avail count]],2),0)</f>
        <v>#VALUE!</v>
      </c>
      <c r="DA284" s="16" t="e">
        <f aca="false">SUM(MatchData[[#this row],[cheval sum]:[low bar sum]])/MatchData[match count]</f>
        <v>#VALUE!</v>
      </c>
      <c r="DB284" s="16" t="n">
        <f aca="false">MAX(IF(C$2:C$74=C284,BP$2:BP$74))</f>
        <v>-1.79769313486232E+308</v>
      </c>
      <c r="DC284" s="16" t="e">
        <f aca="false">AVERAGEIF(MatchData[team],MatchData[[#this row],[team]],MatchData[total score])</f>
        <v>#VALUE!</v>
      </c>
      <c r="DD284" s="16" t="e">
        <f aca="false">ROUND(AVERAGEIF(MatchData[team],MatchData[team],MatchData[climb or challenge flag]),2)</f>
        <v>#VALUE!</v>
      </c>
    </row>
    <row r="285" customFormat="false" ht="14.5" hidden="false" customHeight="false" outlineLevel="0" collapsed="false">
      <c r="A285" s="20" t="s">
        <v>108</v>
      </c>
      <c r="B285" s="14" t="n">
        <v>48</v>
      </c>
      <c r="C285" s="15" t="n">
        <v>2521</v>
      </c>
      <c r="D285" s="5" t="s">
        <v>109</v>
      </c>
      <c r="E285" s="5" t="s">
        <v>135</v>
      </c>
      <c r="G285" s="16"/>
      <c r="I285" s="16"/>
      <c r="J285" s="5" t="n">
        <v>1</v>
      </c>
      <c r="K285" s="16" t="n">
        <v>1</v>
      </c>
      <c r="M285" s="5" t="n">
        <v>1</v>
      </c>
      <c r="P285" s="5" t="n">
        <v>1</v>
      </c>
      <c r="Q285" s="0"/>
      <c r="R285" s="5" t="n">
        <v>1</v>
      </c>
      <c r="S285" s="16"/>
      <c r="U285" s="16"/>
      <c r="V285" s="16"/>
      <c r="AD285" s="16"/>
      <c r="AE285" s="5"/>
      <c r="AF285" s="16"/>
      <c r="AG285" s="16"/>
      <c r="AH285" s="16"/>
      <c r="AJ285" s="16"/>
      <c r="AL285" s="16"/>
      <c r="AN285" s="16"/>
      <c r="AP285" s="16"/>
      <c r="AR285" s="16"/>
      <c r="AT285" s="16"/>
      <c r="AU285" s="16"/>
      <c r="AV285" s="16"/>
      <c r="AW285" s="16"/>
      <c r="AX285" s="16"/>
      <c r="AY285" s="16"/>
      <c r="AZ285" s="16" t="n">
        <v>1</v>
      </c>
      <c r="BB285" s="16" t="n">
        <v>1</v>
      </c>
      <c r="BC285" s="16" t="e">
        <f aca="false">MatchData[cheval scored crossings]*5</f>
        <v>#VALUE!</v>
      </c>
      <c r="BD285" s="16" t="e">
        <f aca="false">MatchData[moat scored crosings]*5</f>
        <v>#VALUE!</v>
      </c>
      <c r="BE285" s="16" t="e">
        <f aca="false">MatchData[ramparts scored crossings]*5</f>
        <v>#VALUE!</v>
      </c>
      <c r="BF285" s="16" t="e">
        <f aca="false">MatchData[drawbridge scored crossings]*5</f>
        <v>#VALUE!</v>
      </c>
      <c r="BG285" s="16" t="e">
        <f aca="false">MatchData[sally port scored crossings]*5</f>
        <v>#VALUE!</v>
      </c>
      <c r="BH285" s="16" t="e">
        <f aca="false">MatchData[rock wall scored crossings]*5</f>
        <v>#VALUE!</v>
      </c>
      <c r="BI285" s="16" t="e">
        <f aca="false">MatchData[rough terrain scored crossings]*5</f>
        <v>#VALUE!</v>
      </c>
      <c r="BJ285" s="16" t="e">
        <f aca="false">MatchData[low bar scored crossings]*5</f>
        <v>#VALUE!</v>
      </c>
      <c r="BK285" s="16" t="e">
        <f aca="false">SUM(MatchData[[#this row],[low bar teleop crossings]:[rough terrain scored crossings]])</f>
        <v>#VALUE!</v>
      </c>
      <c r="BL285" s="16" t="e">
        <f aca="false">IFERROR(IF(OR(MatchData[[#this row],[challenge flag]],MatchData[[#this row],[climb flag]]),1,0),0)</f>
        <v>#VALUE!</v>
      </c>
      <c r="BM285" s="16" t="e">
        <f aca="false">MatchData[auto high goals]*10+MatchData[teleop high goals]*5</f>
        <v>#VALUE!</v>
      </c>
      <c r="BN285" s="16" t="e">
        <f aca="false">MatchData[auto low goals]*5+MatchData[teleop low goals]*2</f>
        <v>#VALUE!</v>
      </c>
      <c r="BO285" s="16" t="e">
        <f aca="false">MatchData[high goal score]+MatchData[low goal score]</f>
        <v>#VALUE!</v>
      </c>
      <c r="BP285" s="16" t="e">
        <f aca="false">MatchData[teleop high goals]+MatchData[teleop low goals]</f>
        <v>#VALUE!</v>
      </c>
      <c r="BQ285" s="16" t="e">
        <f aca="false">MatchData[[#this row],[auto reach flag]]*2+SUM(MatchData[[#this row],[portcullis auto crossings]:[low bar auto crossings]])*10+MatchData[[#this row],[auto low goals]]*5+MatchData[auto high goals]*10</f>
        <v>#VALUE!</v>
      </c>
      <c r="BR285" s="16" t="e">
        <f aca="false">SUM(MatchData[[#this row],[cheval teleop crossing score]:[low bar teleop crossing score]])</f>
        <v>#VALUE!</v>
      </c>
      <c r="BS285" s="16" t="e">
        <f aca="false">SUMIF(MatchData[team],MatchData[[#this row],[team]],MatchData[total auto score])/MatchData[match count]</f>
        <v>#VALUE!</v>
      </c>
      <c r="BT285" s="16" t="e">
        <f aca="false">MatchData[challenge flag]*5</f>
        <v>#VALUE!</v>
      </c>
      <c r="BU285" s="16" t="e">
        <f aca="false">MatchData[climb flag]*15</f>
        <v>#VALUE!</v>
      </c>
      <c r="BV285" s="16" t="e">
        <f aca="false">SUM(MatchData[[#this row],[total goal score]],MatchData[[#this row],[crossing score]],MatchData[[#this row],[challenge score]],MatchData[[#this row],[climb score]],MatchData[[#this row],[total auto score]])</f>
        <v>#VALUE!</v>
      </c>
      <c r="BW285" s="16" t="e">
        <f aca="false">ROUND(SUMIF(MatchData[team],MatchData[[#this row],[team]],MatchData[teleop low goals])/COUNTIF(MatchData[team],MatchData[[#this row],[team]]),2)</f>
        <v>#VALUE!</v>
      </c>
      <c r="BX285" s="16" t="e">
        <f aca="false">ROUND(SUMIF(MatchData[team],MatchData[[#this row],[team]],MatchData[teleop high goals])/COUNTIF(MatchData[team],MatchData[[#this row],[team]]),2)</f>
        <v>#VALUE!</v>
      </c>
      <c r="BY285" s="16" t="e">
        <f aca="false">COUNTIF(MatchData[team],MatchData[[#this row],[team]])</f>
        <v>#VALUE!</v>
      </c>
      <c r="BZ285" s="16" t="e">
        <f aca="false">SUMIF(MatchData[team],MatchData[[#this row],[team]],MatchData[portcullis available])</f>
        <v>#VALUE!</v>
      </c>
      <c r="CA285" s="16" t="e">
        <f aca="false">SUMIF(MatchData[team],MatchData[[#this row],[team]],MatchData[cheval available])</f>
        <v>#VALUE!</v>
      </c>
      <c r="CB285" s="16" t="e">
        <f aca="false">SUMIF(MatchData[team],MatchData[[#this row],[team]],MatchData[moat available])</f>
        <v>#VALUE!</v>
      </c>
      <c r="CC285" s="16" t="e">
        <f aca="false">SUMIF(MatchData[team],MatchData[[#this row],[team]],MatchData[ramparts available])</f>
        <v>#VALUE!</v>
      </c>
      <c r="CD285" s="16" t="e">
        <f aca="false">SUMIF(MatchData[team],MatchData[[#this row],[team]],MatchData[drawbridge available])</f>
        <v>#VALUE!</v>
      </c>
      <c r="CE285" s="16" t="e">
        <f aca="false">SUMIF(MatchData[team],MatchData[[#this row],[team]],MatchData[sally port available])</f>
        <v>#VALUE!</v>
      </c>
      <c r="CF285" s="16" t="e">
        <f aca="false">SUMIF(MatchData[team],MatchData[[#this row],[team]],MatchData[rock wall available])</f>
        <v>#VALUE!</v>
      </c>
      <c r="CG285" s="16" t="e">
        <f aca="false">SUMIF(MatchData[team],MatchData[[#this row],[team]],MatchData[rough terrain available])</f>
        <v>#VALUE!</v>
      </c>
      <c r="CH285" s="16" t="e">
        <f aca="false">SUMIF(MatchData[team],MatchData[[#this row],[team]],MatchData[low bar available])</f>
        <v>#VALUE!</v>
      </c>
      <c r="CI285" s="16" t="e">
        <f aca="false">SUMIF(MatchData[team],MatchData[[#this row],[team]],MatchData[portcullis teleop crossings]:MatchData[portcullis scored crossings])</f>
        <v>#VALUE!</v>
      </c>
      <c r="CJ285" s="16" t="e">
        <f aca="false">SUMIF(MatchData[team],MatchData[[#this row],[team]],MatchData[cheval teleop crossings])+SUMIF(MatchData[team],MatchData[[#this row],[team]],MatchData[cheval scored crossings])</f>
        <v>#VALUE!</v>
      </c>
      <c r="CK285" s="16" t="e">
        <f aca="false">SUMIF(MatchData[team],MatchData[[#this row],[team]],MatchData[moat teleop crossings])+SUMIF(MatchData[team],MatchData[[#this row],[team]],MatchData[moat scored crosings])</f>
        <v>#VALUE!</v>
      </c>
      <c r="CL285" s="16" t="e">
        <f aca="false">SUMIF(MatchData[team],MatchData[[#this row],[team]],MatchData[ramparts teleop crossings])+SUMIF(MatchData[team],MatchData[[#this row],[team]],MatchData[ramparts scored crossings])</f>
        <v>#VALUE!</v>
      </c>
      <c r="CM285" s="16" t="e">
        <f aca="false">SUMIF(MatchData[team],MatchData[[#this row],[team]],MatchData[drawbridge teleop crossings])+SUMIF(MatchData[team],MatchData[[#this row],[team]],MatchData[drawbridge scored crossings])</f>
        <v>#VALUE!</v>
      </c>
      <c r="CN285" s="16" t="e">
        <f aca="false">SUMIF(MatchData[team],MatchData[[#this row],[team]],MatchData[sally port teleop crossings])+SUMIF(MatchData[team],MatchData[[#this row],[team]],MatchData[sally port scored crossings])</f>
        <v>#VALUE!</v>
      </c>
      <c r="CO285" s="16" t="e">
        <f aca="false">SUMIF(MatchData[team],MatchData[[#this row],[team]],MatchData[rock wall teleop crossings])+SUMIF(MatchData[team],MatchData[[#this row],[team]],MatchData[rock wall scored crossings])</f>
        <v>#VALUE!</v>
      </c>
      <c r="CP285" s="16" t="e">
        <f aca="false">SUMIF(MatchData[team],MatchData[[#this row],[team]],MatchData[rough terrain teleop crossings])+SUMIF(MatchData[team],MatchData[[#this row],[team]],MatchData[rough terrain scored crossings])</f>
        <v>#VALUE!</v>
      </c>
      <c r="CQ285" s="16" t="e">
        <f aca="false">SUMIF(MatchData[team],MatchData[[#this row],[team]],MatchData[low bar teleop crossings])+SUMIF(MatchData[team],MatchData[[#this row],[team]],MatchData[low bar scored crossings])</f>
        <v>#VALUE!</v>
      </c>
      <c r="CR285" s="16" t="e">
        <f aca="false">IFERROR(ROUND(MatchData[[#this row],[portcullis sum]]/MatchData[[#this row],[portcullis avail count]],2),0)</f>
        <v>#VALUE!</v>
      </c>
      <c r="CS285" s="16" t="e">
        <f aca="false">IFERROR(ROUND(MatchData[[#this row],[cheval sum]]/MatchData[[#this row],[cheval avail count]],2),0)</f>
        <v>#VALUE!</v>
      </c>
      <c r="CT285" s="16" t="e">
        <f aca="false">IFERROR(ROUND(MatchData[[#this row],[moat sum]]/MatchData[[#this row],[moat avail count]],2),0)</f>
        <v>#VALUE!</v>
      </c>
      <c r="CU285" s="16" t="e">
        <f aca="false">IFERROR(ROUND(MatchData[[#this row],[ramparts sum]]/MatchData[[#this row],[ramparts avail count]],2),0)</f>
        <v>#VALUE!</v>
      </c>
      <c r="CV285" s="16" t="e">
        <f aca="false">IFERROR(ROUND(MatchData[[#this row],[drawbridge sum]]/MatchData[[#this row],[drawbridge avail countigh6]],2),0)</f>
        <v>#VALUE!</v>
      </c>
      <c r="CW285" s="16" t="e">
        <f aca="false">IFERROR(ROUND(MatchData[[#this row],[sally port sum]]/MatchData[[#this row],[sally port avail count]],2),0)</f>
        <v>#VALUE!</v>
      </c>
      <c r="CX285" s="5" t="e">
        <f aca="false">IFERROR(ROUND(MatchData[[#this row],[rock wall sum]]/MatchData[[#this row],[rock wall avail count]],2),0)</f>
        <v>#VALUE!</v>
      </c>
      <c r="CY285" s="5" t="e">
        <f aca="false">IFERROR(ROUND(MatchData[[#this row],[rough terrain sum]]/MatchData[[#this row],[rough terrain avail count]],2),0)</f>
        <v>#VALUE!</v>
      </c>
      <c r="CZ285" s="5" t="e">
        <f aca="false">IFERROR(ROUND(MatchData[[#this row],[low bar sum]]/MatchData[[#this row],[low bar avail count]],2),0)</f>
        <v>#VALUE!</v>
      </c>
      <c r="DA285" s="16" t="e">
        <f aca="false">SUM(MatchData[[#this row],[cheval sum]:[low bar sum]])/MatchData[match count]</f>
        <v>#VALUE!</v>
      </c>
      <c r="DB285" s="16" t="n">
        <f aca="false">MAX(IF(C$2:C$74=C285,BP$2:BP$74))</f>
        <v>-1.79769313486232E+308</v>
      </c>
      <c r="DC285" s="16" t="e">
        <f aca="false">AVERAGEIF(MatchData[team],MatchData[[#this row],[team]],MatchData[total score])</f>
        <v>#VALUE!</v>
      </c>
      <c r="DD285" s="16" t="e">
        <f aca="false">ROUND(AVERAGEIF(MatchData[team],MatchData[team],MatchData[climb or challenge flag]),2)</f>
        <v>#VALUE!</v>
      </c>
    </row>
    <row r="286" customFormat="false" ht="14.5" hidden="false" customHeight="false" outlineLevel="0" collapsed="false">
      <c r="A286" s="20" t="s">
        <v>108</v>
      </c>
      <c r="B286" s="18" t="n">
        <v>48</v>
      </c>
      <c r="C286" s="15" t="n">
        <v>3711</v>
      </c>
      <c r="D286" s="5" t="s">
        <v>109</v>
      </c>
      <c r="E286" s="5" t="s">
        <v>163</v>
      </c>
      <c r="G286" s="16"/>
      <c r="I286" s="16" t="n">
        <v>2</v>
      </c>
      <c r="J286" s="5" t="n">
        <v>1</v>
      </c>
      <c r="K286" s="16" t="n">
        <v>1</v>
      </c>
      <c r="M286" s="5" t="n">
        <v>1</v>
      </c>
      <c r="P286" s="5" t="n">
        <v>1</v>
      </c>
      <c r="Q286" s="0"/>
      <c r="R286" s="5" t="n">
        <v>1</v>
      </c>
      <c r="S286" s="16"/>
      <c r="U286" s="16"/>
      <c r="V286" s="16"/>
      <c r="AB286" s="5" t="n">
        <v>1</v>
      </c>
      <c r="AD286" s="16" t="n">
        <v>1</v>
      </c>
      <c r="AE286" s="5"/>
      <c r="AF286" s="16" t="n">
        <v>2</v>
      </c>
      <c r="AG286" s="16"/>
      <c r="AH286" s="16"/>
      <c r="AI286" s="5" t="n">
        <v>1</v>
      </c>
      <c r="AJ286" s="16"/>
      <c r="AL286" s="16"/>
      <c r="AN286" s="16"/>
      <c r="AP286" s="16"/>
      <c r="AR286" s="16"/>
      <c r="AT286" s="16" t="n">
        <v>2</v>
      </c>
      <c r="AU286" s="16"/>
      <c r="AV286" s="16"/>
      <c r="AW286" s="16" t="n">
        <v>1</v>
      </c>
      <c r="AX286" s="16"/>
      <c r="AY286" s="16"/>
      <c r="AZ286" s="16"/>
      <c r="BB286" s="16" t="n">
        <v>1</v>
      </c>
      <c r="BC286" s="16" t="e">
        <f aca="false">MatchData[cheval scored crossings]*5</f>
        <v>#VALUE!</v>
      </c>
      <c r="BD286" s="16" t="e">
        <f aca="false">MatchData[moat scored crosings]*5</f>
        <v>#VALUE!</v>
      </c>
      <c r="BE286" s="16" t="e">
        <f aca="false">MatchData[ramparts scored crossings]*5</f>
        <v>#VALUE!</v>
      </c>
      <c r="BF286" s="16" t="e">
        <f aca="false">MatchData[drawbridge scored crossings]*5</f>
        <v>#VALUE!</v>
      </c>
      <c r="BG286" s="16" t="e">
        <f aca="false">MatchData[sally port scored crossings]*5</f>
        <v>#VALUE!</v>
      </c>
      <c r="BH286" s="16" t="e">
        <f aca="false">MatchData[rock wall scored crossings]*5</f>
        <v>#VALUE!</v>
      </c>
      <c r="BI286" s="16" t="e">
        <f aca="false">MatchData[rough terrain scored crossings]*5</f>
        <v>#VALUE!</v>
      </c>
      <c r="BJ286" s="16" t="e">
        <f aca="false">MatchData[low bar scored crossings]*5</f>
        <v>#VALUE!</v>
      </c>
      <c r="BK286" s="16" t="e">
        <f aca="false">SUM(MatchData[[#this row],[low bar teleop crossings]:[rough terrain scored crossings]])</f>
        <v>#VALUE!</v>
      </c>
      <c r="BL286" s="16" t="e">
        <f aca="false">IFERROR(IF(OR(MatchData[[#this row],[challenge flag]],MatchData[[#this row],[climb flag]]),1,0),0)</f>
        <v>#VALUE!</v>
      </c>
      <c r="BM286" s="16" t="e">
        <f aca="false">MatchData[auto high goals]*10+MatchData[teleop high goals]*5</f>
        <v>#VALUE!</v>
      </c>
      <c r="BN286" s="16" t="e">
        <f aca="false">MatchData[auto low goals]*5+MatchData[teleop low goals]*2</f>
        <v>#VALUE!</v>
      </c>
      <c r="BO286" s="16" t="e">
        <f aca="false">MatchData[high goal score]+MatchData[low goal score]</f>
        <v>#VALUE!</v>
      </c>
      <c r="BP286" s="16" t="e">
        <f aca="false">MatchData[teleop high goals]+MatchData[teleop low goals]</f>
        <v>#VALUE!</v>
      </c>
      <c r="BQ286" s="16" t="e">
        <f aca="false">MatchData[[#this row],[auto reach flag]]*2+SUM(MatchData[[#this row],[portcullis auto crossings]:[low bar auto crossings]])*10+MatchData[[#this row],[auto low goals]]*5+MatchData[auto high goals]*10</f>
        <v>#VALUE!</v>
      </c>
      <c r="BR286" s="16" t="e">
        <f aca="false">SUM(MatchData[[#this row],[cheval teleop crossing score]:[low bar teleop crossing score]])</f>
        <v>#VALUE!</v>
      </c>
      <c r="BS286" s="16" t="e">
        <f aca="false">SUMIF(MatchData[team],MatchData[[#this row],[team]],MatchData[total auto score])/MatchData[match count]</f>
        <v>#VALUE!</v>
      </c>
      <c r="BT286" s="16" t="e">
        <f aca="false">MatchData[challenge flag]*5</f>
        <v>#VALUE!</v>
      </c>
      <c r="BU286" s="16" t="e">
        <f aca="false">MatchData[climb flag]*15</f>
        <v>#VALUE!</v>
      </c>
      <c r="BV286" s="16" t="e">
        <f aca="false">SUM(MatchData[[#this row],[total goal score]],MatchData[[#this row],[crossing score]],MatchData[[#this row],[challenge score]],MatchData[[#this row],[climb score]],MatchData[[#this row],[total auto score]])</f>
        <v>#VALUE!</v>
      </c>
      <c r="BW286" s="16" t="e">
        <f aca="false">ROUND(SUMIF(MatchData[team],MatchData[[#this row],[team]],MatchData[teleop low goals])/COUNTIF(MatchData[team],MatchData[[#this row],[team]]),2)</f>
        <v>#VALUE!</v>
      </c>
      <c r="BX286" s="16" t="e">
        <f aca="false">ROUND(SUMIF(MatchData[team],MatchData[[#this row],[team]],MatchData[teleop high goals])/COUNTIF(MatchData[team],MatchData[[#this row],[team]]),2)</f>
        <v>#VALUE!</v>
      </c>
      <c r="BY286" s="16" t="e">
        <f aca="false">COUNTIF(MatchData[team],MatchData[[#this row],[team]])</f>
        <v>#VALUE!</v>
      </c>
      <c r="BZ286" s="16" t="e">
        <f aca="false">SUMIF(MatchData[team],MatchData[[#this row],[team]],MatchData[portcullis available])</f>
        <v>#VALUE!</v>
      </c>
      <c r="CA286" s="16" t="e">
        <f aca="false">SUMIF(MatchData[team],MatchData[[#this row],[team]],MatchData[cheval available])</f>
        <v>#VALUE!</v>
      </c>
      <c r="CB286" s="16" t="e">
        <f aca="false">SUMIF(MatchData[team],MatchData[[#this row],[team]],MatchData[moat available])</f>
        <v>#VALUE!</v>
      </c>
      <c r="CC286" s="16" t="e">
        <f aca="false">SUMIF(MatchData[team],MatchData[[#this row],[team]],MatchData[ramparts available])</f>
        <v>#VALUE!</v>
      </c>
      <c r="CD286" s="16" t="e">
        <f aca="false">SUMIF(MatchData[team],MatchData[[#this row],[team]],MatchData[drawbridge available])</f>
        <v>#VALUE!</v>
      </c>
      <c r="CE286" s="16" t="e">
        <f aca="false">SUMIF(MatchData[team],MatchData[[#this row],[team]],MatchData[sally port available])</f>
        <v>#VALUE!</v>
      </c>
      <c r="CF286" s="16" t="e">
        <f aca="false">SUMIF(MatchData[team],MatchData[[#this row],[team]],MatchData[rock wall available])</f>
        <v>#VALUE!</v>
      </c>
      <c r="CG286" s="16" t="e">
        <f aca="false">SUMIF(MatchData[team],MatchData[[#this row],[team]],MatchData[rough terrain available])</f>
        <v>#VALUE!</v>
      </c>
      <c r="CH286" s="16" t="e">
        <f aca="false">SUMIF(MatchData[team],MatchData[[#this row],[team]],MatchData[low bar available])</f>
        <v>#VALUE!</v>
      </c>
      <c r="CI286" s="16" t="e">
        <f aca="false">SUMIF(MatchData[team],MatchData[[#this row],[team]],MatchData[portcullis teleop crossings]:MatchData[portcullis scored crossings])</f>
        <v>#VALUE!</v>
      </c>
      <c r="CJ286" s="16" t="e">
        <f aca="false">SUMIF(MatchData[team],MatchData[[#this row],[team]],MatchData[cheval teleop crossings])+SUMIF(MatchData[team],MatchData[[#this row],[team]],MatchData[cheval scored crossings])</f>
        <v>#VALUE!</v>
      </c>
      <c r="CK286" s="16" t="e">
        <f aca="false">SUMIF(MatchData[team],MatchData[[#this row],[team]],MatchData[moat teleop crossings])+SUMIF(MatchData[team],MatchData[[#this row],[team]],MatchData[moat scored crosings])</f>
        <v>#VALUE!</v>
      </c>
      <c r="CL286" s="16" t="e">
        <f aca="false">SUMIF(MatchData[team],MatchData[[#this row],[team]],MatchData[ramparts teleop crossings])+SUMIF(MatchData[team],MatchData[[#this row],[team]],MatchData[ramparts scored crossings])</f>
        <v>#VALUE!</v>
      </c>
      <c r="CM286" s="16" t="e">
        <f aca="false">SUMIF(MatchData[team],MatchData[[#this row],[team]],MatchData[drawbridge teleop crossings])+SUMIF(MatchData[team],MatchData[[#this row],[team]],MatchData[drawbridge scored crossings])</f>
        <v>#VALUE!</v>
      </c>
      <c r="CN286" s="16" t="e">
        <f aca="false">SUMIF(MatchData[team],MatchData[[#this row],[team]],MatchData[sally port teleop crossings])+SUMIF(MatchData[team],MatchData[[#this row],[team]],MatchData[sally port scored crossings])</f>
        <v>#VALUE!</v>
      </c>
      <c r="CO286" s="16" t="e">
        <f aca="false">SUMIF(MatchData[team],MatchData[[#this row],[team]],MatchData[rock wall teleop crossings])+SUMIF(MatchData[team],MatchData[[#this row],[team]],MatchData[rock wall scored crossings])</f>
        <v>#VALUE!</v>
      </c>
      <c r="CP286" s="16" t="e">
        <f aca="false">SUMIF(MatchData[team],MatchData[[#this row],[team]],MatchData[rough terrain teleop crossings])+SUMIF(MatchData[team],MatchData[[#this row],[team]],MatchData[rough terrain scored crossings])</f>
        <v>#VALUE!</v>
      </c>
      <c r="CQ286" s="16" t="e">
        <f aca="false">SUMIF(MatchData[team],MatchData[[#this row],[team]],MatchData[low bar teleop crossings])+SUMIF(MatchData[team],MatchData[[#this row],[team]],MatchData[low bar scored crossings])</f>
        <v>#VALUE!</v>
      </c>
      <c r="CR286" s="16" t="e">
        <f aca="false">IFERROR(ROUND(MatchData[[#this row],[portcullis sum]]/MatchData[[#this row],[portcullis avail count]],2),0)</f>
        <v>#VALUE!</v>
      </c>
      <c r="CS286" s="16" t="e">
        <f aca="false">IFERROR(ROUND(MatchData[[#this row],[cheval sum]]/MatchData[[#this row],[cheval avail count]],2),0)</f>
        <v>#VALUE!</v>
      </c>
      <c r="CT286" s="16" t="e">
        <f aca="false">IFERROR(ROUND(MatchData[[#this row],[moat sum]]/MatchData[[#this row],[moat avail count]],2),0)</f>
        <v>#VALUE!</v>
      </c>
      <c r="CU286" s="16" t="e">
        <f aca="false">IFERROR(ROUND(MatchData[[#this row],[ramparts sum]]/MatchData[[#this row],[ramparts avail count]],2),0)</f>
        <v>#VALUE!</v>
      </c>
      <c r="CV286" s="16" t="e">
        <f aca="false">IFERROR(ROUND(MatchData[[#this row],[drawbridge sum]]/MatchData[[#this row],[drawbridge avail countigh6]],2),0)</f>
        <v>#VALUE!</v>
      </c>
      <c r="CW286" s="16" t="e">
        <f aca="false">IFERROR(ROUND(MatchData[[#this row],[sally port sum]]/MatchData[[#this row],[sally port avail count]],2),0)</f>
        <v>#VALUE!</v>
      </c>
      <c r="CX286" s="5" t="e">
        <f aca="false">IFERROR(ROUND(MatchData[[#this row],[rock wall sum]]/MatchData[[#this row],[rock wall avail count]],2),0)</f>
        <v>#VALUE!</v>
      </c>
      <c r="CY286" s="5" t="e">
        <f aca="false">IFERROR(ROUND(MatchData[[#this row],[rough terrain sum]]/MatchData[[#this row],[rough terrain avail count]],2),0)</f>
        <v>#VALUE!</v>
      </c>
      <c r="CZ286" s="5" t="e">
        <f aca="false">IFERROR(ROUND(MatchData[[#this row],[low bar sum]]/MatchData[[#this row],[low bar avail count]],2),0)</f>
        <v>#VALUE!</v>
      </c>
      <c r="DA286" s="16" t="e">
        <f aca="false">SUM(MatchData[[#this row],[cheval sum]:[low bar sum]])/MatchData[match count]</f>
        <v>#VALUE!</v>
      </c>
      <c r="DB286" s="16" t="n">
        <f aca="false">MAX(IF(C$2:C$74=C286,BP$2:BP$74))</f>
        <v>-1.79769313486232E+308</v>
      </c>
      <c r="DC286" s="16" t="e">
        <f aca="false">AVERAGEIF(MatchData[team],MatchData[[#this row],[team]],MatchData[total score])</f>
        <v>#VALUE!</v>
      </c>
      <c r="DD286" s="16" t="e">
        <f aca="false">ROUND(AVERAGEIF(MatchData[team],MatchData[team],MatchData[climb or challenge flag]),2)</f>
        <v>#VALUE!</v>
      </c>
    </row>
    <row r="287" customFormat="false" ht="14.5" hidden="false" customHeight="false" outlineLevel="0" collapsed="false">
      <c r="A287" s="20" t="s">
        <v>108</v>
      </c>
      <c r="B287" s="18" t="n">
        <v>48</v>
      </c>
      <c r="C287" s="15" t="n">
        <v>4043</v>
      </c>
      <c r="D287" s="5" t="s">
        <v>109</v>
      </c>
      <c r="E287" s="5" t="s">
        <v>118</v>
      </c>
      <c r="G287" s="16"/>
      <c r="I287" s="16" t="n">
        <v>2</v>
      </c>
      <c r="J287" s="5" t="n">
        <v>1</v>
      </c>
      <c r="K287" s="16" t="n">
        <v>1</v>
      </c>
      <c r="M287" s="5" t="n">
        <v>1</v>
      </c>
      <c r="P287" s="5" t="n">
        <v>1</v>
      </c>
      <c r="Q287" s="0"/>
      <c r="R287" s="5" t="n">
        <v>1</v>
      </c>
      <c r="S287" s="16" t="n">
        <v>1</v>
      </c>
      <c r="U287" s="16"/>
      <c r="V287" s="16"/>
      <c r="AD287" s="16"/>
      <c r="AE287" s="5"/>
      <c r="AF287" s="16"/>
      <c r="AG287" s="16"/>
      <c r="AH287" s="16"/>
      <c r="AJ287" s="16" t="n">
        <v>2</v>
      </c>
      <c r="AL287" s="16"/>
      <c r="AN287" s="16"/>
      <c r="AP287" s="16"/>
      <c r="AR287" s="16"/>
      <c r="AT287" s="16"/>
      <c r="AU287" s="16"/>
      <c r="AV287" s="16"/>
      <c r="AW287" s="16" t="n">
        <v>1</v>
      </c>
      <c r="AX287" s="16"/>
      <c r="AY287" s="16"/>
      <c r="AZ287" s="16"/>
      <c r="BB287" s="16" t="n">
        <v>1</v>
      </c>
      <c r="BC287" s="16" t="e">
        <f aca="false">MatchData[cheval scored crossings]*5</f>
        <v>#VALUE!</v>
      </c>
      <c r="BD287" s="16" t="e">
        <f aca="false">MatchData[moat scored crosings]*5</f>
        <v>#VALUE!</v>
      </c>
      <c r="BE287" s="16" t="e">
        <f aca="false">MatchData[ramparts scored crossings]*5</f>
        <v>#VALUE!</v>
      </c>
      <c r="BF287" s="16" t="e">
        <f aca="false">MatchData[drawbridge scored crossings]*5</f>
        <v>#VALUE!</v>
      </c>
      <c r="BG287" s="16" t="e">
        <f aca="false">MatchData[sally port scored crossings]*5</f>
        <v>#VALUE!</v>
      </c>
      <c r="BH287" s="16" t="e">
        <f aca="false">MatchData[rock wall scored crossings]*5</f>
        <v>#VALUE!</v>
      </c>
      <c r="BI287" s="16" t="e">
        <f aca="false">MatchData[rough terrain scored crossings]*5</f>
        <v>#VALUE!</v>
      </c>
      <c r="BJ287" s="16" t="e">
        <f aca="false">MatchData[low bar scored crossings]*5</f>
        <v>#VALUE!</v>
      </c>
      <c r="BK287" s="16" t="e">
        <f aca="false">SUM(MatchData[[#this row],[low bar teleop crossings]:[rough terrain scored crossings]])</f>
        <v>#VALUE!</v>
      </c>
      <c r="BL287" s="16" t="e">
        <f aca="false">IFERROR(IF(OR(MatchData[[#this row],[challenge flag]],MatchData[[#this row],[climb flag]]),1,0),0)</f>
        <v>#VALUE!</v>
      </c>
      <c r="BM287" s="16" t="e">
        <f aca="false">MatchData[auto high goals]*10+MatchData[teleop high goals]*5</f>
        <v>#VALUE!</v>
      </c>
      <c r="BN287" s="16" t="e">
        <f aca="false">MatchData[auto low goals]*5+MatchData[teleop low goals]*2</f>
        <v>#VALUE!</v>
      </c>
      <c r="BO287" s="16" t="e">
        <f aca="false">MatchData[high goal score]+MatchData[low goal score]</f>
        <v>#VALUE!</v>
      </c>
      <c r="BP287" s="16" t="e">
        <f aca="false">MatchData[teleop high goals]+MatchData[teleop low goals]</f>
        <v>#VALUE!</v>
      </c>
      <c r="BQ287" s="16" t="e">
        <f aca="false">MatchData[[#this row],[auto reach flag]]*2+SUM(MatchData[[#this row],[portcullis auto crossings]:[low bar auto crossings]])*10+MatchData[[#this row],[auto low goals]]*5+MatchData[auto high goals]*10</f>
        <v>#VALUE!</v>
      </c>
      <c r="BR287" s="16" t="e">
        <f aca="false">SUM(MatchData[[#this row],[cheval teleop crossing score]:[low bar teleop crossing score]])</f>
        <v>#VALUE!</v>
      </c>
      <c r="BS287" s="16" t="e">
        <f aca="false">SUMIF(MatchData[team],MatchData[[#this row],[team]],MatchData[total auto score])/MatchData[match count]</f>
        <v>#VALUE!</v>
      </c>
      <c r="BT287" s="16" t="e">
        <f aca="false">MatchData[challenge flag]*5</f>
        <v>#VALUE!</v>
      </c>
      <c r="BU287" s="16" t="e">
        <f aca="false">MatchData[climb flag]*15</f>
        <v>#VALUE!</v>
      </c>
      <c r="BV287" s="16" t="e">
        <f aca="false">SUM(MatchData[[#this row],[total goal score]],MatchData[[#this row],[crossing score]],MatchData[[#this row],[challenge score]],MatchData[[#this row],[climb score]],MatchData[[#this row],[total auto score]])</f>
        <v>#VALUE!</v>
      </c>
      <c r="BW287" s="16" t="e">
        <f aca="false">ROUND(SUMIF(MatchData[team],MatchData[[#this row],[team]],MatchData[teleop low goals])/COUNTIF(MatchData[team],MatchData[[#this row],[team]]),2)</f>
        <v>#VALUE!</v>
      </c>
      <c r="BX287" s="16" t="e">
        <f aca="false">ROUND(SUMIF(MatchData[team],MatchData[[#this row],[team]],MatchData[teleop high goals])/COUNTIF(MatchData[team],MatchData[[#this row],[team]]),2)</f>
        <v>#VALUE!</v>
      </c>
      <c r="BY287" s="16" t="e">
        <f aca="false">COUNTIF(MatchData[team],MatchData[[#this row],[team]])</f>
        <v>#VALUE!</v>
      </c>
      <c r="BZ287" s="16" t="e">
        <f aca="false">SUMIF(MatchData[team],MatchData[[#this row],[team]],MatchData[portcullis available])</f>
        <v>#VALUE!</v>
      </c>
      <c r="CA287" s="16" t="e">
        <f aca="false">SUMIF(MatchData[team],MatchData[[#this row],[team]],MatchData[cheval available])</f>
        <v>#VALUE!</v>
      </c>
      <c r="CB287" s="16" t="e">
        <f aca="false">SUMIF(MatchData[team],MatchData[[#this row],[team]],MatchData[moat available])</f>
        <v>#VALUE!</v>
      </c>
      <c r="CC287" s="16" t="e">
        <f aca="false">SUMIF(MatchData[team],MatchData[[#this row],[team]],MatchData[ramparts available])</f>
        <v>#VALUE!</v>
      </c>
      <c r="CD287" s="16" t="e">
        <f aca="false">SUMIF(MatchData[team],MatchData[[#this row],[team]],MatchData[drawbridge available])</f>
        <v>#VALUE!</v>
      </c>
      <c r="CE287" s="16" t="e">
        <f aca="false">SUMIF(MatchData[team],MatchData[[#this row],[team]],MatchData[sally port available])</f>
        <v>#VALUE!</v>
      </c>
      <c r="CF287" s="16" t="e">
        <f aca="false">SUMIF(MatchData[team],MatchData[[#this row],[team]],MatchData[rock wall available])</f>
        <v>#VALUE!</v>
      </c>
      <c r="CG287" s="16" t="e">
        <f aca="false">SUMIF(MatchData[team],MatchData[[#this row],[team]],MatchData[rough terrain available])</f>
        <v>#VALUE!</v>
      </c>
      <c r="CH287" s="16" t="e">
        <f aca="false">SUMIF(MatchData[team],MatchData[[#this row],[team]],MatchData[low bar available])</f>
        <v>#VALUE!</v>
      </c>
      <c r="CI287" s="16" t="e">
        <f aca="false">SUMIF(MatchData[team],MatchData[[#this row],[team]],MatchData[portcullis teleop crossings]:MatchData[portcullis scored crossings])</f>
        <v>#VALUE!</v>
      </c>
      <c r="CJ287" s="16" t="e">
        <f aca="false">SUMIF(MatchData[team],MatchData[[#this row],[team]],MatchData[cheval teleop crossings])+SUMIF(MatchData[team],MatchData[[#this row],[team]],MatchData[cheval scored crossings])</f>
        <v>#VALUE!</v>
      </c>
      <c r="CK287" s="16" t="e">
        <f aca="false">SUMIF(MatchData[team],MatchData[[#this row],[team]],MatchData[moat teleop crossings])+SUMIF(MatchData[team],MatchData[[#this row],[team]],MatchData[moat scored crosings])</f>
        <v>#VALUE!</v>
      </c>
      <c r="CL287" s="16" t="e">
        <f aca="false">SUMIF(MatchData[team],MatchData[[#this row],[team]],MatchData[ramparts teleop crossings])+SUMIF(MatchData[team],MatchData[[#this row],[team]],MatchData[ramparts scored crossings])</f>
        <v>#VALUE!</v>
      </c>
      <c r="CM287" s="16" t="e">
        <f aca="false">SUMIF(MatchData[team],MatchData[[#this row],[team]],MatchData[drawbridge teleop crossings])+SUMIF(MatchData[team],MatchData[[#this row],[team]],MatchData[drawbridge scored crossings])</f>
        <v>#VALUE!</v>
      </c>
      <c r="CN287" s="16" t="e">
        <f aca="false">SUMIF(MatchData[team],MatchData[[#this row],[team]],MatchData[sally port teleop crossings])+SUMIF(MatchData[team],MatchData[[#this row],[team]],MatchData[sally port scored crossings])</f>
        <v>#VALUE!</v>
      </c>
      <c r="CO287" s="16" t="e">
        <f aca="false">SUMIF(MatchData[team],MatchData[[#this row],[team]],MatchData[rock wall teleop crossings])+SUMIF(MatchData[team],MatchData[[#this row],[team]],MatchData[rock wall scored crossings])</f>
        <v>#VALUE!</v>
      </c>
      <c r="CP287" s="16" t="e">
        <f aca="false">SUMIF(MatchData[team],MatchData[[#this row],[team]],MatchData[rough terrain teleop crossings])+SUMIF(MatchData[team],MatchData[[#this row],[team]],MatchData[rough terrain scored crossings])</f>
        <v>#VALUE!</v>
      </c>
      <c r="CQ287" s="16" t="e">
        <f aca="false">SUMIF(MatchData[team],MatchData[[#this row],[team]],MatchData[low bar teleop crossings])+SUMIF(MatchData[team],MatchData[[#this row],[team]],MatchData[low bar scored crossings])</f>
        <v>#VALUE!</v>
      </c>
      <c r="CR287" s="16" t="e">
        <f aca="false">IFERROR(ROUND(MatchData[[#this row],[portcullis sum]]/MatchData[[#this row],[portcullis avail count]],2),0)</f>
        <v>#VALUE!</v>
      </c>
      <c r="CS287" s="16" t="e">
        <f aca="false">IFERROR(ROUND(MatchData[[#this row],[cheval sum]]/MatchData[[#this row],[cheval avail count]],2),0)</f>
        <v>#VALUE!</v>
      </c>
      <c r="CT287" s="16" t="e">
        <f aca="false">IFERROR(ROUND(MatchData[[#this row],[moat sum]]/MatchData[[#this row],[moat avail count]],2),0)</f>
        <v>#VALUE!</v>
      </c>
      <c r="CU287" s="16" t="e">
        <f aca="false">IFERROR(ROUND(MatchData[[#this row],[ramparts sum]]/MatchData[[#this row],[ramparts avail count]],2),0)</f>
        <v>#VALUE!</v>
      </c>
      <c r="CV287" s="16" t="e">
        <f aca="false">IFERROR(ROUND(MatchData[[#this row],[drawbridge sum]]/MatchData[[#this row],[drawbridge avail countigh6]],2),0)</f>
        <v>#VALUE!</v>
      </c>
      <c r="CW287" s="16" t="e">
        <f aca="false">IFERROR(ROUND(MatchData[[#this row],[sally port sum]]/MatchData[[#this row],[sally port avail count]],2),0)</f>
        <v>#VALUE!</v>
      </c>
      <c r="CX287" s="5" t="e">
        <f aca="false">IFERROR(ROUND(MatchData[[#this row],[rock wall sum]]/MatchData[[#this row],[rock wall avail count]],2),0)</f>
        <v>#VALUE!</v>
      </c>
      <c r="CY287" s="5" t="e">
        <f aca="false">IFERROR(ROUND(MatchData[[#this row],[rough terrain sum]]/MatchData[[#this row],[rough terrain avail count]],2),0)</f>
        <v>#VALUE!</v>
      </c>
      <c r="CZ287" s="5" t="e">
        <f aca="false">IFERROR(ROUND(MatchData[[#this row],[low bar sum]]/MatchData[[#this row],[low bar avail count]],2),0)</f>
        <v>#VALUE!</v>
      </c>
      <c r="DA287" s="16" t="e">
        <f aca="false">SUM(MatchData[[#this row],[cheval sum]:[low bar sum]])/MatchData[match count]</f>
        <v>#VALUE!</v>
      </c>
      <c r="DB287" s="16" t="n">
        <f aca="false">MAX(IF(C$2:C$74=C287,BP$2:BP$74))</f>
        <v>-1.79769313486232E+308</v>
      </c>
      <c r="DC287" s="16" t="e">
        <f aca="false">AVERAGEIF(MatchData[team],MatchData[[#this row],[team]],MatchData[total score])</f>
        <v>#VALUE!</v>
      </c>
      <c r="DD287" s="16" t="e">
        <f aca="false">ROUND(AVERAGEIF(MatchData[team],MatchData[team],MatchData[climb or challenge flag]),2)</f>
        <v>#VALUE!</v>
      </c>
    </row>
    <row r="288" customFormat="false" ht="14.5" hidden="false" customHeight="false" outlineLevel="0" collapsed="false">
      <c r="A288" s="20" t="s">
        <v>108</v>
      </c>
      <c r="B288" s="14" t="n">
        <v>48</v>
      </c>
      <c r="C288" s="15" t="n">
        <v>753</v>
      </c>
      <c r="D288" s="5" t="s">
        <v>113</v>
      </c>
      <c r="E288" s="5" t="s">
        <v>153</v>
      </c>
      <c r="G288" s="16"/>
      <c r="I288" s="16" t="n">
        <v>1</v>
      </c>
      <c r="J288" s="5" t="n">
        <v>1</v>
      </c>
      <c r="K288" s="16" t="n">
        <v>1</v>
      </c>
      <c r="M288" s="5" t="n">
        <v>1</v>
      </c>
      <c r="P288" s="5" t="n">
        <v>1</v>
      </c>
      <c r="Q288" s="0"/>
      <c r="R288" s="5" t="n">
        <v>1</v>
      </c>
      <c r="S288" s="16"/>
      <c r="U288" s="16"/>
      <c r="V288" s="16"/>
      <c r="AD288" s="16" t="n">
        <v>2</v>
      </c>
      <c r="AE288" s="5"/>
      <c r="AF288" s="16" t="n">
        <v>1</v>
      </c>
      <c r="AG288" s="16"/>
      <c r="AH288" s="16"/>
      <c r="AJ288" s="16" t="n">
        <v>2</v>
      </c>
      <c r="AL288" s="16"/>
      <c r="AN288" s="16"/>
      <c r="AP288" s="16"/>
      <c r="AR288" s="16"/>
      <c r="AT288" s="16" t="n">
        <v>1</v>
      </c>
      <c r="AU288" s="16"/>
      <c r="AV288" s="16"/>
      <c r="AW288" s="16"/>
      <c r="AX288" s="16"/>
      <c r="AY288" s="16"/>
      <c r="AZ288" s="16"/>
      <c r="BB288" s="16"/>
      <c r="BC288" s="16" t="e">
        <f aca="false">MatchData[cheval scored crossings]*5</f>
        <v>#VALUE!</v>
      </c>
      <c r="BD288" s="16" t="e">
        <f aca="false">MatchData[moat scored crosings]*5</f>
        <v>#VALUE!</v>
      </c>
      <c r="BE288" s="16" t="e">
        <f aca="false">MatchData[ramparts scored crossings]*5</f>
        <v>#VALUE!</v>
      </c>
      <c r="BF288" s="16" t="e">
        <f aca="false">MatchData[drawbridge scored crossings]*5</f>
        <v>#VALUE!</v>
      </c>
      <c r="BG288" s="16" t="e">
        <f aca="false">MatchData[sally port scored crossings]*5</f>
        <v>#VALUE!</v>
      </c>
      <c r="BH288" s="16" t="e">
        <f aca="false">MatchData[rock wall scored crossings]*5</f>
        <v>#VALUE!</v>
      </c>
      <c r="BI288" s="16" t="e">
        <f aca="false">MatchData[rough terrain scored crossings]*5</f>
        <v>#VALUE!</v>
      </c>
      <c r="BJ288" s="16" t="e">
        <f aca="false">MatchData[low bar scored crossings]*5</f>
        <v>#VALUE!</v>
      </c>
      <c r="BK288" s="16" t="e">
        <f aca="false">SUM(MatchData[[#this row],[low bar teleop crossings]:[rough terrain scored crossings]])</f>
        <v>#VALUE!</v>
      </c>
      <c r="BL288" s="16" t="e">
        <f aca="false">IFERROR(IF(OR(MatchData[[#this row],[challenge flag]],MatchData[[#this row],[climb flag]]),1,0),0)</f>
        <v>#VALUE!</v>
      </c>
      <c r="BM288" s="16" t="e">
        <f aca="false">MatchData[auto high goals]*10+MatchData[teleop high goals]*5</f>
        <v>#VALUE!</v>
      </c>
      <c r="BN288" s="16" t="e">
        <f aca="false">MatchData[auto low goals]*5+MatchData[teleop low goals]*2</f>
        <v>#VALUE!</v>
      </c>
      <c r="BO288" s="16" t="e">
        <f aca="false">MatchData[high goal score]+MatchData[low goal score]</f>
        <v>#VALUE!</v>
      </c>
      <c r="BP288" s="16" t="e">
        <f aca="false">MatchData[teleop high goals]+MatchData[teleop low goals]</f>
        <v>#VALUE!</v>
      </c>
      <c r="BQ288" s="16" t="e">
        <f aca="false">MatchData[[#this row],[auto reach flag]]*2+SUM(MatchData[[#this row],[portcullis auto crossings]:[low bar auto crossings]])*10+MatchData[[#this row],[auto low goals]]*5+MatchData[auto high goals]*10</f>
        <v>#VALUE!</v>
      </c>
      <c r="BR288" s="16" t="e">
        <f aca="false">SUM(MatchData[[#this row],[cheval teleop crossing score]:[low bar teleop crossing score]])</f>
        <v>#VALUE!</v>
      </c>
      <c r="BS288" s="16" t="e">
        <f aca="false">SUMIF(MatchData[team],MatchData[[#this row],[team]],MatchData[total auto score])/MatchData[match count]</f>
        <v>#VALUE!</v>
      </c>
      <c r="BT288" s="16" t="e">
        <f aca="false">MatchData[challenge flag]*5</f>
        <v>#VALUE!</v>
      </c>
      <c r="BU288" s="16" t="e">
        <f aca="false">MatchData[climb flag]*15</f>
        <v>#VALUE!</v>
      </c>
      <c r="BV288" s="16" t="e">
        <f aca="false">SUM(MatchData[[#this row],[total goal score]],MatchData[[#this row],[crossing score]],MatchData[[#this row],[challenge score]],MatchData[[#this row],[climb score]],MatchData[[#this row],[total auto score]])</f>
        <v>#VALUE!</v>
      </c>
      <c r="BW288" s="16" t="e">
        <f aca="false">ROUND(SUMIF(MatchData[team],MatchData[[#this row],[team]],MatchData[teleop low goals])/COUNTIF(MatchData[team],MatchData[[#this row],[team]]),2)</f>
        <v>#VALUE!</v>
      </c>
      <c r="BX288" s="16" t="e">
        <f aca="false">ROUND(SUMIF(MatchData[team],MatchData[[#this row],[team]],MatchData[teleop high goals])/COUNTIF(MatchData[team],MatchData[[#this row],[team]]),2)</f>
        <v>#VALUE!</v>
      </c>
      <c r="BY288" s="16" t="e">
        <f aca="false">COUNTIF(MatchData[team],MatchData[[#this row],[team]])</f>
        <v>#VALUE!</v>
      </c>
      <c r="BZ288" s="16" t="e">
        <f aca="false">SUMIF(MatchData[team],MatchData[[#this row],[team]],MatchData[portcullis available])</f>
        <v>#VALUE!</v>
      </c>
      <c r="CA288" s="16" t="e">
        <f aca="false">SUMIF(MatchData[team],MatchData[[#this row],[team]],MatchData[cheval available])</f>
        <v>#VALUE!</v>
      </c>
      <c r="CB288" s="16" t="e">
        <f aca="false">SUMIF(MatchData[team],MatchData[[#this row],[team]],MatchData[moat available])</f>
        <v>#VALUE!</v>
      </c>
      <c r="CC288" s="16" t="e">
        <f aca="false">SUMIF(MatchData[team],MatchData[[#this row],[team]],MatchData[ramparts available])</f>
        <v>#VALUE!</v>
      </c>
      <c r="CD288" s="16" t="e">
        <f aca="false">SUMIF(MatchData[team],MatchData[[#this row],[team]],MatchData[drawbridge available])</f>
        <v>#VALUE!</v>
      </c>
      <c r="CE288" s="16" t="e">
        <f aca="false">SUMIF(MatchData[team],MatchData[[#this row],[team]],MatchData[sally port available])</f>
        <v>#VALUE!</v>
      </c>
      <c r="CF288" s="16" t="e">
        <f aca="false">SUMIF(MatchData[team],MatchData[[#this row],[team]],MatchData[rock wall available])</f>
        <v>#VALUE!</v>
      </c>
      <c r="CG288" s="16" t="e">
        <f aca="false">SUMIF(MatchData[team],MatchData[[#this row],[team]],MatchData[rough terrain available])</f>
        <v>#VALUE!</v>
      </c>
      <c r="CH288" s="16" t="e">
        <f aca="false">SUMIF(MatchData[team],MatchData[[#this row],[team]],MatchData[low bar available])</f>
        <v>#VALUE!</v>
      </c>
      <c r="CI288" s="16" t="e">
        <f aca="false">SUMIF(MatchData[team],MatchData[[#this row],[team]],MatchData[portcullis teleop crossings]:MatchData[portcullis scored crossings])</f>
        <v>#VALUE!</v>
      </c>
      <c r="CJ288" s="16" t="e">
        <f aca="false">SUMIF(MatchData[team],MatchData[[#this row],[team]],MatchData[cheval teleop crossings])+SUMIF(MatchData[team],MatchData[[#this row],[team]],MatchData[cheval scored crossings])</f>
        <v>#VALUE!</v>
      </c>
      <c r="CK288" s="16" t="e">
        <f aca="false">SUMIF(MatchData[team],MatchData[[#this row],[team]],MatchData[moat teleop crossings])+SUMIF(MatchData[team],MatchData[[#this row],[team]],MatchData[moat scored crosings])</f>
        <v>#VALUE!</v>
      </c>
      <c r="CL288" s="16" t="e">
        <f aca="false">SUMIF(MatchData[team],MatchData[[#this row],[team]],MatchData[ramparts teleop crossings])+SUMIF(MatchData[team],MatchData[[#this row],[team]],MatchData[ramparts scored crossings])</f>
        <v>#VALUE!</v>
      </c>
      <c r="CM288" s="16" t="e">
        <f aca="false">SUMIF(MatchData[team],MatchData[[#this row],[team]],MatchData[drawbridge teleop crossings])+SUMIF(MatchData[team],MatchData[[#this row],[team]],MatchData[drawbridge scored crossings])</f>
        <v>#VALUE!</v>
      </c>
      <c r="CN288" s="16" t="e">
        <f aca="false">SUMIF(MatchData[team],MatchData[[#this row],[team]],MatchData[sally port teleop crossings])+SUMIF(MatchData[team],MatchData[[#this row],[team]],MatchData[sally port scored crossings])</f>
        <v>#VALUE!</v>
      </c>
      <c r="CO288" s="16" t="e">
        <f aca="false">SUMIF(MatchData[team],MatchData[[#this row],[team]],MatchData[rock wall teleop crossings])+SUMIF(MatchData[team],MatchData[[#this row],[team]],MatchData[rock wall scored crossings])</f>
        <v>#VALUE!</v>
      </c>
      <c r="CP288" s="16" t="e">
        <f aca="false">SUMIF(MatchData[team],MatchData[[#this row],[team]],MatchData[rough terrain teleop crossings])+SUMIF(MatchData[team],MatchData[[#this row],[team]],MatchData[rough terrain scored crossings])</f>
        <v>#VALUE!</v>
      </c>
      <c r="CQ288" s="16" t="e">
        <f aca="false">SUMIF(MatchData[team],MatchData[[#this row],[team]],MatchData[low bar teleop crossings])+SUMIF(MatchData[team],MatchData[[#this row],[team]],MatchData[low bar scored crossings])</f>
        <v>#VALUE!</v>
      </c>
      <c r="CR288" s="16" t="e">
        <f aca="false">IFERROR(ROUND(MatchData[[#this row],[portcullis sum]]/MatchData[[#this row],[portcullis avail count]],2),0)</f>
        <v>#VALUE!</v>
      </c>
      <c r="CS288" s="16" t="e">
        <f aca="false">IFERROR(ROUND(MatchData[[#this row],[cheval sum]]/MatchData[[#this row],[cheval avail count]],2),0)</f>
        <v>#VALUE!</v>
      </c>
      <c r="CT288" s="16" t="e">
        <f aca="false">IFERROR(ROUND(MatchData[[#this row],[moat sum]]/MatchData[[#this row],[moat avail count]],2),0)</f>
        <v>#VALUE!</v>
      </c>
      <c r="CU288" s="16" t="e">
        <f aca="false">IFERROR(ROUND(MatchData[[#this row],[ramparts sum]]/MatchData[[#this row],[ramparts avail count]],2),0)</f>
        <v>#VALUE!</v>
      </c>
      <c r="CV288" s="16" t="e">
        <f aca="false">IFERROR(ROUND(MatchData[[#this row],[drawbridge sum]]/MatchData[[#this row],[drawbridge avail countigh6]],2),0)</f>
        <v>#VALUE!</v>
      </c>
      <c r="CW288" s="16" t="e">
        <f aca="false">IFERROR(ROUND(MatchData[[#this row],[sally port sum]]/MatchData[[#this row],[sally port avail count]],2),0)</f>
        <v>#VALUE!</v>
      </c>
      <c r="CX288" s="5" t="e">
        <f aca="false">IFERROR(ROUND(MatchData[[#this row],[rock wall sum]]/MatchData[[#this row],[rock wall avail count]],2),0)</f>
        <v>#VALUE!</v>
      </c>
      <c r="CY288" s="5" t="e">
        <f aca="false">IFERROR(ROUND(MatchData[[#this row],[rough terrain sum]]/MatchData[[#this row],[rough terrain avail count]],2),0)</f>
        <v>#VALUE!</v>
      </c>
      <c r="CZ288" s="5" t="e">
        <f aca="false">IFERROR(ROUND(MatchData[[#this row],[low bar sum]]/MatchData[[#this row],[low bar avail count]],2),0)</f>
        <v>#VALUE!</v>
      </c>
      <c r="DA288" s="16" t="e">
        <f aca="false">SUM(MatchData[[#this row],[cheval sum]:[low bar sum]])/MatchData[match count]</f>
        <v>#VALUE!</v>
      </c>
      <c r="DB288" s="16" t="n">
        <f aca="false">MAX(IF(C$2:C$74=C288,BP$2:BP$74))</f>
        <v>-1.79769313486232E+308</v>
      </c>
      <c r="DC288" s="16" t="e">
        <f aca="false">AVERAGEIF(MatchData[team],MatchData[[#this row],[team]],MatchData[total score])</f>
        <v>#VALUE!</v>
      </c>
      <c r="DD288" s="16" t="e">
        <f aca="false">ROUND(AVERAGEIF(MatchData[team],MatchData[team],MatchData[climb or challenge flag]),2)</f>
        <v>#VALUE!</v>
      </c>
    </row>
    <row r="289" customFormat="false" ht="14.5" hidden="false" customHeight="false" outlineLevel="0" collapsed="false">
      <c r="A289" s="20" t="s">
        <v>108</v>
      </c>
      <c r="B289" s="14" t="n">
        <v>48</v>
      </c>
      <c r="C289" s="15" t="n">
        <v>955</v>
      </c>
      <c r="D289" s="5" t="s">
        <v>113</v>
      </c>
      <c r="E289" s="5" t="s">
        <v>127</v>
      </c>
      <c r="G289" s="16" t="n">
        <v>1</v>
      </c>
      <c r="I289" s="16"/>
      <c r="J289" s="5" t="n">
        <v>1</v>
      </c>
      <c r="K289" s="16" t="n">
        <v>1</v>
      </c>
      <c r="M289" s="5" t="n">
        <v>1</v>
      </c>
      <c r="P289" s="5" t="n">
        <v>1</v>
      </c>
      <c r="Q289" s="0"/>
      <c r="R289" s="5" t="n">
        <v>1</v>
      </c>
      <c r="S289" s="16"/>
      <c r="U289" s="16"/>
      <c r="V289" s="16"/>
      <c r="AD289" s="16"/>
      <c r="AE289" s="5"/>
      <c r="AF289" s="16" t="n">
        <v>2</v>
      </c>
      <c r="AG289" s="16"/>
      <c r="AH289" s="16"/>
      <c r="AJ289" s="16"/>
      <c r="AL289" s="16"/>
      <c r="AN289" s="16"/>
      <c r="AP289" s="16"/>
      <c r="AR289" s="16"/>
      <c r="AT289" s="16" t="n">
        <v>1</v>
      </c>
      <c r="AU289" s="16"/>
      <c r="AV289" s="16"/>
      <c r="AW289" s="16"/>
      <c r="AX289" s="16"/>
      <c r="AY289" s="16"/>
      <c r="AZ289" s="16"/>
      <c r="BB289" s="16" t="n">
        <v>1</v>
      </c>
      <c r="BC289" s="16" t="e">
        <f aca="false">MatchData[cheval scored crossings]*5</f>
        <v>#VALUE!</v>
      </c>
      <c r="BD289" s="16" t="e">
        <f aca="false">MatchData[moat scored crosings]*5</f>
        <v>#VALUE!</v>
      </c>
      <c r="BE289" s="16" t="e">
        <f aca="false">MatchData[ramparts scored crossings]*5</f>
        <v>#VALUE!</v>
      </c>
      <c r="BF289" s="16" t="e">
        <f aca="false">MatchData[drawbridge scored crossings]*5</f>
        <v>#VALUE!</v>
      </c>
      <c r="BG289" s="16" t="e">
        <f aca="false">MatchData[sally port scored crossings]*5</f>
        <v>#VALUE!</v>
      </c>
      <c r="BH289" s="16" t="e">
        <f aca="false">MatchData[rock wall scored crossings]*5</f>
        <v>#VALUE!</v>
      </c>
      <c r="BI289" s="16" t="e">
        <f aca="false">MatchData[rough terrain scored crossings]*5</f>
        <v>#VALUE!</v>
      </c>
      <c r="BJ289" s="16" t="e">
        <f aca="false">MatchData[low bar scored crossings]*5</f>
        <v>#VALUE!</v>
      </c>
      <c r="BK289" s="16" t="e">
        <f aca="false">SUM(MatchData[[#this row],[low bar teleop crossings]:[rough terrain scored crossings]])</f>
        <v>#VALUE!</v>
      </c>
      <c r="BL289" s="16" t="e">
        <f aca="false">IFERROR(IF(OR(MatchData[[#this row],[challenge flag]],MatchData[[#this row],[climb flag]]),1,0),0)</f>
        <v>#VALUE!</v>
      </c>
      <c r="BM289" s="16" t="e">
        <f aca="false">MatchData[auto high goals]*10+MatchData[teleop high goals]*5</f>
        <v>#VALUE!</v>
      </c>
      <c r="BN289" s="16" t="e">
        <f aca="false">MatchData[auto low goals]*5+MatchData[teleop low goals]*2</f>
        <v>#VALUE!</v>
      </c>
      <c r="BO289" s="16" t="e">
        <f aca="false">MatchData[high goal score]+MatchData[low goal score]</f>
        <v>#VALUE!</v>
      </c>
      <c r="BP289" s="16" t="e">
        <f aca="false">MatchData[teleop high goals]+MatchData[teleop low goals]</f>
        <v>#VALUE!</v>
      </c>
      <c r="BQ289" s="16" t="e">
        <f aca="false">MatchData[[#this row],[auto reach flag]]*2+SUM(MatchData[[#this row],[portcullis auto crossings]:[low bar auto crossings]])*10+MatchData[[#this row],[auto low goals]]*5+MatchData[auto high goals]*10</f>
        <v>#VALUE!</v>
      </c>
      <c r="BR289" s="16" t="e">
        <f aca="false">SUM(MatchData[[#this row],[cheval teleop crossing score]:[low bar teleop crossing score]])</f>
        <v>#VALUE!</v>
      </c>
      <c r="BS289" s="16" t="e">
        <f aca="false">SUMIF(MatchData[team],MatchData[[#this row],[team]],MatchData[total auto score])/MatchData[match count]</f>
        <v>#VALUE!</v>
      </c>
      <c r="BT289" s="16" t="e">
        <f aca="false">MatchData[challenge flag]*5</f>
        <v>#VALUE!</v>
      </c>
      <c r="BU289" s="16" t="e">
        <f aca="false">MatchData[climb flag]*15</f>
        <v>#VALUE!</v>
      </c>
      <c r="BV289" s="16" t="e">
        <f aca="false">SUM(MatchData[[#this row],[total goal score]],MatchData[[#this row],[crossing score]],MatchData[[#this row],[challenge score]],MatchData[[#this row],[climb score]],MatchData[[#this row],[total auto score]])</f>
        <v>#VALUE!</v>
      </c>
      <c r="BW289" s="16" t="e">
        <f aca="false">ROUND(SUMIF(MatchData[team],MatchData[[#this row],[team]],MatchData[teleop low goals])/COUNTIF(MatchData[team],MatchData[[#this row],[team]]),2)</f>
        <v>#VALUE!</v>
      </c>
      <c r="BX289" s="16" t="e">
        <f aca="false">ROUND(SUMIF(MatchData[team],MatchData[[#this row],[team]],MatchData[teleop high goals])/COUNTIF(MatchData[team],MatchData[[#this row],[team]]),2)</f>
        <v>#VALUE!</v>
      </c>
      <c r="BY289" s="16" t="e">
        <f aca="false">COUNTIF(MatchData[team],MatchData[[#this row],[team]])</f>
        <v>#VALUE!</v>
      </c>
      <c r="BZ289" s="16" t="e">
        <f aca="false">SUMIF(MatchData[team],MatchData[[#this row],[team]],MatchData[portcullis available])</f>
        <v>#VALUE!</v>
      </c>
      <c r="CA289" s="16" t="e">
        <f aca="false">SUMIF(MatchData[team],MatchData[[#this row],[team]],MatchData[cheval available])</f>
        <v>#VALUE!</v>
      </c>
      <c r="CB289" s="16" t="e">
        <f aca="false">SUMIF(MatchData[team],MatchData[[#this row],[team]],MatchData[moat available])</f>
        <v>#VALUE!</v>
      </c>
      <c r="CC289" s="16" t="e">
        <f aca="false">SUMIF(MatchData[team],MatchData[[#this row],[team]],MatchData[ramparts available])</f>
        <v>#VALUE!</v>
      </c>
      <c r="CD289" s="16" t="e">
        <f aca="false">SUMIF(MatchData[team],MatchData[[#this row],[team]],MatchData[drawbridge available])</f>
        <v>#VALUE!</v>
      </c>
      <c r="CE289" s="16" t="e">
        <f aca="false">SUMIF(MatchData[team],MatchData[[#this row],[team]],MatchData[sally port available])</f>
        <v>#VALUE!</v>
      </c>
      <c r="CF289" s="16" t="e">
        <f aca="false">SUMIF(MatchData[team],MatchData[[#this row],[team]],MatchData[rock wall available])</f>
        <v>#VALUE!</v>
      </c>
      <c r="CG289" s="16" t="e">
        <f aca="false">SUMIF(MatchData[team],MatchData[[#this row],[team]],MatchData[rough terrain available])</f>
        <v>#VALUE!</v>
      </c>
      <c r="CH289" s="16" t="e">
        <f aca="false">SUMIF(MatchData[team],MatchData[[#this row],[team]],MatchData[low bar available])</f>
        <v>#VALUE!</v>
      </c>
      <c r="CI289" s="16" t="e">
        <f aca="false">SUMIF(MatchData[team],MatchData[[#this row],[team]],MatchData[portcullis teleop crossings]:MatchData[portcullis scored crossings])</f>
        <v>#VALUE!</v>
      </c>
      <c r="CJ289" s="16" t="e">
        <f aca="false">SUMIF(MatchData[team],MatchData[[#this row],[team]],MatchData[cheval teleop crossings])+SUMIF(MatchData[team],MatchData[[#this row],[team]],MatchData[cheval scored crossings])</f>
        <v>#VALUE!</v>
      </c>
      <c r="CK289" s="16" t="e">
        <f aca="false">SUMIF(MatchData[team],MatchData[[#this row],[team]],MatchData[moat teleop crossings])+SUMIF(MatchData[team],MatchData[[#this row],[team]],MatchData[moat scored crosings])</f>
        <v>#VALUE!</v>
      </c>
      <c r="CL289" s="16" t="e">
        <f aca="false">SUMIF(MatchData[team],MatchData[[#this row],[team]],MatchData[ramparts teleop crossings])+SUMIF(MatchData[team],MatchData[[#this row],[team]],MatchData[ramparts scored crossings])</f>
        <v>#VALUE!</v>
      </c>
      <c r="CM289" s="16" t="e">
        <f aca="false">SUMIF(MatchData[team],MatchData[[#this row],[team]],MatchData[drawbridge teleop crossings])+SUMIF(MatchData[team],MatchData[[#this row],[team]],MatchData[drawbridge scored crossings])</f>
        <v>#VALUE!</v>
      </c>
      <c r="CN289" s="16" t="e">
        <f aca="false">SUMIF(MatchData[team],MatchData[[#this row],[team]],MatchData[sally port teleop crossings])+SUMIF(MatchData[team],MatchData[[#this row],[team]],MatchData[sally port scored crossings])</f>
        <v>#VALUE!</v>
      </c>
      <c r="CO289" s="16" t="e">
        <f aca="false">SUMIF(MatchData[team],MatchData[[#this row],[team]],MatchData[rock wall teleop crossings])+SUMIF(MatchData[team],MatchData[[#this row],[team]],MatchData[rock wall scored crossings])</f>
        <v>#VALUE!</v>
      </c>
      <c r="CP289" s="16" t="e">
        <f aca="false">SUMIF(MatchData[team],MatchData[[#this row],[team]],MatchData[rough terrain teleop crossings])+SUMIF(MatchData[team],MatchData[[#this row],[team]],MatchData[rough terrain scored crossings])</f>
        <v>#VALUE!</v>
      </c>
      <c r="CQ289" s="16" t="e">
        <f aca="false">SUMIF(MatchData[team],MatchData[[#this row],[team]],MatchData[low bar teleop crossings])+SUMIF(MatchData[team],MatchData[[#this row],[team]],MatchData[low bar scored crossings])</f>
        <v>#VALUE!</v>
      </c>
      <c r="CR289" s="16" t="e">
        <f aca="false">IFERROR(ROUND(MatchData[[#this row],[portcullis sum]]/MatchData[[#this row],[portcullis avail count]],2),0)</f>
        <v>#VALUE!</v>
      </c>
      <c r="CS289" s="16" t="e">
        <f aca="false">IFERROR(ROUND(MatchData[[#this row],[cheval sum]]/MatchData[[#this row],[cheval avail count]],2),0)</f>
        <v>#VALUE!</v>
      </c>
      <c r="CT289" s="16" t="e">
        <f aca="false">IFERROR(ROUND(MatchData[[#this row],[moat sum]]/MatchData[[#this row],[moat avail count]],2),0)</f>
        <v>#VALUE!</v>
      </c>
      <c r="CU289" s="16" t="e">
        <f aca="false">IFERROR(ROUND(MatchData[[#this row],[ramparts sum]]/MatchData[[#this row],[ramparts avail count]],2),0)</f>
        <v>#VALUE!</v>
      </c>
      <c r="CV289" s="16" t="e">
        <f aca="false">IFERROR(ROUND(MatchData[[#this row],[drawbridge sum]]/MatchData[[#this row],[drawbridge avail countigh6]],2),0)</f>
        <v>#VALUE!</v>
      </c>
      <c r="CW289" s="16" t="e">
        <f aca="false">IFERROR(ROUND(MatchData[[#this row],[sally port sum]]/MatchData[[#this row],[sally port avail count]],2),0)</f>
        <v>#VALUE!</v>
      </c>
      <c r="CX289" s="5" t="e">
        <f aca="false">IFERROR(ROUND(MatchData[[#this row],[rock wall sum]]/MatchData[[#this row],[rock wall avail count]],2),0)</f>
        <v>#VALUE!</v>
      </c>
      <c r="CY289" s="5" t="e">
        <f aca="false">IFERROR(ROUND(MatchData[[#this row],[rough terrain sum]]/MatchData[[#this row],[rough terrain avail count]],2),0)</f>
        <v>#VALUE!</v>
      </c>
      <c r="CZ289" s="5" t="e">
        <f aca="false">IFERROR(ROUND(MatchData[[#this row],[low bar sum]]/MatchData[[#this row],[low bar avail count]],2),0)</f>
        <v>#VALUE!</v>
      </c>
      <c r="DA289" s="16" t="e">
        <f aca="false">SUM(MatchData[[#this row],[cheval sum]:[low bar sum]])/MatchData[match count]</f>
        <v>#VALUE!</v>
      </c>
      <c r="DB289" s="16" t="n">
        <f aca="false">MAX(IF(C$2:C$74=C289,BP$2:BP$74))</f>
        <v>-1.79769313486232E+308</v>
      </c>
      <c r="DC289" s="16" t="e">
        <f aca="false">AVERAGEIF(MatchData[team],MatchData[[#this row],[team]],MatchData[total score])</f>
        <v>#VALUE!</v>
      </c>
      <c r="DD289" s="16" t="e">
        <f aca="false">ROUND(AVERAGEIF(MatchData[team],MatchData[team],MatchData[climb or challenge flag]),2)</f>
        <v>#VALUE!</v>
      </c>
    </row>
    <row r="290" customFormat="false" ht="14.5" hidden="false" customHeight="false" outlineLevel="0" collapsed="false">
      <c r="A290" s="20" t="s">
        <v>108</v>
      </c>
      <c r="B290" s="14" t="n">
        <v>49</v>
      </c>
      <c r="C290" s="15" t="n">
        <v>1540</v>
      </c>
      <c r="D290" s="5" t="s">
        <v>109</v>
      </c>
      <c r="E290" s="5" t="s">
        <v>164</v>
      </c>
      <c r="G290" s="16" t="n">
        <v>4</v>
      </c>
      <c r="I290" s="16"/>
      <c r="J290" s="5" t="n">
        <v>1</v>
      </c>
      <c r="K290" s="16"/>
      <c r="L290" s="5" t="n">
        <v>1</v>
      </c>
      <c r="M290" s="5" t="n">
        <v>1</v>
      </c>
      <c r="P290" s="5" t="n">
        <v>1</v>
      </c>
      <c r="Q290" s="5" t="n">
        <v>1</v>
      </c>
      <c r="S290" s="16"/>
      <c r="U290" s="16"/>
      <c r="V290" s="16" t="n">
        <v>1</v>
      </c>
      <c r="AC290" s="5" t="n">
        <v>2</v>
      </c>
      <c r="AD290" s="16"/>
      <c r="AE290" s="5"/>
      <c r="AF290" s="16"/>
      <c r="AG290" s="16"/>
      <c r="AH290" s="16" t="n">
        <v>1</v>
      </c>
      <c r="AJ290" s="16"/>
      <c r="AL290" s="16"/>
      <c r="AN290" s="16"/>
      <c r="AP290" s="16"/>
      <c r="AR290" s="16"/>
      <c r="AT290" s="16"/>
      <c r="AU290" s="16"/>
      <c r="AV290" s="16"/>
      <c r="AW290" s="16" t="n">
        <v>1</v>
      </c>
      <c r="AX290" s="16"/>
      <c r="AY290" s="16"/>
      <c r="AZ290" s="16"/>
      <c r="BA290" s="5" t="n">
        <v>1</v>
      </c>
      <c r="BB290" s="16" t="n">
        <v>1</v>
      </c>
      <c r="BC290" s="16" t="e">
        <f aca="false">MatchData[cheval scored crossings]*5</f>
        <v>#VALUE!</v>
      </c>
      <c r="BD290" s="16" t="e">
        <f aca="false">MatchData[moat scored crosings]*5</f>
        <v>#VALUE!</v>
      </c>
      <c r="BE290" s="16" t="e">
        <f aca="false">MatchData[ramparts scored crossings]*5</f>
        <v>#VALUE!</v>
      </c>
      <c r="BF290" s="16" t="e">
        <f aca="false">MatchData[drawbridge scored crossings]*5</f>
        <v>#VALUE!</v>
      </c>
      <c r="BG290" s="16" t="e">
        <f aca="false">MatchData[sally port scored crossings]*5</f>
        <v>#VALUE!</v>
      </c>
      <c r="BH290" s="16" t="e">
        <f aca="false">MatchData[rock wall scored crossings]*5</f>
        <v>#VALUE!</v>
      </c>
      <c r="BI290" s="16" t="e">
        <f aca="false">MatchData[rough terrain scored crossings]*5</f>
        <v>#VALUE!</v>
      </c>
      <c r="BJ290" s="16" t="e">
        <f aca="false">MatchData[low bar scored crossings]*5</f>
        <v>#VALUE!</v>
      </c>
      <c r="BK290" s="16" t="e">
        <f aca="false">SUM(MatchData[[#this row],[low bar teleop crossings]:[rough terrain scored crossings]])</f>
        <v>#VALUE!</v>
      </c>
      <c r="BL290" s="16" t="e">
        <f aca="false">IFERROR(IF(OR(MatchData[[#this row],[challenge flag]],MatchData[[#this row],[climb flag]]),1,0),0)</f>
        <v>#VALUE!</v>
      </c>
      <c r="BM290" s="16" t="e">
        <f aca="false">MatchData[auto high goals]*10+MatchData[teleop high goals]*5</f>
        <v>#VALUE!</v>
      </c>
      <c r="BN290" s="16" t="e">
        <f aca="false">MatchData[auto low goals]*5+MatchData[teleop low goals]*2</f>
        <v>#VALUE!</v>
      </c>
      <c r="BO290" s="16" t="e">
        <f aca="false">MatchData[high goal score]+MatchData[low goal score]</f>
        <v>#VALUE!</v>
      </c>
      <c r="BP290" s="16" t="e">
        <f aca="false">MatchData[teleop high goals]+MatchData[teleop low goals]</f>
        <v>#VALUE!</v>
      </c>
      <c r="BQ290" s="16" t="e">
        <f aca="false">MatchData[[#this row],[auto reach flag]]*2+SUM(MatchData[[#this row],[portcullis auto crossings]:[low bar auto crossings]])*10+MatchData[[#this row],[auto low goals]]*5+MatchData[auto high goals]*10</f>
        <v>#VALUE!</v>
      </c>
      <c r="BR290" s="16" t="e">
        <f aca="false">SUM(MatchData[[#this row],[cheval teleop crossing score]:[low bar teleop crossing score]])</f>
        <v>#VALUE!</v>
      </c>
      <c r="BS290" s="16" t="e">
        <f aca="false">SUMIF(MatchData[team],MatchData[[#this row],[team]],MatchData[total auto score])/MatchData[match count]</f>
        <v>#VALUE!</v>
      </c>
      <c r="BT290" s="16" t="e">
        <f aca="false">MatchData[challenge flag]*5</f>
        <v>#VALUE!</v>
      </c>
      <c r="BU290" s="16" t="e">
        <f aca="false">MatchData[climb flag]*15</f>
        <v>#VALUE!</v>
      </c>
      <c r="BV290" s="16" t="e">
        <f aca="false">SUM(MatchData[[#this row],[total goal score]],MatchData[[#this row],[crossing score]],MatchData[[#this row],[challenge score]],MatchData[[#this row],[climb score]],MatchData[[#this row],[total auto score]])</f>
        <v>#VALUE!</v>
      </c>
      <c r="BW290" s="16" t="e">
        <f aca="false">ROUND(SUMIF(MatchData[team],MatchData[[#this row],[team]],MatchData[teleop low goals])/COUNTIF(MatchData[team],MatchData[[#this row],[team]]),2)</f>
        <v>#VALUE!</v>
      </c>
      <c r="BX290" s="16" t="e">
        <f aca="false">ROUND(SUMIF(MatchData[team],MatchData[[#this row],[team]],MatchData[teleop high goals])/COUNTIF(MatchData[team],MatchData[[#this row],[team]]),2)</f>
        <v>#VALUE!</v>
      </c>
      <c r="BY290" s="16" t="e">
        <f aca="false">COUNTIF(MatchData[team],MatchData[[#this row],[team]])</f>
        <v>#VALUE!</v>
      </c>
      <c r="BZ290" s="16" t="e">
        <f aca="false">SUMIF(MatchData[team],MatchData[[#this row],[team]],MatchData[portcullis available])</f>
        <v>#VALUE!</v>
      </c>
      <c r="CA290" s="16" t="e">
        <f aca="false">SUMIF(MatchData[team],MatchData[[#this row],[team]],MatchData[cheval available])</f>
        <v>#VALUE!</v>
      </c>
      <c r="CB290" s="16" t="e">
        <f aca="false">SUMIF(MatchData[team],MatchData[[#this row],[team]],MatchData[moat available])</f>
        <v>#VALUE!</v>
      </c>
      <c r="CC290" s="16" t="e">
        <f aca="false">SUMIF(MatchData[team],MatchData[[#this row],[team]],MatchData[ramparts available])</f>
        <v>#VALUE!</v>
      </c>
      <c r="CD290" s="16" t="e">
        <f aca="false">SUMIF(MatchData[team],MatchData[[#this row],[team]],MatchData[drawbridge available])</f>
        <v>#VALUE!</v>
      </c>
      <c r="CE290" s="16" t="e">
        <f aca="false">SUMIF(MatchData[team],MatchData[[#this row],[team]],MatchData[sally port available])</f>
        <v>#VALUE!</v>
      </c>
      <c r="CF290" s="16" t="e">
        <f aca="false">SUMIF(MatchData[team],MatchData[[#this row],[team]],MatchData[rock wall available])</f>
        <v>#VALUE!</v>
      </c>
      <c r="CG290" s="16" t="e">
        <f aca="false">SUMIF(MatchData[team],MatchData[[#this row],[team]],MatchData[rough terrain available])</f>
        <v>#VALUE!</v>
      </c>
      <c r="CH290" s="16" t="e">
        <f aca="false">SUMIF(MatchData[team],MatchData[[#this row],[team]],MatchData[low bar available])</f>
        <v>#VALUE!</v>
      </c>
      <c r="CI290" s="16" t="e">
        <f aca="false">SUMIF(MatchData[team],MatchData[[#this row],[team]],MatchData[portcullis teleop crossings]:MatchData[portcullis scored crossings])</f>
        <v>#VALUE!</v>
      </c>
      <c r="CJ290" s="16" t="e">
        <f aca="false">SUMIF(MatchData[team],MatchData[[#this row],[team]],MatchData[cheval teleop crossings])+SUMIF(MatchData[team],MatchData[[#this row],[team]],MatchData[cheval scored crossings])</f>
        <v>#VALUE!</v>
      </c>
      <c r="CK290" s="16" t="e">
        <f aca="false">SUMIF(MatchData[team],MatchData[[#this row],[team]],MatchData[moat teleop crossings])+SUMIF(MatchData[team],MatchData[[#this row],[team]],MatchData[moat scored crosings])</f>
        <v>#VALUE!</v>
      </c>
      <c r="CL290" s="16" t="e">
        <f aca="false">SUMIF(MatchData[team],MatchData[[#this row],[team]],MatchData[ramparts teleop crossings])+SUMIF(MatchData[team],MatchData[[#this row],[team]],MatchData[ramparts scored crossings])</f>
        <v>#VALUE!</v>
      </c>
      <c r="CM290" s="16" t="e">
        <f aca="false">SUMIF(MatchData[team],MatchData[[#this row],[team]],MatchData[drawbridge teleop crossings])+SUMIF(MatchData[team],MatchData[[#this row],[team]],MatchData[drawbridge scored crossings])</f>
        <v>#VALUE!</v>
      </c>
      <c r="CN290" s="16" t="e">
        <f aca="false">SUMIF(MatchData[team],MatchData[[#this row],[team]],MatchData[sally port teleop crossings])+SUMIF(MatchData[team],MatchData[[#this row],[team]],MatchData[sally port scored crossings])</f>
        <v>#VALUE!</v>
      </c>
      <c r="CO290" s="16" t="e">
        <f aca="false">SUMIF(MatchData[team],MatchData[[#this row],[team]],MatchData[rock wall teleop crossings])+SUMIF(MatchData[team],MatchData[[#this row],[team]],MatchData[rock wall scored crossings])</f>
        <v>#VALUE!</v>
      </c>
      <c r="CP290" s="16" t="e">
        <f aca="false">SUMIF(MatchData[team],MatchData[[#this row],[team]],MatchData[rough terrain teleop crossings])+SUMIF(MatchData[team],MatchData[[#this row],[team]],MatchData[rough terrain scored crossings])</f>
        <v>#VALUE!</v>
      </c>
      <c r="CQ290" s="16" t="e">
        <f aca="false">SUMIF(MatchData[team],MatchData[[#this row],[team]],MatchData[low bar teleop crossings])+SUMIF(MatchData[team],MatchData[[#this row],[team]],MatchData[low bar scored crossings])</f>
        <v>#VALUE!</v>
      </c>
      <c r="CR290" s="16" t="e">
        <f aca="false">IFERROR(ROUND(MatchData[[#this row],[portcullis sum]]/MatchData[[#this row],[portcullis avail count]],2),0)</f>
        <v>#VALUE!</v>
      </c>
      <c r="CS290" s="16" t="e">
        <f aca="false">IFERROR(ROUND(MatchData[[#this row],[cheval sum]]/MatchData[[#this row],[cheval avail count]],2),0)</f>
        <v>#VALUE!</v>
      </c>
      <c r="CT290" s="16" t="e">
        <f aca="false">IFERROR(ROUND(MatchData[[#this row],[moat sum]]/MatchData[[#this row],[moat avail count]],2),0)</f>
        <v>#VALUE!</v>
      </c>
      <c r="CU290" s="16" t="e">
        <f aca="false">IFERROR(ROUND(MatchData[[#this row],[ramparts sum]]/MatchData[[#this row],[ramparts avail count]],2),0)</f>
        <v>#VALUE!</v>
      </c>
      <c r="CV290" s="16" t="e">
        <f aca="false">IFERROR(ROUND(MatchData[[#this row],[drawbridge sum]]/MatchData[[#this row],[drawbridge avail countigh6]],2),0)</f>
        <v>#VALUE!</v>
      </c>
      <c r="CW290" s="16" t="e">
        <f aca="false">IFERROR(ROUND(MatchData[[#this row],[sally port sum]]/MatchData[[#this row],[sally port avail count]],2),0)</f>
        <v>#VALUE!</v>
      </c>
      <c r="CX290" s="5" t="e">
        <f aca="false">IFERROR(ROUND(MatchData[[#this row],[rock wall sum]]/MatchData[[#this row],[rock wall avail count]],2),0)</f>
        <v>#VALUE!</v>
      </c>
      <c r="CY290" s="5" t="e">
        <f aca="false">IFERROR(ROUND(MatchData[[#this row],[rough terrain sum]]/MatchData[[#this row],[rough terrain avail count]],2),0)</f>
        <v>#VALUE!</v>
      </c>
      <c r="CZ290" s="5" t="e">
        <f aca="false">IFERROR(ROUND(MatchData[[#this row],[low bar sum]]/MatchData[[#this row],[low bar avail count]],2),0)</f>
        <v>#VALUE!</v>
      </c>
      <c r="DA290" s="16" t="e">
        <f aca="false">SUM(MatchData[[#this row],[cheval sum]:[low bar sum]])/MatchData[match count]</f>
        <v>#VALUE!</v>
      </c>
      <c r="DB290" s="16" t="n">
        <f aca="false">MAX(IF(C$2:C$74=C290,BP$2:BP$74))</f>
        <v>-1.79769313486232E+308</v>
      </c>
      <c r="DC290" s="16" t="e">
        <f aca="false">AVERAGEIF(MatchData[team],MatchData[[#this row],[team]],MatchData[total score])</f>
        <v>#VALUE!</v>
      </c>
      <c r="DD290" s="16" t="e">
        <f aca="false">ROUND(AVERAGEIF(MatchData[team],MatchData[team],MatchData[climb or challenge flag]),2)</f>
        <v>#VALUE!</v>
      </c>
    </row>
    <row r="291" customFormat="false" ht="14.5" hidden="false" customHeight="false" outlineLevel="0" collapsed="false">
      <c r="A291" s="20" t="s">
        <v>108</v>
      </c>
      <c r="B291" s="18" t="n">
        <v>49</v>
      </c>
      <c r="C291" s="15" t="n">
        <v>4051</v>
      </c>
      <c r="D291" s="5" t="s">
        <v>109</v>
      </c>
      <c r="E291" s="5" t="s">
        <v>127</v>
      </c>
      <c r="G291" s="16"/>
      <c r="I291" s="16"/>
      <c r="J291" s="5" t="n">
        <v>1</v>
      </c>
      <c r="K291" s="16"/>
      <c r="L291" s="5" t="n">
        <v>1</v>
      </c>
      <c r="M291" s="5" t="n">
        <v>1</v>
      </c>
      <c r="P291" s="5" t="n">
        <v>1</v>
      </c>
      <c r="Q291" s="5" t="n">
        <v>1</v>
      </c>
      <c r="S291" s="16"/>
      <c r="U291" s="16"/>
      <c r="V291" s="16"/>
      <c r="AD291" s="16"/>
      <c r="AE291" s="5"/>
      <c r="AF291" s="16"/>
      <c r="AG291" s="16"/>
      <c r="AH291" s="16"/>
      <c r="AJ291" s="16" t="n">
        <v>1</v>
      </c>
      <c r="AL291" s="16"/>
      <c r="AN291" s="16"/>
      <c r="AP291" s="16"/>
      <c r="AR291" s="16" t="n">
        <v>2</v>
      </c>
      <c r="AT291" s="16"/>
      <c r="AU291" s="16"/>
      <c r="AV291" s="16"/>
      <c r="AW291" s="16" t="n">
        <v>1</v>
      </c>
      <c r="AX291" s="16"/>
      <c r="AY291" s="16"/>
      <c r="AZ291" s="16"/>
      <c r="BA291" s="5" t="n">
        <v>1</v>
      </c>
      <c r="BB291" s="16" t="n">
        <v>1</v>
      </c>
      <c r="BC291" s="16" t="e">
        <f aca="false">MatchData[cheval scored crossings]*5</f>
        <v>#VALUE!</v>
      </c>
      <c r="BD291" s="16" t="e">
        <f aca="false">MatchData[moat scored crosings]*5</f>
        <v>#VALUE!</v>
      </c>
      <c r="BE291" s="16" t="e">
        <f aca="false">MatchData[ramparts scored crossings]*5</f>
        <v>#VALUE!</v>
      </c>
      <c r="BF291" s="16" t="e">
        <f aca="false">MatchData[drawbridge scored crossings]*5</f>
        <v>#VALUE!</v>
      </c>
      <c r="BG291" s="16" t="e">
        <f aca="false">MatchData[sally port scored crossings]*5</f>
        <v>#VALUE!</v>
      </c>
      <c r="BH291" s="16" t="e">
        <f aca="false">MatchData[rock wall scored crossings]*5</f>
        <v>#VALUE!</v>
      </c>
      <c r="BI291" s="16" t="e">
        <f aca="false">MatchData[rough terrain scored crossings]*5</f>
        <v>#VALUE!</v>
      </c>
      <c r="BJ291" s="16" t="e">
        <f aca="false">MatchData[low bar scored crossings]*5</f>
        <v>#VALUE!</v>
      </c>
      <c r="BK291" s="16" t="e">
        <f aca="false">SUM(MatchData[[#this row],[low bar teleop crossings]:[rough terrain scored crossings]])</f>
        <v>#VALUE!</v>
      </c>
      <c r="BL291" s="16" t="e">
        <f aca="false">IFERROR(IF(OR(MatchData[[#this row],[challenge flag]],MatchData[[#this row],[climb flag]]),1,0),0)</f>
        <v>#VALUE!</v>
      </c>
      <c r="BM291" s="16" t="e">
        <f aca="false">MatchData[auto high goals]*10+MatchData[teleop high goals]*5</f>
        <v>#VALUE!</v>
      </c>
      <c r="BN291" s="16" t="e">
        <f aca="false">MatchData[auto low goals]*5+MatchData[teleop low goals]*2</f>
        <v>#VALUE!</v>
      </c>
      <c r="BO291" s="16" t="e">
        <f aca="false">MatchData[high goal score]+MatchData[low goal score]</f>
        <v>#VALUE!</v>
      </c>
      <c r="BP291" s="16" t="e">
        <f aca="false">MatchData[teleop high goals]+MatchData[teleop low goals]</f>
        <v>#VALUE!</v>
      </c>
      <c r="BQ291" s="16" t="e">
        <f aca="false">MatchData[[#this row],[auto reach flag]]*2+SUM(MatchData[[#this row],[portcullis auto crossings]:[low bar auto crossings]])*10+MatchData[[#this row],[auto low goals]]*5+MatchData[auto high goals]*10</f>
        <v>#VALUE!</v>
      </c>
      <c r="BR291" s="16" t="e">
        <f aca="false">SUM(MatchData[[#this row],[cheval teleop crossing score]:[low bar teleop crossing score]])</f>
        <v>#VALUE!</v>
      </c>
      <c r="BS291" s="16" t="e">
        <f aca="false">SUMIF(MatchData[team],MatchData[[#this row],[team]],MatchData[total auto score])/MatchData[match count]</f>
        <v>#VALUE!</v>
      </c>
      <c r="BT291" s="16" t="e">
        <f aca="false">MatchData[challenge flag]*5</f>
        <v>#VALUE!</v>
      </c>
      <c r="BU291" s="16" t="e">
        <f aca="false">MatchData[climb flag]*15</f>
        <v>#VALUE!</v>
      </c>
      <c r="BV291" s="16" t="e">
        <f aca="false">SUM(MatchData[[#this row],[total goal score]],MatchData[[#this row],[crossing score]],MatchData[[#this row],[challenge score]],MatchData[[#this row],[climb score]],MatchData[[#this row],[total auto score]])</f>
        <v>#VALUE!</v>
      </c>
      <c r="BW291" s="16" t="e">
        <f aca="false">ROUND(SUMIF(MatchData[team],MatchData[[#this row],[team]],MatchData[teleop low goals])/COUNTIF(MatchData[team],MatchData[[#this row],[team]]),2)</f>
        <v>#VALUE!</v>
      </c>
      <c r="BX291" s="16" t="e">
        <f aca="false">ROUND(SUMIF(MatchData[team],MatchData[[#this row],[team]],MatchData[teleop high goals])/COUNTIF(MatchData[team],MatchData[[#this row],[team]]),2)</f>
        <v>#VALUE!</v>
      </c>
      <c r="BY291" s="16" t="e">
        <f aca="false">COUNTIF(MatchData[team],MatchData[[#this row],[team]])</f>
        <v>#VALUE!</v>
      </c>
      <c r="BZ291" s="16" t="e">
        <f aca="false">SUMIF(MatchData[team],MatchData[[#this row],[team]],MatchData[portcullis available])</f>
        <v>#VALUE!</v>
      </c>
      <c r="CA291" s="16" t="e">
        <f aca="false">SUMIF(MatchData[team],MatchData[[#this row],[team]],MatchData[cheval available])</f>
        <v>#VALUE!</v>
      </c>
      <c r="CB291" s="16" t="e">
        <f aca="false">SUMIF(MatchData[team],MatchData[[#this row],[team]],MatchData[moat available])</f>
        <v>#VALUE!</v>
      </c>
      <c r="CC291" s="16" t="e">
        <f aca="false">SUMIF(MatchData[team],MatchData[[#this row],[team]],MatchData[ramparts available])</f>
        <v>#VALUE!</v>
      </c>
      <c r="CD291" s="16" t="e">
        <f aca="false">SUMIF(MatchData[team],MatchData[[#this row],[team]],MatchData[drawbridge available])</f>
        <v>#VALUE!</v>
      </c>
      <c r="CE291" s="16" t="e">
        <f aca="false">SUMIF(MatchData[team],MatchData[[#this row],[team]],MatchData[sally port available])</f>
        <v>#VALUE!</v>
      </c>
      <c r="CF291" s="16" t="e">
        <f aca="false">SUMIF(MatchData[team],MatchData[[#this row],[team]],MatchData[rock wall available])</f>
        <v>#VALUE!</v>
      </c>
      <c r="CG291" s="16" t="e">
        <f aca="false">SUMIF(MatchData[team],MatchData[[#this row],[team]],MatchData[rough terrain available])</f>
        <v>#VALUE!</v>
      </c>
      <c r="CH291" s="16" t="e">
        <f aca="false">SUMIF(MatchData[team],MatchData[[#this row],[team]],MatchData[low bar available])</f>
        <v>#VALUE!</v>
      </c>
      <c r="CI291" s="16" t="e">
        <f aca="false">SUMIF(MatchData[team],MatchData[[#this row],[team]],MatchData[portcullis teleop crossings]:MatchData[portcullis scored crossings])</f>
        <v>#VALUE!</v>
      </c>
      <c r="CJ291" s="16" t="e">
        <f aca="false">SUMIF(MatchData[team],MatchData[[#this row],[team]],MatchData[cheval teleop crossings])+SUMIF(MatchData[team],MatchData[[#this row],[team]],MatchData[cheval scored crossings])</f>
        <v>#VALUE!</v>
      </c>
      <c r="CK291" s="16" t="e">
        <f aca="false">SUMIF(MatchData[team],MatchData[[#this row],[team]],MatchData[moat teleop crossings])+SUMIF(MatchData[team],MatchData[[#this row],[team]],MatchData[moat scored crosings])</f>
        <v>#VALUE!</v>
      </c>
      <c r="CL291" s="16" t="e">
        <f aca="false">SUMIF(MatchData[team],MatchData[[#this row],[team]],MatchData[ramparts teleop crossings])+SUMIF(MatchData[team],MatchData[[#this row],[team]],MatchData[ramparts scored crossings])</f>
        <v>#VALUE!</v>
      </c>
      <c r="CM291" s="16" t="e">
        <f aca="false">SUMIF(MatchData[team],MatchData[[#this row],[team]],MatchData[drawbridge teleop crossings])+SUMIF(MatchData[team],MatchData[[#this row],[team]],MatchData[drawbridge scored crossings])</f>
        <v>#VALUE!</v>
      </c>
      <c r="CN291" s="16" t="e">
        <f aca="false">SUMIF(MatchData[team],MatchData[[#this row],[team]],MatchData[sally port teleop crossings])+SUMIF(MatchData[team],MatchData[[#this row],[team]],MatchData[sally port scored crossings])</f>
        <v>#VALUE!</v>
      </c>
      <c r="CO291" s="16" t="e">
        <f aca="false">SUMIF(MatchData[team],MatchData[[#this row],[team]],MatchData[rock wall teleop crossings])+SUMIF(MatchData[team],MatchData[[#this row],[team]],MatchData[rock wall scored crossings])</f>
        <v>#VALUE!</v>
      </c>
      <c r="CP291" s="16" t="e">
        <f aca="false">SUMIF(MatchData[team],MatchData[[#this row],[team]],MatchData[rough terrain teleop crossings])+SUMIF(MatchData[team],MatchData[[#this row],[team]],MatchData[rough terrain scored crossings])</f>
        <v>#VALUE!</v>
      </c>
      <c r="CQ291" s="16" t="e">
        <f aca="false">SUMIF(MatchData[team],MatchData[[#this row],[team]],MatchData[low bar teleop crossings])+SUMIF(MatchData[team],MatchData[[#this row],[team]],MatchData[low bar scored crossings])</f>
        <v>#VALUE!</v>
      </c>
      <c r="CR291" s="16" t="e">
        <f aca="false">IFERROR(ROUND(MatchData[[#this row],[portcullis sum]]/MatchData[[#this row],[portcullis avail count]],2),0)</f>
        <v>#VALUE!</v>
      </c>
      <c r="CS291" s="16" t="e">
        <f aca="false">IFERROR(ROUND(MatchData[[#this row],[cheval sum]]/MatchData[[#this row],[cheval avail count]],2),0)</f>
        <v>#VALUE!</v>
      </c>
      <c r="CT291" s="16" t="e">
        <f aca="false">IFERROR(ROUND(MatchData[[#this row],[moat sum]]/MatchData[[#this row],[moat avail count]],2),0)</f>
        <v>#VALUE!</v>
      </c>
      <c r="CU291" s="16" t="e">
        <f aca="false">IFERROR(ROUND(MatchData[[#this row],[ramparts sum]]/MatchData[[#this row],[ramparts avail count]],2),0)</f>
        <v>#VALUE!</v>
      </c>
      <c r="CV291" s="16" t="e">
        <f aca="false">IFERROR(ROUND(MatchData[[#this row],[drawbridge sum]]/MatchData[[#this row],[drawbridge avail countigh6]],2),0)</f>
        <v>#VALUE!</v>
      </c>
      <c r="CW291" s="16" t="e">
        <f aca="false">IFERROR(ROUND(MatchData[[#this row],[sally port sum]]/MatchData[[#this row],[sally port avail count]],2),0)</f>
        <v>#VALUE!</v>
      </c>
      <c r="CX291" s="5" t="e">
        <f aca="false">IFERROR(ROUND(MatchData[[#this row],[rock wall sum]]/MatchData[[#this row],[rock wall avail count]],2),0)</f>
        <v>#VALUE!</v>
      </c>
      <c r="CY291" s="5" t="e">
        <f aca="false">IFERROR(ROUND(MatchData[[#this row],[rough terrain sum]]/MatchData[[#this row],[rough terrain avail count]],2),0)</f>
        <v>#VALUE!</v>
      </c>
      <c r="CZ291" s="5" t="e">
        <f aca="false">IFERROR(ROUND(MatchData[[#this row],[low bar sum]]/MatchData[[#this row],[low bar avail count]],2),0)</f>
        <v>#VALUE!</v>
      </c>
      <c r="DA291" s="16" t="e">
        <f aca="false">SUM(MatchData[[#this row],[cheval sum]:[low bar sum]])/MatchData[match count]</f>
        <v>#VALUE!</v>
      </c>
      <c r="DB291" s="16" t="n">
        <f aca="false">MAX(IF(C$2:C$74=C291,BP$2:BP$74))</f>
        <v>-1.79769313486232E+308</v>
      </c>
      <c r="DC291" s="16" t="e">
        <f aca="false">AVERAGEIF(MatchData[team],MatchData[[#this row],[team]],MatchData[total score])</f>
        <v>#VALUE!</v>
      </c>
      <c r="DD291" s="16" t="e">
        <f aca="false">ROUND(AVERAGEIF(MatchData[team],MatchData[team],MatchData[climb or challenge flag]),2)</f>
        <v>#VALUE!</v>
      </c>
    </row>
    <row r="292" customFormat="false" ht="14.5" hidden="false" customHeight="false" outlineLevel="0" collapsed="false">
      <c r="A292" s="20" t="s">
        <v>108</v>
      </c>
      <c r="B292" s="18" t="n">
        <v>49</v>
      </c>
      <c r="C292" s="15" t="n">
        <v>4488</v>
      </c>
      <c r="D292" s="5" t="s">
        <v>109</v>
      </c>
      <c r="E292" s="5" t="s">
        <v>153</v>
      </c>
      <c r="G292" s="16" t="n">
        <v>5</v>
      </c>
      <c r="I292" s="16"/>
      <c r="J292" s="5" t="n">
        <v>1</v>
      </c>
      <c r="K292" s="16"/>
      <c r="L292" s="5" t="n">
        <v>1</v>
      </c>
      <c r="M292" s="5" t="n">
        <v>1</v>
      </c>
      <c r="P292" s="5" t="n">
        <v>1</v>
      </c>
      <c r="Q292" s="5" t="n">
        <v>1</v>
      </c>
      <c r="S292" s="16"/>
      <c r="U292" s="16"/>
      <c r="V292" s="16"/>
      <c r="AB292" s="5" t="n">
        <v>1</v>
      </c>
      <c r="AC292" s="5" t="n">
        <v>1</v>
      </c>
      <c r="AD292" s="16" t="n">
        <v>1</v>
      </c>
      <c r="AE292" s="5"/>
      <c r="AF292" s="16"/>
      <c r="AG292" s="16"/>
      <c r="AH292" s="16" t="n">
        <v>1</v>
      </c>
      <c r="AJ292" s="16"/>
      <c r="AL292" s="16"/>
      <c r="AN292" s="16"/>
      <c r="AP292" s="16"/>
      <c r="AR292" s="16"/>
      <c r="AT292" s="16"/>
      <c r="AU292" s="16"/>
      <c r="AV292" s="16"/>
      <c r="AW292" s="16" t="n">
        <v>1</v>
      </c>
      <c r="AX292" s="16"/>
      <c r="AY292" s="16"/>
      <c r="AZ292" s="16"/>
      <c r="BA292" s="5" t="n">
        <v>1</v>
      </c>
      <c r="BB292" s="16" t="n">
        <v>1</v>
      </c>
      <c r="BC292" s="16" t="e">
        <f aca="false">MatchData[cheval scored crossings]*5</f>
        <v>#VALUE!</v>
      </c>
      <c r="BD292" s="16" t="e">
        <f aca="false">MatchData[moat scored crosings]*5</f>
        <v>#VALUE!</v>
      </c>
      <c r="BE292" s="16" t="e">
        <f aca="false">MatchData[ramparts scored crossings]*5</f>
        <v>#VALUE!</v>
      </c>
      <c r="BF292" s="16" t="e">
        <f aca="false">MatchData[drawbridge scored crossings]*5</f>
        <v>#VALUE!</v>
      </c>
      <c r="BG292" s="16" t="e">
        <f aca="false">MatchData[sally port scored crossings]*5</f>
        <v>#VALUE!</v>
      </c>
      <c r="BH292" s="16" t="e">
        <f aca="false">MatchData[rock wall scored crossings]*5</f>
        <v>#VALUE!</v>
      </c>
      <c r="BI292" s="16" t="e">
        <f aca="false">MatchData[rough terrain scored crossings]*5</f>
        <v>#VALUE!</v>
      </c>
      <c r="BJ292" s="16" t="e">
        <f aca="false">MatchData[low bar scored crossings]*5</f>
        <v>#VALUE!</v>
      </c>
      <c r="BK292" s="16" t="e">
        <f aca="false">SUM(MatchData[[#this row],[low bar teleop crossings]:[rough terrain scored crossings]])</f>
        <v>#VALUE!</v>
      </c>
      <c r="BL292" s="16" t="e">
        <f aca="false">IFERROR(IF(OR(MatchData[[#this row],[challenge flag]],MatchData[[#this row],[climb flag]]),1,0),0)</f>
        <v>#VALUE!</v>
      </c>
      <c r="BM292" s="16" t="e">
        <f aca="false">MatchData[auto high goals]*10+MatchData[teleop high goals]*5</f>
        <v>#VALUE!</v>
      </c>
      <c r="BN292" s="16" t="e">
        <f aca="false">MatchData[auto low goals]*5+MatchData[teleop low goals]*2</f>
        <v>#VALUE!</v>
      </c>
      <c r="BO292" s="16" t="e">
        <f aca="false">MatchData[high goal score]+MatchData[low goal score]</f>
        <v>#VALUE!</v>
      </c>
      <c r="BP292" s="16" t="e">
        <f aca="false">MatchData[teleop high goals]+MatchData[teleop low goals]</f>
        <v>#VALUE!</v>
      </c>
      <c r="BQ292" s="16" t="e">
        <f aca="false">MatchData[[#this row],[auto reach flag]]*2+SUM(MatchData[[#this row],[portcullis auto crossings]:[low bar auto crossings]])*10+MatchData[[#this row],[auto low goals]]*5+MatchData[auto high goals]*10</f>
        <v>#VALUE!</v>
      </c>
      <c r="BR292" s="16" t="e">
        <f aca="false">SUM(MatchData[[#this row],[cheval teleop crossing score]:[low bar teleop crossing score]])</f>
        <v>#VALUE!</v>
      </c>
      <c r="BS292" s="16" t="e">
        <f aca="false">SUMIF(MatchData[team],MatchData[[#this row],[team]],MatchData[total auto score])/MatchData[match count]</f>
        <v>#VALUE!</v>
      </c>
      <c r="BT292" s="16" t="e">
        <f aca="false">MatchData[challenge flag]*5</f>
        <v>#VALUE!</v>
      </c>
      <c r="BU292" s="16" t="e">
        <f aca="false">MatchData[climb flag]*15</f>
        <v>#VALUE!</v>
      </c>
      <c r="BV292" s="16" t="e">
        <f aca="false">SUM(MatchData[[#this row],[total goal score]],MatchData[[#this row],[crossing score]],MatchData[[#this row],[challenge score]],MatchData[[#this row],[climb score]],MatchData[[#this row],[total auto score]])</f>
        <v>#VALUE!</v>
      </c>
      <c r="BW292" s="16" t="e">
        <f aca="false">ROUND(SUMIF(MatchData[team],MatchData[[#this row],[team]],MatchData[teleop low goals])/COUNTIF(MatchData[team],MatchData[[#this row],[team]]),2)</f>
        <v>#VALUE!</v>
      </c>
      <c r="BX292" s="16" t="e">
        <f aca="false">ROUND(SUMIF(MatchData[team],MatchData[[#this row],[team]],MatchData[teleop high goals])/COUNTIF(MatchData[team],MatchData[[#this row],[team]]),2)</f>
        <v>#VALUE!</v>
      </c>
      <c r="BY292" s="16" t="e">
        <f aca="false">COUNTIF(MatchData[team],MatchData[[#this row],[team]])</f>
        <v>#VALUE!</v>
      </c>
      <c r="BZ292" s="16" t="e">
        <f aca="false">SUMIF(MatchData[team],MatchData[[#this row],[team]],MatchData[portcullis available])</f>
        <v>#VALUE!</v>
      </c>
      <c r="CA292" s="16" t="e">
        <f aca="false">SUMIF(MatchData[team],MatchData[[#this row],[team]],MatchData[cheval available])</f>
        <v>#VALUE!</v>
      </c>
      <c r="CB292" s="16" t="e">
        <f aca="false">SUMIF(MatchData[team],MatchData[[#this row],[team]],MatchData[moat available])</f>
        <v>#VALUE!</v>
      </c>
      <c r="CC292" s="16" t="e">
        <f aca="false">SUMIF(MatchData[team],MatchData[[#this row],[team]],MatchData[ramparts available])</f>
        <v>#VALUE!</v>
      </c>
      <c r="CD292" s="16" t="e">
        <f aca="false">SUMIF(MatchData[team],MatchData[[#this row],[team]],MatchData[drawbridge available])</f>
        <v>#VALUE!</v>
      </c>
      <c r="CE292" s="16" t="e">
        <f aca="false">SUMIF(MatchData[team],MatchData[[#this row],[team]],MatchData[sally port available])</f>
        <v>#VALUE!</v>
      </c>
      <c r="CF292" s="16" t="e">
        <f aca="false">SUMIF(MatchData[team],MatchData[[#this row],[team]],MatchData[rock wall available])</f>
        <v>#VALUE!</v>
      </c>
      <c r="CG292" s="16" t="e">
        <f aca="false">SUMIF(MatchData[team],MatchData[[#this row],[team]],MatchData[rough terrain available])</f>
        <v>#VALUE!</v>
      </c>
      <c r="CH292" s="16" t="e">
        <f aca="false">SUMIF(MatchData[team],MatchData[[#this row],[team]],MatchData[low bar available])</f>
        <v>#VALUE!</v>
      </c>
      <c r="CI292" s="16" t="e">
        <f aca="false">SUMIF(MatchData[team],MatchData[[#this row],[team]],MatchData[portcullis teleop crossings]:MatchData[portcullis scored crossings])</f>
        <v>#VALUE!</v>
      </c>
      <c r="CJ292" s="16" t="e">
        <f aca="false">SUMIF(MatchData[team],MatchData[[#this row],[team]],MatchData[cheval teleop crossings])+SUMIF(MatchData[team],MatchData[[#this row],[team]],MatchData[cheval scored crossings])</f>
        <v>#VALUE!</v>
      </c>
      <c r="CK292" s="16" t="e">
        <f aca="false">SUMIF(MatchData[team],MatchData[[#this row],[team]],MatchData[moat teleop crossings])+SUMIF(MatchData[team],MatchData[[#this row],[team]],MatchData[moat scored crosings])</f>
        <v>#VALUE!</v>
      </c>
      <c r="CL292" s="16" t="e">
        <f aca="false">SUMIF(MatchData[team],MatchData[[#this row],[team]],MatchData[ramparts teleop crossings])+SUMIF(MatchData[team],MatchData[[#this row],[team]],MatchData[ramparts scored crossings])</f>
        <v>#VALUE!</v>
      </c>
      <c r="CM292" s="16" t="e">
        <f aca="false">SUMIF(MatchData[team],MatchData[[#this row],[team]],MatchData[drawbridge teleop crossings])+SUMIF(MatchData[team],MatchData[[#this row],[team]],MatchData[drawbridge scored crossings])</f>
        <v>#VALUE!</v>
      </c>
      <c r="CN292" s="16" t="e">
        <f aca="false">SUMIF(MatchData[team],MatchData[[#this row],[team]],MatchData[sally port teleop crossings])+SUMIF(MatchData[team],MatchData[[#this row],[team]],MatchData[sally port scored crossings])</f>
        <v>#VALUE!</v>
      </c>
      <c r="CO292" s="16" t="e">
        <f aca="false">SUMIF(MatchData[team],MatchData[[#this row],[team]],MatchData[rock wall teleop crossings])+SUMIF(MatchData[team],MatchData[[#this row],[team]],MatchData[rock wall scored crossings])</f>
        <v>#VALUE!</v>
      </c>
      <c r="CP292" s="16" t="e">
        <f aca="false">SUMIF(MatchData[team],MatchData[[#this row],[team]],MatchData[rough terrain teleop crossings])+SUMIF(MatchData[team],MatchData[[#this row],[team]],MatchData[rough terrain scored crossings])</f>
        <v>#VALUE!</v>
      </c>
      <c r="CQ292" s="16" t="e">
        <f aca="false">SUMIF(MatchData[team],MatchData[[#this row],[team]],MatchData[low bar teleop crossings])+SUMIF(MatchData[team],MatchData[[#this row],[team]],MatchData[low bar scored crossings])</f>
        <v>#VALUE!</v>
      </c>
      <c r="CR292" s="16" t="e">
        <f aca="false">IFERROR(ROUND(MatchData[[#this row],[portcullis sum]]/MatchData[[#this row],[portcullis avail count]],2),0)</f>
        <v>#VALUE!</v>
      </c>
      <c r="CS292" s="16" t="e">
        <f aca="false">IFERROR(ROUND(MatchData[[#this row],[cheval sum]]/MatchData[[#this row],[cheval avail count]],2),0)</f>
        <v>#VALUE!</v>
      </c>
      <c r="CT292" s="16" t="e">
        <f aca="false">IFERROR(ROUND(MatchData[[#this row],[moat sum]]/MatchData[[#this row],[moat avail count]],2),0)</f>
        <v>#VALUE!</v>
      </c>
      <c r="CU292" s="16" t="e">
        <f aca="false">IFERROR(ROUND(MatchData[[#this row],[ramparts sum]]/MatchData[[#this row],[ramparts avail count]],2),0)</f>
        <v>#VALUE!</v>
      </c>
      <c r="CV292" s="16" t="e">
        <f aca="false">IFERROR(ROUND(MatchData[[#this row],[drawbridge sum]]/MatchData[[#this row],[drawbridge avail countigh6]],2),0)</f>
        <v>#VALUE!</v>
      </c>
      <c r="CW292" s="16" t="e">
        <f aca="false">IFERROR(ROUND(MatchData[[#this row],[sally port sum]]/MatchData[[#this row],[sally port avail count]],2),0)</f>
        <v>#VALUE!</v>
      </c>
      <c r="CX292" s="5" t="e">
        <f aca="false">IFERROR(ROUND(MatchData[[#this row],[rock wall sum]]/MatchData[[#this row],[rock wall avail count]],2),0)</f>
        <v>#VALUE!</v>
      </c>
      <c r="CY292" s="5" t="e">
        <f aca="false">IFERROR(ROUND(MatchData[[#this row],[rough terrain sum]]/MatchData[[#this row],[rough terrain avail count]],2),0)</f>
        <v>#VALUE!</v>
      </c>
      <c r="CZ292" s="5" t="e">
        <f aca="false">IFERROR(ROUND(MatchData[[#this row],[low bar sum]]/MatchData[[#this row],[low bar avail count]],2),0)</f>
        <v>#VALUE!</v>
      </c>
      <c r="DA292" s="16" t="e">
        <f aca="false">SUM(MatchData[[#this row],[cheval sum]:[low bar sum]])/MatchData[match count]</f>
        <v>#VALUE!</v>
      </c>
      <c r="DB292" s="16" t="n">
        <f aca="false">MAX(IF(C$2:C$74=C292,BP$2:BP$74))</f>
        <v>-1.79769313486232E+308</v>
      </c>
      <c r="DC292" s="16" t="e">
        <f aca="false">AVERAGEIF(MatchData[team],MatchData[[#this row],[team]],MatchData[total score])</f>
        <v>#VALUE!</v>
      </c>
      <c r="DD292" s="16" t="e">
        <f aca="false">ROUND(AVERAGEIF(MatchData[team],MatchData[team],MatchData[climb or challenge flag]),2)</f>
        <v>#VALUE!</v>
      </c>
    </row>
    <row r="293" customFormat="false" ht="14.5" hidden="false" customHeight="false" outlineLevel="0" collapsed="false">
      <c r="A293" s="20" t="s">
        <v>108</v>
      </c>
      <c r="B293" s="14" t="n">
        <v>49</v>
      </c>
      <c r="C293" s="15" t="n">
        <v>2635</v>
      </c>
      <c r="D293" s="5" t="s">
        <v>113</v>
      </c>
      <c r="E293" s="5" t="s">
        <v>140</v>
      </c>
      <c r="G293" s="16"/>
      <c r="I293" s="16"/>
      <c r="J293" s="5" t="n">
        <v>1</v>
      </c>
      <c r="K293" s="16"/>
      <c r="L293" s="5" t="n">
        <v>1</v>
      </c>
      <c r="M293" s="5" t="n">
        <v>1</v>
      </c>
      <c r="P293" s="5" t="n">
        <v>1</v>
      </c>
      <c r="Q293" s="5" t="n">
        <v>1</v>
      </c>
      <c r="S293" s="16"/>
      <c r="U293" s="16"/>
      <c r="V293" s="16"/>
      <c r="AC293" s="5" t="n">
        <v>1</v>
      </c>
      <c r="AD293" s="16" t="n">
        <v>2</v>
      </c>
      <c r="AE293" s="5"/>
      <c r="AF293" s="16"/>
      <c r="AG293" s="16"/>
      <c r="AH293" s="16"/>
      <c r="AJ293" s="16"/>
      <c r="AL293" s="16"/>
      <c r="AN293" s="16"/>
      <c r="AP293" s="16"/>
      <c r="AR293" s="16" t="n">
        <v>1</v>
      </c>
      <c r="AT293" s="16"/>
      <c r="AU293" s="16"/>
      <c r="AV293" s="16"/>
      <c r="AW293" s="16" t="n">
        <v>1</v>
      </c>
      <c r="AX293" s="16"/>
      <c r="AY293" s="16"/>
      <c r="AZ293" s="16"/>
      <c r="BB293" s="16" t="n">
        <v>1</v>
      </c>
      <c r="BC293" s="16" t="e">
        <f aca="false">MatchData[cheval scored crossings]*5</f>
        <v>#VALUE!</v>
      </c>
      <c r="BD293" s="16" t="e">
        <f aca="false">MatchData[moat scored crosings]*5</f>
        <v>#VALUE!</v>
      </c>
      <c r="BE293" s="16" t="e">
        <f aca="false">MatchData[ramparts scored crossings]*5</f>
        <v>#VALUE!</v>
      </c>
      <c r="BF293" s="16" t="e">
        <f aca="false">MatchData[drawbridge scored crossings]*5</f>
        <v>#VALUE!</v>
      </c>
      <c r="BG293" s="16" t="e">
        <f aca="false">MatchData[sally port scored crossings]*5</f>
        <v>#VALUE!</v>
      </c>
      <c r="BH293" s="16" t="e">
        <f aca="false">MatchData[rock wall scored crossings]*5</f>
        <v>#VALUE!</v>
      </c>
      <c r="BI293" s="16" t="e">
        <f aca="false">MatchData[rough terrain scored crossings]*5</f>
        <v>#VALUE!</v>
      </c>
      <c r="BJ293" s="16" t="e">
        <f aca="false">MatchData[low bar scored crossings]*5</f>
        <v>#VALUE!</v>
      </c>
      <c r="BK293" s="16" t="e">
        <f aca="false">SUM(MatchData[[#this row],[low bar teleop crossings]:[rough terrain scored crossings]])</f>
        <v>#VALUE!</v>
      </c>
      <c r="BL293" s="16" t="e">
        <f aca="false">IFERROR(IF(OR(MatchData[[#this row],[challenge flag]],MatchData[[#this row],[climb flag]]),1,0),0)</f>
        <v>#VALUE!</v>
      </c>
      <c r="BM293" s="16" t="e">
        <f aca="false">MatchData[auto high goals]*10+MatchData[teleop high goals]*5</f>
        <v>#VALUE!</v>
      </c>
      <c r="BN293" s="16" t="e">
        <f aca="false">MatchData[auto low goals]*5+MatchData[teleop low goals]*2</f>
        <v>#VALUE!</v>
      </c>
      <c r="BO293" s="16" t="e">
        <f aca="false">MatchData[high goal score]+MatchData[low goal score]</f>
        <v>#VALUE!</v>
      </c>
      <c r="BP293" s="16" t="e">
        <f aca="false">MatchData[teleop high goals]+MatchData[teleop low goals]</f>
        <v>#VALUE!</v>
      </c>
      <c r="BQ293" s="16" t="e">
        <f aca="false">MatchData[[#this row],[auto reach flag]]*2+SUM(MatchData[[#this row],[portcullis auto crossings]:[low bar auto crossings]])*10+MatchData[[#this row],[auto low goals]]*5+MatchData[auto high goals]*10</f>
        <v>#VALUE!</v>
      </c>
      <c r="BR293" s="16" t="e">
        <f aca="false">SUM(MatchData[[#this row],[cheval teleop crossing score]:[low bar teleop crossing score]])</f>
        <v>#VALUE!</v>
      </c>
      <c r="BS293" s="16" t="e">
        <f aca="false">SUMIF(MatchData[team],MatchData[[#this row],[team]],MatchData[total auto score])/MatchData[match count]</f>
        <v>#VALUE!</v>
      </c>
      <c r="BT293" s="16" t="e">
        <f aca="false">MatchData[challenge flag]*5</f>
        <v>#VALUE!</v>
      </c>
      <c r="BU293" s="16" t="e">
        <f aca="false">MatchData[climb flag]*15</f>
        <v>#VALUE!</v>
      </c>
      <c r="BV293" s="16" t="e">
        <f aca="false">SUM(MatchData[[#this row],[total goal score]],MatchData[[#this row],[crossing score]],MatchData[[#this row],[challenge score]],MatchData[[#this row],[climb score]],MatchData[[#this row],[total auto score]])</f>
        <v>#VALUE!</v>
      </c>
      <c r="BW293" s="16" t="e">
        <f aca="false">ROUND(SUMIF(MatchData[team],MatchData[[#this row],[team]],MatchData[teleop low goals])/COUNTIF(MatchData[team],MatchData[[#this row],[team]]),2)</f>
        <v>#VALUE!</v>
      </c>
      <c r="BX293" s="16" t="e">
        <f aca="false">ROUND(SUMIF(MatchData[team],MatchData[[#this row],[team]],MatchData[teleop high goals])/COUNTIF(MatchData[team],MatchData[[#this row],[team]]),2)</f>
        <v>#VALUE!</v>
      </c>
      <c r="BY293" s="16" t="e">
        <f aca="false">COUNTIF(MatchData[team],MatchData[[#this row],[team]])</f>
        <v>#VALUE!</v>
      </c>
      <c r="BZ293" s="16" t="e">
        <f aca="false">SUMIF(MatchData[team],MatchData[[#this row],[team]],MatchData[portcullis available])</f>
        <v>#VALUE!</v>
      </c>
      <c r="CA293" s="16" t="e">
        <f aca="false">SUMIF(MatchData[team],MatchData[[#this row],[team]],MatchData[cheval available])</f>
        <v>#VALUE!</v>
      </c>
      <c r="CB293" s="16" t="e">
        <f aca="false">SUMIF(MatchData[team],MatchData[[#this row],[team]],MatchData[moat available])</f>
        <v>#VALUE!</v>
      </c>
      <c r="CC293" s="16" t="e">
        <f aca="false">SUMIF(MatchData[team],MatchData[[#this row],[team]],MatchData[ramparts available])</f>
        <v>#VALUE!</v>
      </c>
      <c r="CD293" s="16" t="e">
        <f aca="false">SUMIF(MatchData[team],MatchData[[#this row],[team]],MatchData[drawbridge available])</f>
        <v>#VALUE!</v>
      </c>
      <c r="CE293" s="16" t="e">
        <f aca="false">SUMIF(MatchData[team],MatchData[[#this row],[team]],MatchData[sally port available])</f>
        <v>#VALUE!</v>
      </c>
      <c r="CF293" s="16" t="e">
        <f aca="false">SUMIF(MatchData[team],MatchData[[#this row],[team]],MatchData[rock wall available])</f>
        <v>#VALUE!</v>
      </c>
      <c r="CG293" s="16" t="e">
        <f aca="false">SUMIF(MatchData[team],MatchData[[#this row],[team]],MatchData[rough terrain available])</f>
        <v>#VALUE!</v>
      </c>
      <c r="CH293" s="16" t="e">
        <f aca="false">SUMIF(MatchData[team],MatchData[[#this row],[team]],MatchData[low bar available])</f>
        <v>#VALUE!</v>
      </c>
      <c r="CI293" s="16" t="e">
        <f aca="false">SUMIF(MatchData[team],MatchData[[#this row],[team]],MatchData[portcullis teleop crossings]:MatchData[portcullis scored crossings])</f>
        <v>#VALUE!</v>
      </c>
      <c r="CJ293" s="16" t="e">
        <f aca="false">SUMIF(MatchData[team],MatchData[[#this row],[team]],MatchData[cheval teleop crossings])+SUMIF(MatchData[team],MatchData[[#this row],[team]],MatchData[cheval scored crossings])</f>
        <v>#VALUE!</v>
      </c>
      <c r="CK293" s="16" t="e">
        <f aca="false">SUMIF(MatchData[team],MatchData[[#this row],[team]],MatchData[moat teleop crossings])+SUMIF(MatchData[team],MatchData[[#this row],[team]],MatchData[moat scored crosings])</f>
        <v>#VALUE!</v>
      </c>
      <c r="CL293" s="16" t="e">
        <f aca="false">SUMIF(MatchData[team],MatchData[[#this row],[team]],MatchData[ramparts teleop crossings])+SUMIF(MatchData[team],MatchData[[#this row],[team]],MatchData[ramparts scored crossings])</f>
        <v>#VALUE!</v>
      </c>
      <c r="CM293" s="16" t="e">
        <f aca="false">SUMIF(MatchData[team],MatchData[[#this row],[team]],MatchData[drawbridge teleop crossings])+SUMIF(MatchData[team],MatchData[[#this row],[team]],MatchData[drawbridge scored crossings])</f>
        <v>#VALUE!</v>
      </c>
      <c r="CN293" s="16" t="e">
        <f aca="false">SUMIF(MatchData[team],MatchData[[#this row],[team]],MatchData[sally port teleop crossings])+SUMIF(MatchData[team],MatchData[[#this row],[team]],MatchData[sally port scored crossings])</f>
        <v>#VALUE!</v>
      </c>
      <c r="CO293" s="16" t="e">
        <f aca="false">SUMIF(MatchData[team],MatchData[[#this row],[team]],MatchData[rock wall teleop crossings])+SUMIF(MatchData[team],MatchData[[#this row],[team]],MatchData[rock wall scored crossings])</f>
        <v>#VALUE!</v>
      </c>
      <c r="CP293" s="16" t="e">
        <f aca="false">SUMIF(MatchData[team],MatchData[[#this row],[team]],MatchData[rough terrain teleop crossings])+SUMIF(MatchData[team],MatchData[[#this row],[team]],MatchData[rough terrain scored crossings])</f>
        <v>#VALUE!</v>
      </c>
      <c r="CQ293" s="16" t="e">
        <f aca="false">SUMIF(MatchData[team],MatchData[[#this row],[team]],MatchData[low bar teleop crossings])+SUMIF(MatchData[team],MatchData[[#this row],[team]],MatchData[low bar scored crossings])</f>
        <v>#VALUE!</v>
      </c>
      <c r="CR293" s="16" t="e">
        <f aca="false">IFERROR(ROUND(MatchData[[#this row],[portcullis sum]]/MatchData[[#this row],[portcullis avail count]],2),0)</f>
        <v>#VALUE!</v>
      </c>
      <c r="CS293" s="16" t="e">
        <f aca="false">IFERROR(ROUND(MatchData[[#this row],[cheval sum]]/MatchData[[#this row],[cheval avail count]],2),0)</f>
        <v>#VALUE!</v>
      </c>
      <c r="CT293" s="16" t="e">
        <f aca="false">IFERROR(ROUND(MatchData[[#this row],[moat sum]]/MatchData[[#this row],[moat avail count]],2),0)</f>
        <v>#VALUE!</v>
      </c>
      <c r="CU293" s="16" t="e">
        <f aca="false">IFERROR(ROUND(MatchData[[#this row],[ramparts sum]]/MatchData[[#this row],[ramparts avail count]],2),0)</f>
        <v>#VALUE!</v>
      </c>
      <c r="CV293" s="16" t="e">
        <f aca="false">IFERROR(ROUND(MatchData[[#this row],[drawbridge sum]]/MatchData[[#this row],[drawbridge avail countigh6]],2),0)</f>
        <v>#VALUE!</v>
      </c>
      <c r="CW293" s="16" t="e">
        <f aca="false">IFERROR(ROUND(MatchData[[#this row],[sally port sum]]/MatchData[[#this row],[sally port avail count]],2),0)</f>
        <v>#VALUE!</v>
      </c>
      <c r="CX293" s="5" t="e">
        <f aca="false">IFERROR(ROUND(MatchData[[#this row],[rock wall sum]]/MatchData[[#this row],[rock wall avail count]],2),0)</f>
        <v>#VALUE!</v>
      </c>
      <c r="CY293" s="5" t="e">
        <f aca="false">IFERROR(ROUND(MatchData[[#this row],[rough terrain sum]]/MatchData[[#this row],[rough terrain avail count]],2),0)</f>
        <v>#VALUE!</v>
      </c>
      <c r="CZ293" s="5" t="e">
        <f aca="false">IFERROR(ROUND(MatchData[[#this row],[low bar sum]]/MatchData[[#this row],[low bar avail count]],2),0)</f>
        <v>#VALUE!</v>
      </c>
      <c r="DA293" s="16" t="e">
        <f aca="false">SUM(MatchData[[#this row],[cheval sum]:[low bar sum]])/MatchData[match count]</f>
        <v>#VALUE!</v>
      </c>
      <c r="DB293" s="16" t="n">
        <f aca="false">MAX(IF(C$2:C$74=C293,BP$2:BP$74))</f>
        <v>-1.79769313486232E+308</v>
      </c>
      <c r="DC293" s="16" t="e">
        <f aca="false">AVERAGEIF(MatchData[team],MatchData[[#this row],[team]],MatchData[total score])</f>
        <v>#VALUE!</v>
      </c>
      <c r="DD293" s="16" t="e">
        <f aca="false">ROUND(AVERAGEIF(MatchData[team],MatchData[team],MatchData[climb or challenge flag]),2)</f>
        <v>#VALUE!</v>
      </c>
    </row>
    <row r="294" customFormat="false" ht="14.5" hidden="false" customHeight="false" outlineLevel="0" collapsed="false">
      <c r="A294" s="20" t="s">
        <v>108</v>
      </c>
      <c r="B294" s="18" t="n">
        <v>49</v>
      </c>
      <c r="C294" s="15" t="n">
        <v>4110</v>
      </c>
      <c r="D294" s="5" t="s">
        <v>113</v>
      </c>
      <c r="E294" s="5" t="s">
        <v>135</v>
      </c>
      <c r="G294" s="16"/>
      <c r="I294" s="16"/>
      <c r="J294" s="5" t="n">
        <v>1</v>
      </c>
      <c r="K294" s="16"/>
      <c r="L294" s="5" t="n">
        <v>1</v>
      </c>
      <c r="M294" s="5" t="n">
        <v>1</v>
      </c>
      <c r="P294" s="5" t="n">
        <v>1</v>
      </c>
      <c r="Q294" s="5" t="n">
        <v>1</v>
      </c>
      <c r="S294" s="16"/>
      <c r="U294" s="16"/>
      <c r="V294" s="16"/>
      <c r="AD294" s="16"/>
      <c r="AE294" s="5"/>
      <c r="AF294" s="16"/>
      <c r="AG294" s="16"/>
      <c r="AH294" s="16" t="n">
        <v>2</v>
      </c>
      <c r="AJ294" s="16" t="n">
        <v>1</v>
      </c>
      <c r="AL294" s="16"/>
      <c r="AN294" s="16"/>
      <c r="AP294" s="16"/>
      <c r="AR294" s="16" t="n">
        <v>1</v>
      </c>
      <c r="AT294" s="16"/>
      <c r="AU294" s="16"/>
      <c r="AV294" s="16"/>
      <c r="AW294" s="16" t="n">
        <v>1</v>
      </c>
      <c r="AX294" s="16"/>
      <c r="AY294" s="16"/>
      <c r="AZ294" s="16"/>
      <c r="BB294" s="16" t="n">
        <v>1</v>
      </c>
      <c r="BC294" s="16" t="e">
        <f aca="false">MatchData[cheval scored crossings]*5</f>
        <v>#VALUE!</v>
      </c>
      <c r="BD294" s="16" t="e">
        <f aca="false">MatchData[moat scored crosings]*5</f>
        <v>#VALUE!</v>
      </c>
      <c r="BE294" s="16" t="e">
        <f aca="false">MatchData[ramparts scored crossings]*5</f>
        <v>#VALUE!</v>
      </c>
      <c r="BF294" s="16" t="e">
        <f aca="false">MatchData[drawbridge scored crossings]*5</f>
        <v>#VALUE!</v>
      </c>
      <c r="BG294" s="16" t="e">
        <f aca="false">MatchData[sally port scored crossings]*5</f>
        <v>#VALUE!</v>
      </c>
      <c r="BH294" s="16" t="e">
        <f aca="false">MatchData[rock wall scored crossings]*5</f>
        <v>#VALUE!</v>
      </c>
      <c r="BI294" s="16" t="e">
        <f aca="false">MatchData[rough terrain scored crossings]*5</f>
        <v>#VALUE!</v>
      </c>
      <c r="BJ294" s="16" t="e">
        <f aca="false">MatchData[low bar scored crossings]*5</f>
        <v>#VALUE!</v>
      </c>
      <c r="BK294" s="16" t="e">
        <f aca="false">SUM(MatchData[[#this row],[low bar teleop crossings]:[rough terrain scored crossings]])</f>
        <v>#VALUE!</v>
      </c>
      <c r="BL294" s="16" t="e">
        <f aca="false">IFERROR(IF(OR(MatchData[[#this row],[challenge flag]],MatchData[[#this row],[climb flag]]),1,0),0)</f>
        <v>#VALUE!</v>
      </c>
      <c r="BM294" s="16" t="e">
        <f aca="false">MatchData[auto high goals]*10+MatchData[teleop high goals]*5</f>
        <v>#VALUE!</v>
      </c>
      <c r="BN294" s="16" t="e">
        <f aca="false">MatchData[auto low goals]*5+MatchData[teleop low goals]*2</f>
        <v>#VALUE!</v>
      </c>
      <c r="BO294" s="16" t="e">
        <f aca="false">MatchData[high goal score]+MatchData[low goal score]</f>
        <v>#VALUE!</v>
      </c>
      <c r="BP294" s="16" t="e">
        <f aca="false">MatchData[teleop high goals]+MatchData[teleop low goals]</f>
        <v>#VALUE!</v>
      </c>
      <c r="BQ294" s="16" t="e">
        <f aca="false">MatchData[[#this row],[auto reach flag]]*2+SUM(MatchData[[#this row],[portcullis auto crossings]:[low bar auto crossings]])*10+MatchData[[#this row],[auto low goals]]*5+MatchData[auto high goals]*10</f>
        <v>#VALUE!</v>
      </c>
      <c r="BR294" s="16" t="e">
        <f aca="false">SUM(MatchData[[#this row],[cheval teleop crossing score]:[low bar teleop crossing score]])</f>
        <v>#VALUE!</v>
      </c>
      <c r="BS294" s="16" t="e">
        <f aca="false">SUMIF(MatchData[team],MatchData[[#this row],[team]],MatchData[total auto score])/MatchData[match count]</f>
        <v>#VALUE!</v>
      </c>
      <c r="BT294" s="16" t="e">
        <f aca="false">MatchData[challenge flag]*5</f>
        <v>#VALUE!</v>
      </c>
      <c r="BU294" s="16" t="e">
        <f aca="false">MatchData[climb flag]*15</f>
        <v>#VALUE!</v>
      </c>
      <c r="BV294" s="16" t="e">
        <f aca="false">SUM(MatchData[[#this row],[total goal score]],MatchData[[#this row],[crossing score]],MatchData[[#this row],[challenge score]],MatchData[[#this row],[climb score]],MatchData[[#this row],[total auto score]])</f>
        <v>#VALUE!</v>
      </c>
      <c r="BW294" s="16" t="e">
        <f aca="false">ROUND(SUMIF(MatchData[team],MatchData[[#this row],[team]],MatchData[teleop low goals])/COUNTIF(MatchData[team],MatchData[[#this row],[team]]),2)</f>
        <v>#VALUE!</v>
      </c>
      <c r="BX294" s="16" t="e">
        <f aca="false">ROUND(SUMIF(MatchData[team],MatchData[[#this row],[team]],MatchData[teleop high goals])/COUNTIF(MatchData[team],MatchData[[#this row],[team]]),2)</f>
        <v>#VALUE!</v>
      </c>
      <c r="BY294" s="16" t="e">
        <f aca="false">COUNTIF(MatchData[team],MatchData[[#this row],[team]])</f>
        <v>#VALUE!</v>
      </c>
      <c r="BZ294" s="16" t="e">
        <f aca="false">SUMIF(MatchData[team],MatchData[[#this row],[team]],MatchData[portcullis available])</f>
        <v>#VALUE!</v>
      </c>
      <c r="CA294" s="16" t="e">
        <f aca="false">SUMIF(MatchData[team],MatchData[[#this row],[team]],MatchData[cheval available])</f>
        <v>#VALUE!</v>
      </c>
      <c r="CB294" s="16" t="e">
        <f aca="false">SUMIF(MatchData[team],MatchData[[#this row],[team]],MatchData[moat available])</f>
        <v>#VALUE!</v>
      </c>
      <c r="CC294" s="16" t="e">
        <f aca="false">SUMIF(MatchData[team],MatchData[[#this row],[team]],MatchData[ramparts available])</f>
        <v>#VALUE!</v>
      </c>
      <c r="CD294" s="16" t="e">
        <f aca="false">SUMIF(MatchData[team],MatchData[[#this row],[team]],MatchData[drawbridge available])</f>
        <v>#VALUE!</v>
      </c>
      <c r="CE294" s="16" t="e">
        <f aca="false">SUMIF(MatchData[team],MatchData[[#this row],[team]],MatchData[sally port available])</f>
        <v>#VALUE!</v>
      </c>
      <c r="CF294" s="16" t="e">
        <f aca="false">SUMIF(MatchData[team],MatchData[[#this row],[team]],MatchData[rock wall available])</f>
        <v>#VALUE!</v>
      </c>
      <c r="CG294" s="16" t="e">
        <f aca="false">SUMIF(MatchData[team],MatchData[[#this row],[team]],MatchData[rough terrain available])</f>
        <v>#VALUE!</v>
      </c>
      <c r="CH294" s="16" t="e">
        <f aca="false">SUMIF(MatchData[team],MatchData[[#this row],[team]],MatchData[low bar available])</f>
        <v>#VALUE!</v>
      </c>
      <c r="CI294" s="16" t="e">
        <f aca="false">SUMIF(MatchData[team],MatchData[[#this row],[team]],MatchData[portcullis teleop crossings]:MatchData[portcullis scored crossings])</f>
        <v>#VALUE!</v>
      </c>
      <c r="CJ294" s="16" t="e">
        <f aca="false">SUMIF(MatchData[team],MatchData[[#this row],[team]],MatchData[cheval teleop crossings])+SUMIF(MatchData[team],MatchData[[#this row],[team]],MatchData[cheval scored crossings])</f>
        <v>#VALUE!</v>
      </c>
      <c r="CK294" s="16" t="e">
        <f aca="false">SUMIF(MatchData[team],MatchData[[#this row],[team]],MatchData[moat teleop crossings])+SUMIF(MatchData[team],MatchData[[#this row],[team]],MatchData[moat scored crosings])</f>
        <v>#VALUE!</v>
      </c>
      <c r="CL294" s="16" t="e">
        <f aca="false">SUMIF(MatchData[team],MatchData[[#this row],[team]],MatchData[ramparts teleop crossings])+SUMIF(MatchData[team],MatchData[[#this row],[team]],MatchData[ramparts scored crossings])</f>
        <v>#VALUE!</v>
      </c>
      <c r="CM294" s="16" t="e">
        <f aca="false">SUMIF(MatchData[team],MatchData[[#this row],[team]],MatchData[drawbridge teleop crossings])+SUMIF(MatchData[team],MatchData[[#this row],[team]],MatchData[drawbridge scored crossings])</f>
        <v>#VALUE!</v>
      </c>
      <c r="CN294" s="16" t="e">
        <f aca="false">SUMIF(MatchData[team],MatchData[[#this row],[team]],MatchData[sally port teleop crossings])+SUMIF(MatchData[team],MatchData[[#this row],[team]],MatchData[sally port scored crossings])</f>
        <v>#VALUE!</v>
      </c>
      <c r="CO294" s="16" t="e">
        <f aca="false">SUMIF(MatchData[team],MatchData[[#this row],[team]],MatchData[rock wall teleop crossings])+SUMIF(MatchData[team],MatchData[[#this row],[team]],MatchData[rock wall scored crossings])</f>
        <v>#VALUE!</v>
      </c>
      <c r="CP294" s="16" t="e">
        <f aca="false">SUMIF(MatchData[team],MatchData[[#this row],[team]],MatchData[rough terrain teleop crossings])+SUMIF(MatchData[team],MatchData[[#this row],[team]],MatchData[rough terrain scored crossings])</f>
        <v>#VALUE!</v>
      </c>
      <c r="CQ294" s="16" t="e">
        <f aca="false">SUMIF(MatchData[team],MatchData[[#this row],[team]],MatchData[low bar teleop crossings])+SUMIF(MatchData[team],MatchData[[#this row],[team]],MatchData[low bar scored crossings])</f>
        <v>#VALUE!</v>
      </c>
      <c r="CR294" s="16" t="e">
        <f aca="false">IFERROR(ROUND(MatchData[[#this row],[portcullis sum]]/MatchData[[#this row],[portcullis avail count]],2),0)</f>
        <v>#VALUE!</v>
      </c>
      <c r="CS294" s="16" t="e">
        <f aca="false">IFERROR(ROUND(MatchData[[#this row],[cheval sum]]/MatchData[[#this row],[cheval avail count]],2),0)</f>
        <v>#VALUE!</v>
      </c>
      <c r="CT294" s="16" t="e">
        <f aca="false">IFERROR(ROUND(MatchData[[#this row],[moat sum]]/MatchData[[#this row],[moat avail count]],2),0)</f>
        <v>#VALUE!</v>
      </c>
      <c r="CU294" s="16" t="e">
        <f aca="false">IFERROR(ROUND(MatchData[[#this row],[ramparts sum]]/MatchData[[#this row],[ramparts avail count]],2),0)</f>
        <v>#VALUE!</v>
      </c>
      <c r="CV294" s="16" t="e">
        <f aca="false">IFERROR(ROUND(MatchData[[#this row],[drawbridge sum]]/MatchData[[#this row],[drawbridge avail countigh6]],2),0)</f>
        <v>#VALUE!</v>
      </c>
      <c r="CW294" s="16" t="e">
        <f aca="false">IFERROR(ROUND(MatchData[[#this row],[sally port sum]]/MatchData[[#this row],[sally port avail count]],2),0)</f>
        <v>#VALUE!</v>
      </c>
      <c r="CX294" s="5" t="e">
        <f aca="false">IFERROR(ROUND(MatchData[[#this row],[rock wall sum]]/MatchData[[#this row],[rock wall avail count]],2),0)</f>
        <v>#VALUE!</v>
      </c>
      <c r="CY294" s="5" t="e">
        <f aca="false">IFERROR(ROUND(MatchData[[#this row],[rough terrain sum]]/MatchData[[#this row],[rough terrain avail count]],2),0)</f>
        <v>#VALUE!</v>
      </c>
      <c r="CZ294" s="5" t="e">
        <f aca="false">IFERROR(ROUND(MatchData[[#this row],[low bar sum]]/MatchData[[#this row],[low bar avail count]],2),0)</f>
        <v>#VALUE!</v>
      </c>
      <c r="DA294" s="16" t="e">
        <f aca="false">SUM(MatchData[[#this row],[cheval sum]:[low bar sum]])/MatchData[match count]</f>
        <v>#VALUE!</v>
      </c>
      <c r="DB294" s="16" t="n">
        <f aca="false">MAX(IF(C$2:C$74=C294,BP$2:BP$74))</f>
        <v>-1.79769313486232E+308</v>
      </c>
      <c r="DC294" s="16" t="e">
        <f aca="false">AVERAGEIF(MatchData[team],MatchData[[#this row],[team]],MatchData[total score])</f>
        <v>#VALUE!</v>
      </c>
      <c r="DD294" s="16" t="e">
        <f aca="false">ROUND(AVERAGEIF(MatchData[team],MatchData[team],MatchData[climb or challenge flag]),2)</f>
        <v>#VALUE!</v>
      </c>
    </row>
    <row r="295" customFormat="false" ht="14.5" hidden="false" customHeight="false" outlineLevel="0" collapsed="false">
      <c r="A295" s="20" t="s">
        <v>108</v>
      </c>
      <c r="B295" s="14" t="n">
        <v>49</v>
      </c>
      <c r="C295" s="15" t="n">
        <v>5198</v>
      </c>
      <c r="D295" s="5" t="s">
        <v>113</v>
      </c>
      <c r="E295" s="5" t="s">
        <v>137</v>
      </c>
      <c r="G295" s="16"/>
      <c r="I295" s="16"/>
      <c r="J295" s="5" t="n">
        <v>1</v>
      </c>
      <c r="K295" s="16"/>
      <c r="L295" s="5" t="n">
        <v>1</v>
      </c>
      <c r="M295" s="5" t="n">
        <v>1</v>
      </c>
      <c r="P295" s="5" t="n">
        <v>1</v>
      </c>
      <c r="Q295" s="5" t="n">
        <v>1</v>
      </c>
      <c r="S295" s="16"/>
      <c r="U295" s="16"/>
      <c r="V295" s="16"/>
      <c r="AD295" s="16"/>
      <c r="AE295" s="5"/>
      <c r="AF295" s="16"/>
      <c r="AG295" s="16"/>
      <c r="AH295" s="16"/>
      <c r="AJ295" s="16"/>
      <c r="AL295" s="16"/>
      <c r="AN295" s="16"/>
      <c r="AP295" s="16"/>
      <c r="AR295" s="16" t="n">
        <v>1</v>
      </c>
      <c r="AT295" s="16"/>
      <c r="AU295" s="16"/>
      <c r="AV295" s="16"/>
      <c r="AW295" s="16" t="n">
        <v>1</v>
      </c>
      <c r="AX295" s="16"/>
      <c r="AY295" s="16"/>
      <c r="AZ295" s="16"/>
      <c r="BB295" s="16" t="n">
        <v>1</v>
      </c>
      <c r="BC295" s="16" t="e">
        <f aca="false">MatchData[cheval scored crossings]*5</f>
        <v>#VALUE!</v>
      </c>
      <c r="BD295" s="16" t="e">
        <f aca="false">MatchData[moat scored crosings]*5</f>
        <v>#VALUE!</v>
      </c>
      <c r="BE295" s="16" t="e">
        <f aca="false">MatchData[ramparts scored crossings]*5</f>
        <v>#VALUE!</v>
      </c>
      <c r="BF295" s="16" t="e">
        <f aca="false">MatchData[drawbridge scored crossings]*5</f>
        <v>#VALUE!</v>
      </c>
      <c r="BG295" s="16" t="e">
        <f aca="false">MatchData[sally port scored crossings]*5</f>
        <v>#VALUE!</v>
      </c>
      <c r="BH295" s="16" t="e">
        <f aca="false">MatchData[rock wall scored crossings]*5</f>
        <v>#VALUE!</v>
      </c>
      <c r="BI295" s="16" t="e">
        <f aca="false">MatchData[rough terrain scored crossings]*5</f>
        <v>#VALUE!</v>
      </c>
      <c r="BJ295" s="16" t="e">
        <f aca="false">MatchData[low bar scored crossings]*5</f>
        <v>#VALUE!</v>
      </c>
      <c r="BK295" s="16" t="e">
        <f aca="false">SUM(MatchData[[#this row],[low bar teleop crossings]:[rough terrain scored crossings]])</f>
        <v>#VALUE!</v>
      </c>
      <c r="BL295" s="16" t="e">
        <f aca="false">IFERROR(IF(OR(MatchData[[#this row],[challenge flag]],MatchData[[#this row],[climb flag]]),1,0),0)</f>
        <v>#VALUE!</v>
      </c>
      <c r="BM295" s="16" t="e">
        <f aca="false">MatchData[auto high goals]*10+MatchData[teleop high goals]*5</f>
        <v>#VALUE!</v>
      </c>
      <c r="BN295" s="16" t="e">
        <f aca="false">MatchData[auto low goals]*5+MatchData[teleop low goals]*2</f>
        <v>#VALUE!</v>
      </c>
      <c r="BO295" s="16" t="e">
        <f aca="false">MatchData[high goal score]+MatchData[low goal score]</f>
        <v>#VALUE!</v>
      </c>
      <c r="BP295" s="16" t="e">
        <f aca="false">MatchData[teleop high goals]+MatchData[teleop low goals]</f>
        <v>#VALUE!</v>
      </c>
      <c r="BQ295" s="16" t="e">
        <f aca="false">MatchData[[#this row],[auto reach flag]]*2+SUM(MatchData[[#this row],[portcullis auto crossings]:[low bar auto crossings]])*10+MatchData[[#this row],[auto low goals]]*5+MatchData[auto high goals]*10</f>
        <v>#VALUE!</v>
      </c>
      <c r="BR295" s="16" t="e">
        <f aca="false">SUM(MatchData[[#this row],[cheval teleop crossing score]:[low bar teleop crossing score]])</f>
        <v>#VALUE!</v>
      </c>
      <c r="BS295" s="16" t="e">
        <f aca="false">SUMIF(MatchData[team],MatchData[[#this row],[team]],MatchData[total auto score])/MatchData[match count]</f>
        <v>#VALUE!</v>
      </c>
      <c r="BT295" s="16" t="e">
        <f aca="false">MatchData[challenge flag]*5</f>
        <v>#VALUE!</v>
      </c>
      <c r="BU295" s="16" t="e">
        <f aca="false">MatchData[climb flag]*15</f>
        <v>#VALUE!</v>
      </c>
      <c r="BV295" s="16" t="e">
        <f aca="false">SUM(MatchData[[#this row],[total goal score]],MatchData[[#this row],[crossing score]],MatchData[[#this row],[challenge score]],MatchData[[#this row],[climb score]],MatchData[[#this row],[total auto score]])</f>
        <v>#VALUE!</v>
      </c>
      <c r="BW295" s="16" t="e">
        <f aca="false">ROUND(SUMIF(MatchData[team],MatchData[[#this row],[team]],MatchData[teleop low goals])/COUNTIF(MatchData[team],MatchData[[#this row],[team]]),2)</f>
        <v>#VALUE!</v>
      </c>
      <c r="BX295" s="16" t="e">
        <f aca="false">ROUND(SUMIF(MatchData[team],MatchData[[#this row],[team]],MatchData[teleop high goals])/COUNTIF(MatchData[team],MatchData[[#this row],[team]]),2)</f>
        <v>#VALUE!</v>
      </c>
      <c r="BY295" s="16" t="e">
        <f aca="false">COUNTIF(MatchData[team],MatchData[[#this row],[team]])</f>
        <v>#VALUE!</v>
      </c>
      <c r="BZ295" s="16" t="e">
        <f aca="false">SUMIF(MatchData[team],MatchData[[#this row],[team]],MatchData[portcullis available])</f>
        <v>#VALUE!</v>
      </c>
      <c r="CA295" s="16" t="e">
        <f aca="false">SUMIF(MatchData[team],MatchData[[#this row],[team]],MatchData[cheval available])</f>
        <v>#VALUE!</v>
      </c>
      <c r="CB295" s="16" t="e">
        <f aca="false">SUMIF(MatchData[team],MatchData[[#this row],[team]],MatchData[moat available])</f>
        <v>#VALUE!</v>
      </c>
      <c r="CC295" s="16" t="e">
        <f aca="false">SUMIF(MatchData[team],MatchData[[#this row],[team]],MatchData[ramparts available])</f>
        <v>#VALUE!</v>
      </c>
      <c r="CD295" s="16" t="e">
        <f aca="false">SUMIF(MatchData[team],MatchData[[#this row],[team]],MatchData[drawbridge available])</f>
        <v>#VALUE!</v>
      </c>
      <c r="CE295" s="16" t="e">
        <f aca="false">SUMIF(MatchData[team],MatchData[[#this row],[team]],MatchData[sally port available])</f>
        <v>#VALUE!</v>
      </c>
      <c r="CF295" s="16" t="e">
        <f aca="false">SUMIF(MatchData[team],MatchData[[#this row],[team]],MatchData[rock wall available])</f>
        <v>#VALUE!</v>
      </c>
      <c r="CG295" s="16" t="e">
        <f aca="false">SUMIF(MatchData[team],MatchData[[#this row],[team]],MatchData[rough terrain available])</f>
        <v>#VALUE!</v>
      </c>
      <c r="CH295" s="16" t="e">
        <f aca="false">SUMIF(MatchData[team],MatchData[[#this row],[team]],MatchData[low bar available])</f>
        <v>#VALUE!</v>
      </c>
      <c r="CI295" s="16" t="e">
        <f aca="false">SUMIF(MatchData[team],MatchData[[#this row],[team]],MatchData[portcullis teleop crossings]:MatchData[portcullis scored crossings])</f>
        <v>#VALUE!</v>
      </c>
      <c r="CJ295" s="16" t="e">
        <f aca="false">SUMIF(MatchData[team],MatchData[[#this row],[team]],MatchData[cheval teleop crossings])+SUMIF(MatchData[team],MatchData[[#this row],[team]],MatchData[cheval scored crossings])</f>
        <v>#VALUE!</v>
      </c>
      <c r="CK295" s="16" t="e">
        <f aca="false">SUMIF(MatchData[team],MatchData[[#this row],[team]],MatchData[moat teleop crossings])+SUMIF(MatchData[team],MatchData[[#this row],[team]],MatchData[moat scored crosings])</f>
        <v>#VALUE!</v>
      </c>
      <c r="CL295" s="16" t="e">
        <f aca="false">SUMIF(MatchData[team],MatchData[[#this row],[team]],MatchData[ramparts teleop crossings])+SUMIF(MatchData[team],MatchData[[#this row],[team]],MatchData[ramparts scored crossings])</f>
        <v>#VALUE!</v>
      </c>
      <c r="CM295" s="16" t="e">
        <f aca="false">SUMIF(MatchData[team],MatchData[[#this row],[team]],MatchData[drawbridge teleop crossings])+SUMIF(MatchData[team],MatchData[[#this row],[team]],MatchData[drawbridge scored crossings])</f>
        <v>#VALUE!</v>
      </c>
      <c r="CN295" s="16" t="e">
        <f aca="false">SUMIF(MatchData[team],MatchData[[#this row],[team]],MatchData[sally port teleop crossings])+SUMIF(MatchData[team],MatchData[[#this row],[team]],MatchData[sally port scored crossings])</f>
        <v>#VALUE!</v>
      </c>
      <c r="CO295" s="16" t="e">
        <f aca="false">SUMIF(MatchData[team],MatchData[[#this row],[team]],MatchData[rock wall teleop crossings])+SUMIF(MatchData[team],MatchData[[#this row],[team]],MatchData[rock wall scored crossings])</f>
        <v>#VALUE!</v>
      </c>
      <c r="CP295" s="16" t="e">
        <f aca="false">SUMIF(MatchData[team],MatchData[[#this row],[team]],MatchData[rough terrain teleop crossings])+SUMIF(MatchData[team],MatchData[[#this row],[team]],MatchData[rough terrain scored crossings])</f>
        <v>#VALUE!</v>
      </c>
      <c r="CQ295" s="16" t="e">
        <f aca="false">SUMIF(MatchData[team],MatchData[[#this row],[team]],MatchData[low bar teleop crossings])+SUMIF(MatchData[team],MatchData[[#this row],[team]],MatchData[low bar scored crossings])</f>
        <v>#VALUE!</v>
      </c>
      <c r="CR295" s="16" t="e">
        <f aca="false">IFERROR(ROUND(MatchData[[#this row],[portcullis sum]]/MatchData[[#this row],[portcullis avail count]],2),0)</f>
        <v>#VALUE!</v>
      </c>
      <c r="CS295" s="16" t="e">
        <f aca="false">IFERROR(ROUND(MatchData[[#this row],[cheval sum]]/MatchData[[#this row],[cheval avail count]],2),0)</f>
        <v>#VALUE!</v>
      </c>
      <c r="CT295" s="16" t="e">
        <f aca="false">IFERROR(ROUND(MatchData[[#this row],[moat sum]]/MatchData[[#this row],[moat avail count]],2),0)</f>
        <v>#VALUE!</v>
      </c>
      <c r="CU295" s="16" t="e">
        <f aca="false">IFERROR(ROUND(MatchData[[#this row],[ramparts sum]]/MatchData[[#this row],[ramparts avail count]],2),0)</f>
        <v>#VALUE!</v>
      </c>
      <c r="CV295" s="16" t="e">
        <f aca="false">IFERROR(ROUND(MatchData[[#this row],[drawbridge sum]]/MatchData[[#this row],[drawbridge avail countigh6]],2),0)</f>
        <v>#VALUE!</v>
      </c>
      <c r="CW295" s="16" t="e">
        <f aca="false">IFERROR(ROUND(MatchData[[#this row],[sally port sum]]/MatchData[[#this row],[sally port avail count]],2),0)</f>
        <v>#VALUE!</v>
      </c>
      <c r="CX295" s="5" t="e">
        <f aca="false">IFERROR(ROUND(MatchData[[#this row],[rock wall sum]]/MatchData[[#this row],[rock wall avail count]],2),0)</f>
        <v>#VALUE!</v>
      </c>
      <c r="CY295" s="5" t="e">
        <f aca="false">IFERROR(ROUND(MatchData[[#this row],[rough terrain sum]]/MatchData[[#this row],[rough terrain avail count]],2),0)</f>
        <v>#VALUE!</v>
      </c>
      <c r="CZ295" s="5" t="e">
        <f aca="false">IFERROR(ROUND(MatchData[[#this row],[low bar sum]]/MatchData[[#this row],[low bar avail count]],2),0)</f>
        <v>#VALUE!</v>
      </c>
      <c r="DA295" s="16" t="e">
        <f aca="false">SUM(MatchData[[#this row],[cheval sum]:[low bar sum]])/MatchData[match count]</f>
        <v>#VALUE!</v>
      </c>
      <c r="DB295" s="16" t="n">
        <f aca="false">MAX(IF(C$2:C$74=C295,BP$2:BP$74))</f>
        <v>-1.79769313486232E+308</v>
      </c>
      <c r="DC295" s="16" t="e">
        <f aca="false">AVERAGEIF(MatchData[team],MatchData[[#this row],[team]],MatchData[total score])</f>
        <v>#VALUE!</v>
      </c>
      <c r="DD295" s="16" t="e">
        <f aca="false">ROUND(AVERAGEIF(MatchData[team],MatchData[team],MatchData[climb or challenge flag]),2)</f>
        <v>#VALUE!</v>
      </c>
    </row>
    <row r="296" customFormat="false" ht="14.5" hidden="false" customHeight="false" outlineLevel="0" collapsed="false">
      <c r="A296" s="20" t="s">
        <v>108</v>
      </c>
      <c r="B296" s="14" t="n">
        <v>50</v>
      </c>
      <c r="C296" s="15" t="n">
        <v>3674</v>
      </c>
      <c r="D296" s="5" t="s">
        <v>109</v>
      </c>
      <c r="E296" s="5" t="s">
        <v>165</v>
      </c>
      <c r="G296" s="16" t="n">
        <v>2</v>
      </c>
      <c r="I296" s="16"/>
      <c r="J296" s="5" t="n">
        <v>1</v>
      </c>
      <c r="K296" s="16"/>
      <c r="L296" s="5" t="n">
        <v>1</v>
      </c>
      <c r="M296" s="5" t="n">
        <v>1</v>
      </c>
      <c r="P296" s="5" t="n">
        <v>1</v>
      </c>
      <c r="Q296" s="5" t="n">
        <v>1</v>
      </c>
      <c r="S296" s="16"/>
      <c r="U296" s="16"/>
      <c r="V296" s="16"/>
      <c r="AD296" s="16"/>
      <c r="AE296" s="5"/>
      <c r="AF296" s="16"/>
      <c r="AG296" s="16"/>
      <c r="AH296" s="16" t="n">
        <v>2</v>
      </c>
      <c r="AJ296" s="16"/>
      <c r="AL296" s="16"/>
      <c r="AN296" s="16"/>
      <c r="AP296" s="16"/>
      <c r="AR296" s="16"/>
      <c r="AT296" s="16"/>
      <c r="AU296" s="16"/>
      <c r="AV296" s="16"/>
      <c r="AW296" s="16" t="n">
        <v>1</v>
      </c>
      <c r="AX296" s="16"/>
      <c r="AY296" s="16"/>
      <c r="AZ296" s="16"/>
      <c r="BB296" s="16" t="n">
        <v>1</v>
      </c>
      <c r="BC296" s="16" t="e">
        <f aca="false">MatchData[cheval scored crossings]*5</f>
        <v>#VALUE!</v>
      </c>
      <c r="BD296" s="16" t="e">
        <f aca="false">MatchData[moat scored crosings]*5</f>
        <v>#VALUE!</v>
      </c>
      <c r="BE296" s="16" t="e">
        <f aca="false">MatchData[ramparts scored crossings]*5</f>
        <v>#VALUE!</v>
      </c>
      <c r="BF296" s="16" t="e">
        <f aca="false">MatchData[drawbridge scored crossings]*5</f>
        <v>#VALUE!</v>
      </c>
      <c r="BG296" s="16" t="e">
        <f aca="false">MatchData[sally port scored crossings]*5</f>
        <v>#VALUE!</v>
      </c>
      <c r="BH296" s="16" t="e">
        <f aca="false">MatchData[rock wall scored crossings]*5</f>
        <v>#VALUE!</v>
      </c>
      <c r="BI296" s="16" t="e">
        <f aca="false">MatchData[rough terrain scored crossings]*5</f>
        <v>#VALUE!</v>
      </c>
      <c r="BJ296" s="16" t="e">
        <f aca="false">MatchData[low bar scored crossings]*5</f>
        <v>#VALUE!</v>
      </c>
      <c r="BK296" s="16" t="e">
        <f aca="false">SUM(MatchData[[#this row],[low bar teleop crossings]:[rough terrain scored crossings]])</f>
        <v>#VALUE!</v>
      </c>
      <c r="BL296" s="16" t="e">
        <f aca="false">IFERROR(IF(OR(MatchData[[#this row],[challenge flag]],MatchData[[#this row],[climb flag]]),1,0),0)</f>
        <v>#VALUE!</v>
      </c>
      <c r="BM296" s="16" t="e">
        <f aca="false">MatchData[auto high goals]*10+MatchData[teleop high goals]*5</f>
        <v>#VALUE!</v>
      </c>
      <c r="BN296" s="16" t="e">
        <f aca="false">MatchData[auto low goals]*5+MatchData[teleop low goals]*2</f>
        <v>#VALUE!</v>
      </c>
      <c r="BO296" s="16" t="e">
        <f aca="false">MatchData[high goal score]+MatchData[low goal score]</f>
        <v>#VALUE!</v>
      </c>
      <c r="BP296" s="16" t="e">
        <f aca="false">MatchData[teleop high goals]+MatchData[teleop low goals]</f>
        <v>#VALUE!</v>
      </c>
      <c r="BQ296" s="16" t="e">
        <f aca="false">MatchData[[#this row],[auto reach flag]]*2+SUM(MatchData[[#this row],[portcullis auto crossings]:[low bar auto crossings]])*10+MatchData[[#this row],[auto low goals]]*5+MatchData[auto high goals]*10</f>
        <v>#VALUE!</v>
      </c>
      <c r="BR296" s="16" t="e">
        <f aca="false">SUM(MatchData[[#this row],[cheval teleop crossing score]:[low bar teleop crossing score]])</f>
        <v>#VALUE!</v>
      </c>
      <c r="BS296" s="16" t="e">
        <f aca="false">SUMIF(MatchData[team],MatchData[[#this row],[team]],MatchData[total auto score])/MatchData[match count]</f>
        <v>#VALUE!</v>
      </c>
      <c r="BT296" s="16" t="e">
        <f aca="false">MatchData[challenge flag]*5</f>
        <v>#VALUE!</v>
      </c>
      <c r="BU296" s="16" t="e">
        <f aca="false">MatchData[climb flag]*15</f>
        <v>#VALUE!</v>
      </c>
      <c r="BV296" s="16" t="e">
        <f aca="false">SUM(MatchData[[#this row],[total goal score]],MatchData[[#this row],[crossing score]],MatchData[[#this row],[challenge score]],MatchData[[#this row],[climb score]],MatchData[[#this row],[total auto score]])</f>
        <v>#VALUE!</v>
      </c>
      <c r="BW296" s="16" t="e">
        <f aca="false">ROUND(SUMIF(MatchData[team],MatchData[[#this row],[team]],MatchData[teleop low goals])/COUNTIF(MatchData[team],MatchData[[#this row],[team]]),2)</f>
        <v>#VALUE!</v>
      </c>
      <c r="BX296" s="16" t="e">
        <f aca="false">ROUND(SUMIF(MatchData[team],MatchData[[#this row],[team]],MatchData[teleop high goals])/COUNTIF(MatchData[team],MatchData[[#this row],[team]]),2)</f>
        <v>#VALUE!</v>
      </c>
      <c r="BY296" s="16" t="e">
        <f aca="false">COUNTIF(MatchData[team],MatchData[[#this row],[team]])</f>
        <v>#VALUE!</v>
      </c>
      <c r="BZ296" s="16" t="e">
        <f aca="false">SUMIF(MatchData[team],MatchData[[#this row],[team]],MatchData[portcullis available])</f>
        <v>#VALUE!</v>
      </c>
      <c r="CA296" s="16" t="e">
        <f aca="false">SUMIF(MatchData[team],MatchData[[#this row],[team]],MatchData[cheval available])</f>
        <v>#VALUE!</v>
      </c>
      <c r="CB296" s="16" t="e">
        <f aca="false">SUMIF(MatchData[team],MatchData[[#this row],[team]],MatchData[moat available])</f>
        <v>#VALUE!</v>
      </c>
      <c r="CC296" s="16" t="e">
        <f aca="false">SUMIF(MatchData[team],MatchData[[#this row],[team]],MatchData[ramparts available])</f>
        <v>#VALUE!</v>
      </c>
      <c r="CD296" s="16" t="e">
        <f aca="false">SUMIF(MatchData[team],MatchData[[#this row],[team]],MatchData[drawbridge available])</f>
        <v>#VALUE!</v>
      </c>
      <c r="CE296" s="16" t="e">
        <f aca="false">SUMIF(MatchData[team],MatchData[[#this row],[team]],MatchData[sally port available])</f>
        <v>#VALUE!</v>
      </c>
      <c r="CF296" s="16" t="e">
        <f aca="false">SUMIF(MatchData[team],MatchData[[#this row],[team]],MatchData[rock wall available])</f>
        <v>#VALUE!</v>
      </c>
      <c r="CG296" s="16" t="e">
        <f aca="false">SUMIF(MatchData[team],MatchData[[#this row],[team]],MatchData[rough terrain available])</f>
        <v>#VALUE!</v>
      </c>
      <c r="CH296" s="16" t="e">
        <f aca="false">SUMIF(MatchData[team],MatchData[[#this row],[team]],MatchData[low bar available])</f>
        <v>#VALUE!</v>
      </c>
      <c r="CI296" s="16" t="e">
        <f aca="false">SUMIF(MatchData[team],MatchData[[#this row],[team]],MatchData[portcullis teleop crossings]:MatchData[portcullis scored crossings])</f>
        <v>#VALUE!</v>
      </c>
      <c r="CJ296" s="16" t="e">
        <f aca="false">SUMIF(MatchData[team],MatchData[[#this row],[team]],MatchData[cheval teleop crossings])+SUMIF(MatchData[team],MatchData[[#this row],[team]],MatchData[cheval scored crossings])</f>
        <v>#VALUE!</v>
      </c>
      <c r="CK296" s="16" t="e">
        <f aca="false">SUMIF(MatchData[team],MatchData[[#this row],[team]],MatchData[moat teleop crossings])+SUMIF(MatchData[team],MatchData[[#this row],[team]],MatchData[moat scored crosings])</f>
        <v>#VALUE!</v>
      </c>
      <c r="CL296" s="16" t="e">
        <f aca="false">SUMIF(MatchData[team],MatchData[[#this row],[team]],MatchData[ramparts teleop crossings])+SUMIF(MatchData[team],MatchData[[#this row],[team]],MatchData[ramparts scored crossings])</f>
        <v>#VALUE!</v>
      </c>
      <c r="CM296" s="16" t="e">
        <f aca="false">SUMIF(MatchData[team],MatchData[[#this row],[team]],MatchData[drawbridge teleop crossings])+SUMIF(MatchData[team],MatchData[[#this row],[team]],MatchData[drawbridge scored crossings])</f>
        <v>#VALUE!</v>
      </c>
      <c r="CN296" s="16" t="e">
        <f aca="false">SUMIF(MatchData[team],MatchData[[#this row],[team]],MatchData[sally port teleop crossings])+SUMIF(MatchData[team],MatchData[[#this row],[team]],MatchData[sally port scored crossings])</f>
        <v>#VALUE!</v>
      </c>
      <c r="CO296" s="16" t="e">
        <f aca="false">SUMIF(MatchData[team],MatchData[[#this row],[team]],MatchData[rock wall teleop crossings])+SUMIF(MatchData[team],MatchData[[#this row],[team]],MatchData[rock wall scored crossings])</f>
        <v>#VALUE!</v>
      </c>
      <c r="CP296" s="16" t="e">
        <f aca="false">SUMIF(MatchData[team],MatchData[[#this row],[team]],MatchData[rough terrain teleop crossings])+SUMIF(MatchData[team],MatchData[[#this row],[team]],MatchData[rough terrain scored crossings])</f>
        <v>#VALUE!</v>
      </c>
      <c r="CQ296" s="16" t="e">
        <f aca="false">SUMIF(MatchData[team],MatchData[[#this row],[team]],MatchData[low bar teleop crossings])+SUMIF(MatchData[team],MatchData[[#this row],[team]],MatchData[low bar scored crossings])</f>
        <v>#VALUE!</v>
      </c>
      <c r="CR296" s="16" t="e">
        <f aca="false">IFERROR(ROUND(MatchData[[#this row],[portcullis sum]]/MatchData[[#this row],[portcullis avail count]],2),0)</f>
        <v>#VALUE!</v>
      </c>
      <c r="CS296" s="16" t="e">
        <f aca="false">IFERROR(ROUND(MatchData[[#this row],[cheval sum]]/MatchData[[#this row],[cheval avail count]],2),0)</f>
        <v>#VALUE!</v>
      </c>
      <c r="CT296" s="16" t="e">
        <f aca="false">IFERROR(ROUND(MatchData[[#this row],[moat sum]]/MatchData[[#this row],[moat avail count]],2),0)</f>
        <v>#VALUE!</v>
      </c>
      <c r="CU296" s="16" t="e">
        <f aca="false">IFERROR(ROUND(MatchData[[#this row],[ramparts sum]]/MatchData[[#this row],[ramparts avail count]],2),0)</f>
        <v>#VALUE!</v>
      </c>
      <c r="CV296" s="16" t="e">
        <f aca="false">IFERROR(ROUND(MatchData[[#this row],[drawbridge sum]]/MatchData[[#this row],[drawbridge avail countigh6]],2),0)</f>
        <v>#VALUE!</v>
      </c>
      <c r="CW296" s="16" t="e">
        <f aca="false">IFERROR(ROUND(MatchData[[#this row],[sally port sum]]/MatchData[[#this row],[sally port avail count]],2),0)</f>
        <v>#VALUE!</v>
      </c>
      <c r="CX296" s="5" t="e">
        <f aca="false">IFERROR(ROUND(MatchData[[#this row],[rock wall sum]]/MatchData[[#this row],[rock wall avail count]],2),0)</f>
        <v>#VALUE!</v>
      </c>
      <c r="CY296" s="5" t="e">
        <f aca="false">IFERROR(ROUND(MatchData[[#this row],[rough terrain sum]]/MatchData[[#this row],[rough terrain avail count]],2),0)</f>
        <v>#VALUE!</v>
      </c>
      <c r="CZ296" s="5" t="e">
        <f aca="false">IFERROR(ROUND(MatchData[[#this row],[low bar sum]]/MatchData[[#this row],[low bar avail count]],2),0)</f>
        <v>#VALUE!</v>
      </c>
      <c r="DA296" s="16" t="e">
        <f aca="false">SUM(MatchData[[#this row],[cheval sum]:[low bar sum]])/MatchData[match count]</f>
        <v>#VALUE!</v>
      </c>
      <c r="DB296" s="16" t="n">
        <f aca="false">MAX(IF(C$2:C$74=C296,BP$2:BP$74))</f>
        <v>-1.79769313486232E+308</v>
      </c>
      <c r="DC296" s="16" t="e">
        <f aca="false">AVERAGEIF(MatchData[team],MatchData[[#this row],[team]],MatchData[total score])</f>
        <v>#VALUE!</v>
      </c>
      <c r="DD296" s="16" t="e">
        <f aca="false">ROUND(AVERAGEIF(MatchData[team],MatchData[team],MatchData[climb or challenge flag]),2)</f>
        <v>#VALUE!</v>
      </c>
    </row>
    <row r="297" customFormat="false" ht="14.5" hidden="false" customHeight="false" outlineLevel="0" collapsed="false">
      <c r="A297" s="20" t="s">
        <v>108</v>
      </c>
      <c r="B297" s="18" t="n">
        <v>50</v>
      </c>
      <c r="C297" s="15" t="n">
        <v>3812</v>
      </c>
      <c r="D297" s="5" t="s">
        <v>109</v>
      </c>
      <c r="E297" s="5" t="s">
        <v>118</v>
      </c>
      <c r="G297" s="16"/>
      <c r="I297" s="16"/>
      <c r="J297" s="5" t="n">
        <v>1</v>
      </c>
      <c r="K297" s="16"/>
      <c r="L297" s="5" t="n">
        <v>1</v>
      </c>
      <c r="M297" s="5" t="n">
        <v>1</v>
      </c>
      <c r="P297" s="5" t="n">
        <v>1</v>
      </c>
      <c r="Q297" s="5" t="n">
        <v>1</v>
      </c>
      <c r="S297" s="16"/>
      <c r="U297" s="16"/>
      <c r="V297" s="16"/>
      <c r="AB297" s="5" t="n">
        <v>1</v>
      </c>
      <c r="AD297" s="16" t="n">
        <v>2</v>
      </c>
      <c r="AE297" s="5"/>
      <c r="AF297" s="16"/>
      <c r="AG297" s="16"/>
      <c r="AH297" s="16"/>
      <c r="AJ297" s="16" t="n">
        <v>2</v>
      </c>
      <c r="AL297" s="16"/>
      <c r="AN297" s="16"/>
      <c r="AP297" s="16"/>
      <c r="AR297" s="16"/>
      <c r="AT297" s="16"/>
      <c r="AU297" s="16"/>
      <c r="AV297" s="16"/>
      <c r="AW297" s="16" t="n">
        <v>1</v>
      </c>
      <c r="AX297" s="16"/>
      <c r="AY297" s="16"/>
      <c r="AZ297" s="16"/>
      <c r="BA297" s="5" t="n">
        <v>1</v>
      </c>
      <c r="BB297" s="16" t="n">
        <v>1</v>
      </c>
      <c r="BC297" s="16" t="e">
        <f aca="false">MatchData[cheval scored crossings]*5</f>
        <v>#VALUE!</v>
      </c>
      <c r="BD297" s="16" t="e">
        <f aca="false">MatchData[moat scored crosings]*5</f>
        <v>#VALUE!</v>
      </c>
      <c r="BE297" s="16" t="e">
        <f aca="false">MatchData[ramparts scored crossings]*5</f>
        <v>#VALUE!</v>
      </c>
      <c r="BF297" s="16" t="e">
        <f aca="false">MatchData[drawbridge scored crossings]*5</f>
        <v>#VALUE!</v>
      </c>
      <c r="BG297" s="16" t="e">
        <f aca="false">MatchData[sally port scored crossings]*5</f>
        <v>#VALUE!</v>
      </c>
      <c r="BH297" s="16" t="e">
        <f aca="false">MatchData[rock wall scored crossings]*5</f>
        <v>#VALUE!</v>
      </c>
      <c r="BI297" s="16" t="e">
        <f aca="false">MatchData[rough terrain scored crossings]*5</f>
        <v>#VALUE!</v>
      </c>
      <c r="BJ297" s="16" t="e">
        <f aca="false">MatchData[low bar scored crossings]*5</f>
        <v>#VALUE!</v>
      </c>
      <c r="BK297" s="16" t="e">
        <f aca="false">SUM(MatchData[[#this row],[low bar teleop crossings]:[rough terrain scored crossings]])</f>
        <v>#VALUE!</v>
      </c>
      <c r="BL297" s="16" t="e">
        <f aca="false">IFERROR(IF(OR(MatchData[[#this row],[challenge flag]],MatchData[[#this row],[climb flag]]),1,0),0)</f>
        <v>#VALUE!</v>
      </c>
      <c r="BM297" s="16" t="e">
        <f aca="false">MatchData[auto high goals]*10+MatchData[teleop high goals]*5</f>
        <v>#VALUE!</v>
      </c>
      <c r="BN297" s="16" t="e">
        <f aca="false">MatchData[auto low goals]*5+MatchData[teleop low goals]*2</f>
        <v>#VALUE!</v>
      </c>
      <c r="BO297" s="16" t="e">
        <f aca="false">MatchData[high goal score]+MatchData[low goal score]</f>
        <v>#VALUE!</v>
      </c>
      <c r="BP297" s="16" t="e">
        <f aca="false">MatchData[teleop high goals]+MatchData[teleop low goals]</f>
        <v>#VALUE!</v>
      </c>
      <c r="BQ297" s="16" t="e">
        <f aca="false">MatchData[[#this row],[auto reach flag]]*2+SUM(MatchData[[#this row],[portcullis auto crossings]:[low bar auto crossings]])*10+MatchData[[#this row],[auto low goals]]*5+MatchData[auto high goals]*10</f>
        <v>#VALUE!</v>
      </c>
      <c r="BR297" s="16" t="e">
        <f aca="false">SUM(MatchData[[#this row],[cheval teleop crossing score]:[low bar teleop crossing score]])</f>
        <v>#VALUE!</v>
      </c>
      <c r="BS297" s="16" t="e">
        <f aca="false">SUMIF(MatchData[team],MatchData[[#this row],[team]],MatchData[total auto score])/MatchData[match count]</f>
        <v>#VALUE!</v>
      </c>
      <c r="BT297" s="16" t="e">
        <f aca="false">MatchData[challenge flag]*5</f>
        <v>#VALUE!</v>
      </c>
      <c r="BU297" s="16" t="e">
        <f aca="false">MatchData[climb flag]*15</f>
        <v>#VALUE!</v>
      </c>
      <c r="BV297" s="16" t="e">
        <f aca="false">SUM(MatchData[[#this row],[total goal score]],MatchData[[#this row],[crossing score]],MatchData[[#this row],[challenge score]],MatchData[[#this row],[climb score]],MatchData[[#this row],[total auto score]])</f>
        <v>#VALUE!</v>
      </c>
      <c r="BW297" s="16" t="e">
        <f aca="false">ROUND(SUMIF(MatchData[team],MatchData[[#this row],[team]],MatchData[teleop low goals])/COUNTIF(MatchData[team],MatchData[[#this row],[team]]),2)</f>
        <v>#VALUE!</v>
      </c>
      <c r="BX297" s="16" t="e">
        <f aca="false">ROUND(SUMIF(MatchData[team],MatchData[[#this row],[team]],MatchData[teleop high goals])/COUNTIF(MatchData[team],MatchData[[#this row],[team]]),2)</f>
        <v>#VALUE!</v>
      </c>
      <c r="BY297" s="16" t="e">
        <f aca="false">COUNTIF(MatchData[team],MatchData[[#this row],[team]])</f>
        <v>#VALUE!</v>
      </c>
      <c r="BZ297" s="16" t="e">
        <f aca="false">SUMIF(MatchData[team],MatchData[[#this row],[team]],MatchData[portcullis available])</f>
        <v>#VALUE!</v>
      </c>
      <c r="CA297" s="16" t="e">
        <f aca="false">SUMIF(MatchData[team],MatchData[[#this row],[team]],MatchData[cheval available])</f>
        <v>#VALUE!</v>
      </c>
      <c r="CB297" s="16" t="e">
        <f aca="false">SUMIF(MatchData[team],MatchData[[#this row],[team]],MatchData[moat available])</f>
        <v>#VALUE!</v>
      </c>
      <c r="CC297" s="16" t="e">
        <f aca="false">SUMIF(MatchData[team],MatchData[[#this row],[team]],MatchData[ramparts available])</f>
        <v>#VALUE!</v>
      </c>
      <c r="CD297" s="16" t="e">
        <f aca="false">SUMIF(MatchData[team],MatchData[[#this row],[team]],MatchData[drawbridge available])</f>
        <v>#VALUE!</v>
      </c>
      <c r="CE297" s="16" t="e">
        <f aca="false">SUMIF(MatchData[team],MatchData[[#this row],[team]],MatchData[sally port available])</f>
        <v>#VALUE!</v>
      </c>
      <c r="CF297" s="16" t="e">
        <f aca="false">SUMIF(MatchData[team],MatchData[[#this row],[team]],MatchData[rock wall available])</f>
        <v>#VALUE!</v>
      </c>
      <c r="CG297" s="16" t="e">
        <f aca="false">SUMIF(MatchData[team],MatchData[[#this row],[team]],MatchData[rough terrain available])</f>
        <v>#VALUE!</v>
      </c>
      <c r="CH297" s="16" t="e">
        <f aca="false">SUMIF(MatchData[team],MatchData[[#this row],[team]],MatchData[low bar available])</f>
        <v>#VALUE!</v>
      </c>
      <c r="CI297" s="16" t="e">
        <f aca="false">SUMIF(MatchData[team],MatchData[[#this row],[team]],MatchData[portcullis teleop crossings]:MatchData[portcullis scored crossings])</f>
        <v>#VALUE!</v>
      </c>
      <c r="CJ297" s="16" t="e">
        <f aca="false">SUMIF(MatchData[team],MatchData[[#this row],[team]],MatchData[cheval teleop crossings])+SUMIF(MatchData[team],MatchData[[#this row],[team]],MatchData[cheval scored crossings])</f>
        <v>#VALUE!</v>
      </c>
      <c r="CK297" s="16" t="e">
        <f aca="false">SUMIF(MatchData[team],MatchData[[#this row],[team]],MatchData[moat teleop crossings])+SUMIF(MatchData[team],MatchData[[#this row],[team]],MatchData[moat scored crosings])</f>
        <v>#VALUE!</v>
      </c>
      <c r="CL297" s="16" t="e">
        <f aca="false">SUMIF(MatchData[team],MatchData[[#this row],[team]],MatchData[ramparts teleop crossings])+SUMIF(MatchData[team],MatchData[[#this row],[team]],MatchData[ramparts scored crossings])</f>
        <v>#VALUE!</v>
      </c>
      <c r="CM297" s="16" t="e">
        <f aca="false">SUMIF(MatchData[team],MatchData[[#this row],[team]],MatchData[drawbridge teleop crossings])+SUMIF(MatchData[team],MatchData[[#this row],[team]],MatchData[drawbridge scored crossings])</f>
        <v>#VALUE!</v>
      </c>
      <c r="CN297" s="16" t="e">
        <f aca="false">SUMIF(MatchData[team],MatchData[[#this row],[team]],MatchData[sally port teleop crossings])+SUMIF(MatchData[team],MatchData[[#this row],[team]],MatchData[sally port scored crossings])</f>
        <v>#VALUE!</v>
      </c>
      <c r="CO297" s="16" t="e">
        <f aca="false">SUMIF(MatchData[team],MatchData[[#this row],[team]],MatchData[rock wall teleop crossings])+SUMIF(MatchData[team],MatchData[[#this row],[team]],MatchData[rock wall scored crossings])</f>
        <v>#VALUE!</v>
      </c>
      <c r="CP297" s="16" t="e">
        <f aca="false">SUMIF(MatchData[team],MatchData[[#this row],[team]],MatchData[rough terrain teleop crossings])+SUMIF(MatchData[team],MatchData[[#this row],[team]],MatchData[rough terrain scored crossings])</f>
        <v>#VALUE!</v>
      </c>
      <c r="CQ297" s="16" t="e">
        <f aca="false">SUMIF(MatchData[team],MatchData[[#this row],[team]],MatchData[low bar teleop crossings])+SUMIF(MatchData[team],MatchData[[#this row],[team]],MatchData[low bar scored crossings])</f>
        <v>#VALUE!</v>
      </c>
      <c r="CR297" s="16" t="e">
        <f aca="false">IFERROR(ROUND(MatchData[[#this row],[portcullis sum]]/MatchData[[#this row],[portcullis avail count]],2),0)</f>
        <v>#VALUE!</v>
      </c>
      <c r="CS297" s="16" t="e">
        <f aca="false">IFERROR(ROUND(MatchData[[#this row],[cheval sum]]/MatchData[[#this row],[cheval avail count]],2),0)</f>
        <v>#VALUE!</v>
      </c>
      <c r="CT297" s="16" t="e">
        <f aca="false">IFERROR(ROUND(MatchData[[#this row],[moat sum]]/MatchData[[#this row],[moat avail count]],2),0)</f>
        <v>#VALUE!</v>
      </c>
      <c r="CU297" s="16" t="e">
        <f aca="false">IFERROR(ROUND(MatchData[[#this row],[ramparts sum]]/MatchData[[#this row],[ramparts avail count]],2),0)</f>
        <v>#VALUE!</v>
      </c>
      <c r="CV297" s="16" t="e">
        <f aca="false">IFERROR(ROUND(MatchData[[#this row],[drawbridge sum]]/MatchData[[#this row],[drawbridge avail countigh6]],2),0)</f>
        <v>#VALUE!</v>
      </c>
      <c r="CW297" s="16" t="e">
        <f aca="false">IFERROR(ROUND(MatchData[[#this row],[sally port sum]]/MatchData[[#this row],[sally port avail count]],2),0)</f>
        <v>#VALUE!</v>
      </c>
      <c r="CX297" s="5" t="e">
        <f aca="false">IFERROR(ROUND(MatchData[[#this row],[rock wall sum]]/MatchData[[#this row],[rock wall avail count]],2),0)</f>
        <v>#VALUE!</v>
      </c>
      <c r="CY297" s="5" t="e">
        <f aca="false">IFERROR(ROUND(MatchData[[#this row],[rough terrain sum]]/MatchData[[#this row],[rough terrain avail count]],2),0)</f>
        <v>#VALUE!</v>
      </c>
      <c r="CZ297" s="5" t="e">
        <f aca="false">IFERROR(ROUND(MatchData[[#this row],[low bar sum]]/MatchData[[#this row],[low bar avail count]],2),0)</f>
        <v>#VALUE!</v>
      </c>
      <c r="DA297" s="16" t="e">
        <f aca="false">SUM(MatchData[[#this row],[cheval sum]:[low bar sum]])/MatchData[match count]</f>
        <v>#VALUE!</v>
      </c>
      <c r="DB297" s="16" t="n">
        <f aca="false">MAX(IF(C$2:C$74=C297,BP$2:BP$74))</f>
        <v>-1.79769313486232E+308</v>
      </c>
      <c r="DC297" s="16" t="e">
        <f aca="false">AVERAGEIF(MatchData[team],MatchData[[#this row],[team]],MatchData[total score])</f>
        <v>#VALUE!</v>
      </c>
      <c r="DD297" s="16" t="e">
        <f aca="false">ROUND(AVERAGEIF(MatchData[team],MatchData[team],MatchData[climb or challenge flag]),2)</f>
        <v>#VALUE!</v>
      </c>
    </row>
    <row r="298" customFormat="false" ht="14.5" hidden="false" customHeight="false" outlineLevel="0" collapsed="false">
      <c r="A298" s="20" t="s">
        <v>108</v>
      </c>
      <c r="B298" s="18" t="n">
        <v>50</v>
      </c>
      <c r="C298" s="15" t="n">
        <v>4127</v>
      </c>
      <c r="D298" s="5" t="s">
        <v>109</v>
      </c>
      <c r="E298" s="5" t="s">
        <v>153</v>
      </c>
      <c r="G298" s="16"/>
      <c r="I298" s="16"/>
      <c r="J298" s="5" t="n">
        <v>1</v>
      </c>
      <c r="K298" s="16"/>
      <c r="L298" s="5" t="n">
        <v>1</v>
      </c>
      <c r="M298" s="5" t="n">
        <v>1</v>
      </c>
      <c r="P298" s="5" t="n">
        <v>1</v>
      </c>
      <c r="Q298" s="5" t="n">
        <v>1</v>
      </c>
      <c r="S298" s="16"/>
      <c r="U298" s="16"/>
      <c r="V298" s="16"/>
      <c r="AD298" s="16"/>
      <c r="AE298" s="5"/>
      <c r="AF298" s="16"/>
      <c r="AG298" s="16"/>
      <c r="AH298" s="16"/>
      <c r="AJ298" s="16"/>
      <c r="AL298" s="16"/>
      <c r="AN298" s="16"/>
      <c r="AP298" s="16"/>
      <c r="AR298" s="16" t="n">
        <v>1</v>
      </c>
      <c r="AT298" s="16"/>
      <c r="AU298" s="16"/>
      <c r="AV298" s="16"/>
      <c r="AW298" s="16" t="n">
        <v>1</v>
      </c>
      <c r="AX298" s="16"/>
      <c r="AY298" s="16"/>
      <c r="AZ298" s="16"/>
      <c r="BB298" s="16" t="n">
        <v>1</v>
      </c>
      <c r="BC298" s="16" t="e">
        <f aca="false">MatchData[cheval scored crossings]*5</f>
        <v>#VALUE!</v>
      </c>
      <c r="BD298" s="16" t="e">
        <f aca="false">MatchData[moat scored crosings]*5</f>
        <v>#VALUE!</v>
      </c>
      <c r="BE298" s="16" t="e">
        <f aca="false">MatchData[ramparts scored crossings]*5</f>
        <v>#VALUE!</v>
      </c>
      <c r="BF298" s="16" t="e">
        <f aca="false">MatchData[drawbridge scored crossings]*5</f>
        <v>#VALUE!</v>
      </c>
      <c r="BG298" s="16" t="e">
        <f aca="false">MatchData[sally port scored crossings]*5</f>
        <v>#VALUE!</v>
      </c>
      <c r="BH298" s="16" t="e">
        <f aca="false">MatchData[rock wall scored crossings]*5</f>
        <v>#VALUE!</v>
      </c>
      <c r="BI298" s="16" t="e">
        <f aca="false">MatchData[rough terrain scored crossings]*5</f>
        <v>#VALUE!</v>
      </c>
      <c r="BJ298" s="16" t="e">
        <f aca="false">MatchData[low bar scored crossings]*5</f>
        <v>#VALUE!</v>
      </c>
      <c r="BK298" s="16" t="e">
        <f aca="false">SUM(MatchData[[#this row],[low bar teleop crossings]:[rough terrain scored crossings]])</f>
        <v>#VALUE!</v>
      </c>
      <c r="BL298" s="16" t="e">
        <f aca="false">IFERROR(IF(OR(MatchData[[#this row],[challenge flag]],MatchData[[#this row],[climb flag]]),1,0),0)</f>
        <v>#VALUE!</v>
      </c>
      <c r="BM298" s="16" t="e">
        <f aca="false">MatchData[auto high goals]*10+MatchData[teleop high goals]*5</f>
        <v>#VALUE!</v>
      </c>
      <c r="BN298" s="16" t="e">
        <f aca="false">MatchData[auto low goals]*5+MatchData[teleop low goals]*2</f>
        <v>#VALUE!</v>
      </c>
      <c r="BO298" s="16" t="e">
        <f aca="false">MatchData[high goal score]+MatchData[low goal score]</f>
        <v>#VALUE!</v>
      </c>
      <c r="BP298" s="16" t="e">
        <f aca="false">MatchData[teleop high goals]+MatchData[teleop low goals]</f>
        <v>#VALUE!</v>
      </c>
      <c r="BQ298" s="16" t="e">
        <f aca="false">MatchData[[#this row],[auto reach flag]]*2+SUM(MatchData[[#this row],[portcullis auto crossings]:[low bar auto crossings]])*10+MatchData[[#this row],[auto low goals]]*5+MatchData[auto high goals]*10</f>
        <v>#VALUE!</v>
      </c>
      <c r="BR298" s="16" t="e">
        <f aca="false">SUM(MatchData[[#this row],[cheval teleop crossing score]:[low bar teleop crossing score]])</f>
        <v>#VALUE!</v>
      </c>
      <c r="BS298" s="16" t="e">
        <f aca="false">SUMIF(MatchData[team],MatchData[[#this row],[team]],MatchData[total auto score])/MatchData[match count]</f>
        <v>#VALUE!</v>
      </c>
      <c r="BT298" s="16" t="e">
        <f aca="false">MatchData[challenge flag]*5</f>
        <v>#VALUE!</v>
      </c>
      <c r="BU298" s="16" t="e">
        <f aca="false">MatchData[climb flag]*15</f>
        <v>#VALUE!</v>
      </c>
      <c r="BV298" s="16" t="e">
        <f aca="false">SUM(MatchData[[#this row],[total goal score]],MatchData[[#this row],[crossing score]],MatchData[[#this row],[challenge score]],MatchData[[#this row],[climb score]],MatchData[[#this row],[total auto score]])</f>
        <v>#VALUE!</v>
      </c>
      <c r="BW298" s="16" t="e">
        <f aca="false">ROUND(SUMIF(MatchData[team],MatchData[[#this row],[team]],MatchData[teleop low goals])/COUNTIF(MatchData[team],MatchData[[#this row],[team]]),2)</f>
        <v>#VALUE!</v>
      </c>
      <c r="BX298" s="16" t="e">
        <f aca="false">ROUND(SUMIF(MatchData[team],MatchData[[#this row],[team]],MatchData[teleop high goals])/COUNTIF(MatchData[team],MatchData[[#this row],[team]]),2)</f>
        <v>#VALUE!</v>
      </c>
      <c r="BY298" s="16" t="e">
        <f aca="false">COUNTIF(MatchData[team],MatchData[[#this row],[team]])</f>
        <v>#VALUE!</v>
      </c>
      <c r="BZ298" s="16" t="e">
        <f aca="false">SUMIF(MatchData[team],MatchData[[#this row],[team]],MatchData[portcullis available])</f>
        <v>#VALUE!</v>
      </c>
      <c r="CA298" s="16" t="e">
        <f aca="false">SUMIF(MatchData[team],MatchData[[#this row],[team]],MatchData[cheval available])</f>
        <v>#VALUE!</v>
      </c>
      <c r="CB298" s="16" t="e">
        <f aca="false">SUMIF(MatchData[team],MatchData[[#this row],[team]],MatchData[moat available])</f>
        <v>#VALUE!</v>
      </c>
      <c r="CC298" s="16" t="e">
        <f aca="false">SUMIF(MatchData[team],MatchData[[#this row],[team]],MatchData[ramparts available])</f>
        <v>#VALUE!</v>
      </c>
      <c r="CD298" s="16" t="e">
        <f aca="false">SUMIF(MatchData[team],MatchData[[#this row],[team]],MatchData[drawbridge available])</f>
        <v>#VALUE!</v>
      </c>
      <c r="CE298" s="16" t="e">
        <f aca="false">SUMIF(MatchData[team],MatchData[[#this row],[team]],MatchData[sally port available])</f>
        <v>#VALUE!</v>
      </c>
      <c r="CF298" s="16" t="e">
        <f aca="false">SUMIF(MatchData[team],MatchData[[#this row],[team]],MatchData[rock wall available])</f>
        <v>#VALUE!</v>
      </c>
      <c r="CG298" s="16" t="e">
        <f aca="false">SUMIF(MatchData[team],MatchData[[#this row],[team]],MatchData[rough terrain available])</f>
        <v>#VALUE!</v>
      </c>
      <c r="CH298" s="16" t="e">
        <f aca="false">SUMIF(MatchData[team],MatchData[[#this row],[team]],MatchData[low bar available])</f>
        <v>#VALUE!</v>
      </c>
      <c r="CI298" s="16" t="e">
        <f aca="false">SUMIF(MatchData[team],MatchData[[#this row],[team]],MatchData[portcullis teleop crossings]:MatchData[portcullis scored crossings])</f>
        <v>#VALUE!</v>
      </c>
      <c r="CJ298" s="16" t="e">
        <f aca="false">SUMIF(MatchData[team],MatchData[[#this row],[team]],MatchData[cheval teleop crossings])+SUMIF(MatchData[team],MatchData[[#this row],[team]],MatchData[cheval scored crossings])</f>
        <v>#VALUE!</v>
      </c>
      <c r="CK298" s="16" t="e">
        <f aca="false">SUMIF(MatchData[team],MatchData[[#this row],[team]],MatchData[moat teleop crossings])+SUMIF(MatchData[team],MatchData[[#this row],[team]],MatchData[moat scored crosings])</f>
        <v>#VALUE!</v>
      </c>
      <c r="CL298" s="16" t="e">
        <f aca="false">SUMIF(MatchData[team],MatchData[[#this row],[team]],MatchData[ramparts teleop crossings])+SUMIF(MatchData[team],MatchData[[#this row],[team]],MatchData[ramparts scored crossings])</f>
        <v>#VALUE!</v>
      </c>
      <c r="CM298" s="16" t="e">
        <f aca="false">SUMIF(MatchData[team],MatchData[[#this row],[team]],MatchData[drawbridge teleop crossings])+SUMIF(MatchData[team],MatchData[[#this row],[team]],MatchData[drawbridge scored crossings])</f>
        <v>#VALUE!</v>
      </c>
      <c r="CN298" s="16" t="e">
        <f aca="false">SUMIF(MatchData[team],MatchData[[#this row],[team]],MatchData[sally port teleop crossings])+SUMIF(MatchData[team],MatchData[[#this row],[team]],MatchData[sally port scored crossings])</f>
        <v>#VALUE!</v>
      </c>
      <c r="CO298" s="16" t="e">
        <f aca="false">SUMIF(MatchData[team],MatchData[[#this row],[team]],MatchData[rock wall teleop crossings])+SUMIF(MatchData[team],MatchData[[#this row],[team]],MatchData[rock wall scored crossings])</f>
        <v>#VALUE!</v>
      </c>
      <c r="CP298" s="16" t="e">
        <f aca="false">SUMIF(MatchData[team],MatchData[[#this row],[team]],MatchData[rough terrain teleop crossings])+SUMIF(MatchData[team],MatchData[[#this row],[team]],MatchData[rough terrain scored crossings])</f>
        <v>#VALUE!</v>
      </c>
      <c r="CQ298" s="16" t="e">
        <f aca="false">SUMIF(MatchData[team],MatchData[[#this row],[team]],MatchData[low bar teleop crossings])+SUMIF(MatchData[team],MatchData[[#this row],[team]],MatchData[low bar scored crossings])</f>
        <v>#VALUE!</v>
      </c>
      <c r="CR298" s="16" t="e">
        <f aca="false">IFERROR(ROUND(MatchData[[#this row],[portcullis sum]]/MatchData[[#this row],[portcullis avail count]],2),0)</f>
        <v>#VALUE!</v>
      </c>
      <c r="CS298" s="16" t="e">
        <f aca="false">IFERROR(ROUND(MatchData[[#this row],[cheval sum]]/MatchData[[#this row],[cheval avail count]],2),0)</f>
        <v>#VALUE!</v>
      </c>
      <c r="CT298" s="16" t="e">
        <f aca="false">IFERROR(ROUND(MatchData[[#this row],[moat sum]]/MatchData[[#this row],[moat avail count]],2),0)</f>
        <v>#VALUE!</v>
      </c>
      <c r="CU298" s="16" t="e">
        <f aca="false">IFERROR(ROUND(MatchData[[#this row],[ramparts sum]]/MatchData[[#this row],[ramparts avail count]],2),0)</f>
        <v>#VALUE!</v>
      </c>
      <c r="CV298" s="16" t="e">
        <f aca="false">IFERROR(ROUND(MatchData[[#this row],[drawbridge sum]]/MatchData[[#this row],[drawbridge avail countigh6]],2),0)</f>
        <v>#VALUE!</v>
      </c>
      <c r="CW298" s="16" t="e">
        <f aca="false">IFERROR(ROUND(MatchData[[#this row],[sally port sum]]/MatchData[[#this row],[sally port avail count]],2),0)</f>
        <v>#VALUE!</v>
      </c>
      <c r="CX298" s="5" t="e">
        <f aca="false">IFERROR(ROUND(MatchData[[#this row],[rock wall sum]]/MatchData[[#this row],[rock wall avail count]],2),0)</f>
        <v>#VALUE!</v>
      </c>
      <c r="CY298" s="5" t="e">
        <f aca="false">IFERROR(ROUND(MatchData[[#this row],[rough terrain sum]]/MatchData[[#this row],[rough terrain avail count]],2),0)</f>
        <v>#VALUE!</v>
      </c>
      <c r="CZ298" s="5" t="e">
        <f aca="false">IFERROR(ROUND(MatchData[[#this row],[low bar sum]]/MatchData[[#this row],[low bar avail count]],2),0)</f>
        <v>#VALUE!</v>
      </c>
      <c r="DA298" s="16" t="e">
        <f aca="false">SUM(MatchData[[#this row],[cheval sum]:[low bar sum]])/MatchData[match count]</f>
        <v>#VALUE!</v>
      </c>
      <c r="DB298" s="16" t="n">
        <f aca="false">MAX(IF(C$2:C$74=C298,BP$2:BP$74))</f>
        <v>-1.79769313486232E+308</v>
      </c>
      <c r="DC298" s="16" t="e">
        <f aca="false">AVERAGEIF(MatchData[team],MatchData[[#this row],[team]],MatchData[total score])</f>
        <v>#VALUE!</v>
      </c>
      <c r="DD298" s="16" t="e">
        <f aca="false">ROUND(AVERAGEIF(MatchData[team],MatchData[team],MatchData[climb or challenge flag]),2)</f>
        <v>#VALUE!</v>
      </c>
    </row>
    <row r="299" customFormat="false" ht="14.5" hidden="false" customHeight="false" outlineLevel="0" collapsed="false">
      <c r="A299" s="20" t="s">
        <v>108</v>
      </c>
      <c r="B299" s="14" t="n">
        <v>50</v>
      </c>
      <c r="C299" s="15" t="n">
        <v>1510</v>
      </c>
      <c r="D299" s="5" t="s">
        <v>113</v>
      </c>
      <c r="E299" s="5" t="s">
        <v>127</v>
      </c>
      <c r="G299" s="16"/>
      <c r="I299" s="16"/>
      <c r="J299" s="5" t="n">
        <v>1</v>
      </c>
      <c r="K299" s="16"/>
      <c r="L299" s="5" t="n">
        <v>1</v>
      </c>
      <c r="M299" s="5" t="n">
        <v>1</v>
      </c>
      <c r="P299" s="5" t="n">
        <v>1</v>
      </c>
      <c r="Q299" s="5" t="n">
        <v>1</v>
      </c>
      <c r="S299" s="16"/>
      <c r="U299" s="16"/>
      <c r="V299" s="16"/>
      <c r="AD299" s="16"/>
      <c r="AE299" s="5"/>
      <c r="AF299" s="16"/>
      <c r="AG299" s="16"/>
      <c r="AH299" s="16"/>
      <c r="AJ299" s="16"/>
      <c r="AL299" s="16"/>
      <c r="AN299" s="16"/>
      <c r="AP299" s="16"/>
      <c r="AR299" s="16"/>
      <c r="AT299" s="16"/>
      <c r="AU299" s="16"/>
      <c r="AV299" s="16"/>
      <c r="AW299" s="16"/>
      <c r="AX299" s="16"/>
      <c r="AY299" s="16"/>
      <c r="AZ299" s="16" t="n">
        <v>1</v>
      </c>
      <c r="BB299" s="16"/>
      <c r="BC299" s="16" t="e">
        <f aca="false">MatchData[cheval scored crossings]*5</f>
        <v>#VALUE!</v>
      </c>
      <c r="BD299" s="16" t="e">
        <f aca="false">MatchData[moat scored crosings]*5</f>
        <v>#VALUE!</v>
      </c>
      <c r="BE299" s="16" t="e">
        <f aca="false">MatchData[ramparts scored crossings]*5</f>
        <v>#VALUE!</v>
      </c>
      <c r="BF299" s="16" t="e">
        <f aca="false">MatchData[drawbridge scored crossings]*5</f>
        <v>#VALUE!</v>
      </c>
      <c r="BG299" s="16" t="e">
        <f aca="false">MatchData[sally port scored crossings]*5</f>
        <v>#VALUE!</v>
      </c>
      <c r="BH299" s="16" t="e">
        <f aca="false">MatchData[rock wall scored crossings]*5</f>
        <v>#VALUE!</v>
      </c>
      <c r="BI299" s="16" t="e">
        <f aca="false">MatchData[rough terrain scored crossings]*5</f>
        <v>#VALUE!</v>
      </c>
      <c r="BJ299" s="16" t="e">
        <f aca="false">MatchData[low bar scored crossings]*5</f>
        <v>#VALUE!</v>
      </c>
      <c r="BK299" s="16" t="e">
        <f aca="false">SUM(MatchData[[#this row],[low bar teleop crossings]:[rough terrain scored crossings]])</f>
        <v>#VALUE!</v>
      </c>
      <c r="BL299" s="16" t="e">
        <f aca="false">IFERROR(IF(OR(MatchData[[#this row],[challenge flag]],MatchData[[#this row],[climb flag]]),1,0),0)</f>
        <v>#VALUE!</v>
      </c>
      <c r="BM299" s="16" t="e">
        <f aca="false">MatchData[auto high goals]*10+MatchData[teleop high goals]*5</f>
        <v>#VALUE!</v>
      </c>
      <c r="BN299" s="16" t="e">
        <f aca="false">MatchData[auto low goals]*5+MatchData[teleop low goals]*2</f>
        <v>#VALUE!</v>
      </c>
      <c r="BO299" s="16" t="e">
        <f aca="false">MatchData[high goal score]+MatchData[low goal score]</f>
        <v>#VALUE!</v>
      </c>
      <c r="BP299" s="16" t="e">
        <f aca="false">MatchData[teleop high goals]+MatchData[teleop low goals]</f>
        <v>#VALUE!</v>
      </c>
      <c r="BQ299" s="16" t="e">
        <f aca="false">MatchData[[#this row],[auto reach flag]]*2+SUM(MatchData[[#this row],[portcullis auto crossings]:[low bar auto crossings]])*10+MatchData[[#this row],[auto low goals]]*5+MatchData[auto high goals]*10</f>
        <v>#VALUE!</v>
      </c>
      <c r="BR299" s="16" t="e">
        <f aca="false">SUM(MatchData[[#this row],[cheval teleop crossing score]:[low bar teleop crossing score]])</f>
        <v>#VALUE!</v>
      </c>
      <c r="BS299" s="16" t="e">
        <f aca="false">SUMIF(MatchData[team],MatchData[[#this row],[team]],MatchData[total auto score])/MatchData[match count]</f>
        <v>#VALUE!</v>
      </c>
      <c r="BT299" s="16" t="e">
        <f aca="false">MatchData[challenge flag]*5</f>
        <v>#VALUE!</v>
      </c>
      <c r="BU299" s="16" t="e">
        <f aca="false">MatchData[climb flag]*15</f>
        <v>#VALUE!</v>
      </c>
      <c r="BV299" s="16" t="e">
        <f aca="false">SUM(MatchData[[#this row],[total goal score]],MatchData[[#this row],[crossing score]],MatchData[[#this row],[challenge score]],MatchData[[#this row],[climb score]],MatchData[[#this row],[total auto score]])</f>
        <v>#VALUE!</v>
      </c>
      <c r="BW299" s="16" t="e">
        <f aca="false">ROUND(SUMIF(MatchData[team],MatchData[[#this row],[team]],MatchData[teleop low goals])/COUNTIF(MatchData[team],MatchData[[#this row],[team]]),2)</f>
        <v>#VALUE!</v>
      </c>
      <c r="BX299" s="16" t="e">
        <f aca="false">ROUND(SUMIF(MatchData[team],MatchData[[#this row],[team]],MatchData[teleop high goals])/COUNTIF(MatchData[team],MatchData[[#this row],[team]]),2)</f>
        <v>#VALUE!</v>
      </c>
      <c r="BY299" s="16" t="e">
        <f aca="false">COUNTIF(MatchData[team],MatchData[[#this row],[team]])</f>
        <v>#VALUE!</v>
      </c>
      <c r="BZ299" s="16" t="e">
        <f aca="false">SUMIF(MatchData[team],MatchData[[#this row],[team]],MatchData[portcullis available])</f>
        <v>#VALUE!</v>
      </c>
      <c r="CA299" s="16" t="e">
        <f aca="false">SUMIF(MatchData[team],MatchData[[#this row],[team]],MatchData[cheval available])</f>
        <v>#VALUE!</v>
      </c>
      <c r="CB299" s="16" t="e">
        <f aca="false">SUMIF(MatchData[team],MatchData[[#this row],[team]],MatchData[moat available])</f>
        <v>#VALUE!</v>
      </c>
      <c r="CC299" s="16" t="e">
        <f aca="false">SUMIF(MatchData[team],MatchData[[#this row],[team]],MatchData[ramparts available])</f>
        <v>#VALUE!</v>
      </c>
      <c r="CD299" s="16" t="e">
        <f aca="false">SUMIF(MatchData[team],MatchData[[#this row],[team]],MatchData[drawbridge available])</f>
        <v>#VALUE!</v>
      </c>
      <c r="CE299" s="16" t="e">
        <f aca="false">SUMIF(MatchData[team],MatchData[[#this row],[team]],MatchData[sally port available])</f>
        <v>#VALUE!</v>
      </c>
      <c r="CF299" s="16" t="e">
        <f aca="false">SUMIF(MatchData[team],MatchData[[#this row],[team]],MatchData[rock wall available])</f>
        <v>#VALUE!</v>
      </c>
      <c r="CG299" s="16" t="e">
        <f aca="false">SUMIF(MatchData[team],MatchData[[#this row],[team]],MatchData[rough terrain available])</f>
        <v>#VALUE!</v>
      </c>
      <c r="CH299" s="16" t="e">
        <f aca="false">SUMIF(MatchData[team],MatchData[[#this row],[team]],MatchData[low bar available])</f>
        <v>#VALUE!</v>
      </c>
      <c r="CI299" s="16" t="e">
        <f aca="false">SUMIF(MatchData[team],MatchData[[#this row],[team]],MatchData[portcullis teleop crossings]:MatchData[portcullis scored crossings])</f>
        <v>#VALUE!</v>
      </c>
      <c r="CJ299" s="16" t="e">
        <f aca="false">SUMIF(MatchData[team],MatchData[[#this row],[team]],MatchData[cheval teleop crossings])+SUMIF(MatchData[team],MatchData[[#this row],[team]],MatchData[cheval scored crossings])</f>
        <v>#VALUE!</v>
      </c>
      <c r="CK299" s="16" t="e">
        <f aca="false">SUMIF(MatchData[team],MatchData[[#this row],[team]],MatchData[moat teleop crossings])+SUMIF(MatchData[team],MatchData[[#this row],[team]],MatchData[moat scored crosings])</f>
        <v>#VALUE!</v>
      </c>
      <c r="CL299" s="16" t="e">
        <f aca="false">SUMIF(MatchData[team],MatchData[[#this row],[team]],MatchData[ramparts teleop crossings])+SUMIF(MatchData[team],MatchData[[#this row],[team]],MatchData[ramparts scored crossings])</f>
        <v>#VALUE!</v>
      </c>
      <c r="CM299" s="16" t="e">
        <f aca="false">SUMIF(MatchData[team],MatchData[[#this row],[team]],MatchData[drawbridge teleop crossings])+SUMIF(MatchData[team],MatchData[[#this row],[team]],MatchData[drawbridge scored crossings])</f>
        <v>#VALUE!</v>
      </c>
      <c r="CN299" s="16" t="e">
        <f aca="false">SUMIF(MatchData[team],MatchData[[#this row],[team]],MatchData[sally port teleop crossings])+SUMIF(MatchData[team],MatchData[[#this row],[team]],MatchData[sally port scored crossings])</f>
        <v>#VALUE!</v>
      </c>
      <c r="CO299" s="16" t="e">
        <f aca="false">SUMIF(MatchData[team],MatchData[[#this row],[team]],MatchData[rock wall teleop crossings])+SUMIF(MatchData[team],MatchData[[#this row],[team]],MatchData[rock wall scored crossings])</f>
        <v>#VALUE!</v>
      </c>
      <c r="CP299" s="16" t="e">
        <f aca="false">SUMIF(MatchData[team],MatchData[[#this row],[team]],MatchData[rough terrain teleop crossings])+SUMIF(MatchData[team],MatchData[[#this row],[team]],MatchData[rough terrain scored crossings])</f>
        <v>#VALUE!</v>
      </c>
      <c r="CQ299" s="16" t="e">
        <f aca="false">SUMIF(MatchData[team],MatchData[[#this row],[team]],MatchData[low bar teleop crossings])+SUMIF(MatchData[team],MatchData[[#this row],[team]],MatchData[low bar scored crossings])</f>
        <v>#VALUE!</v>
      </c>
      <c r="CR299" s="16" t="e">
        <f aca="false">IFERROR(ROUND(MatchData[[#this row],[portcullis sum]]/MatchData[[#this row],[portcullis avail count]],2),0)</f>
        <v>#VALUE!</v>
      </c>
      <c r="CS299" s="16" t="e">
        <f aca="false">IFERROR(ROUND(MatchData[[#this row],[cheval sum]]/MatchData[[#this row],[cheval avail count]],2),0)</f>
        <v>#VALUE!</v>
      </c>
      <c r="CT299" s="16" t="e">
        <f aca="false">IFERROR(ROUND(MatchData[[#this row],[moat sum]]/MatchData[[#this row],[moat avail count]],2),0)</f>
        <v>#VALUE!</v>
      </c>
      <c r="CU299" s="16" t="e">
        <f aca="false">IFERROR(ROUND(MatchData[[#this row],[ramparts sum]]/MatchData[[#this row],[ramparts avail count]],2),0)</f>
        <v>#VALUE!</v>
      </c>
      <c r="CV299" s="16" t="e">
        <f aca="false">IFERROR(ROUND(MatchData[[#this row],[drawbridge sum]]/MatchData[[#this row],[drawbridge avail countigh6]],2),0)</f>
        <v>#VALUE!</v>
      </c>
      <c r="CW299" s="16" t="e">
        <f aca="false">IFERROR(ROUND(MatchData[[#this row],[sally port sum]]/MatchData[[#this row],[sally port avail count]],2),0)</f>
        <v>#VALUE!</v>
      </c>
      <c r="CX299" s="5" t="e">
        <f aca="false">IFERROR(ROUND(MatchData[[#this row],[rock wall sum]]/MatchData[[#this row],[rock wall avail count]],2),0)</f>
        <v>#VALUE!</v>
      </c>
      <c r="CY299" s="5" t="e">
        <f aca="false">IFERROR(ROUND(MatchData[[#this row],[rough terrain sum]]/MatchData[[#this row],[rough terrain avail count]],2),0)</f>
        <v>#VALUE!</v>
      </c>
      <c r="CZ299" s="5" t="e">
        <f aca="false">IFERROR(ROUND(MatchData[[#this row],[low bar sum]]/MatchData[[#this row],[low bar avail count]],2),0)</f>
        <v>#VALUE!</v>
      </c>
      <c r="DA299" s="16" t="e">
        <f aca="false">SUM(MatchData[[#this row],[cheval sum]:[low bar sum]])/MatchData[match count]</f>
        <v>#VALUE!</v>
      </c>
      <c r="DB299" s="16" t="n">
        <f aca="false">MAX(IF(C$2:C$74=C299,BP$2:BP$74))</f>
        <v>-1.79769313486232E+308</v>
      </c>
      <c r="DC299" s="16" t="e">
        <f aca="false">AVERAGEIF(MatchData[team],MatchData[[#this row],[team]],MatchData[total score])</f>
        <v>#VALUE!</v>
      </c>
      <c r="DD299" s="16" t="e">
        <f aca="false">ROUND(AVERAGEIF(MatchData[team],MatchData[team],MatchData[climb or challenge flag]),2)</f>
        <v>#VALUE!</v>
      </c>
    </row>
    <row r="300" customFormat="false" ht="14.5" hidden="false" customHeight="false" outlineLevel="0" collapsed="false">
      <c r="A300" s="20" t="s">
        <v>108</v>
      </c>
      <c r="B300" s="14" t="n">
        <v>50</v>
      </c>
      <c r="C300" s="15" t="n">
        <v>2471</v>
      </c>
      <c r="D300" s="5" t="s">
        <v>113</v>
      </c>
      <c r="E300" s="5" t="s">
        <v>140</v>
      </c>
      <c r="G300" s="16" t="n">
        <v>3</v>
      </c>
      <c r="I300" s="16"/>
      <c r="J300" s="5" t="n">
        <v>1</v>
      </c>
      <c r="K300" s="16"/>
      <c r="L300" s="5" t="n">
        <v>1</v>
      </c>
      <c r="M300" s="5" t="n">
        <v>1</v>
      </c>
      <c r="P300" s="5" t="n">
        <v>1</v>
      </c>
      <c r="Q300" s="5" t="n">
        <v>1</v>
      </c>
      <c r="S300" s="16"/>
      <c r="U300" s="16"/>
      <c r="V300" s="16" t="n">
        <v>1</v>
      </c>
      <c r="AD300" s="16"/>
      <c r="AE300" s="5"/>
      <c r="AF300" s="16"/>
      <c r="AG300" s="16"/>
      <c r="AH300" s="16"/>
      <c r="AJ300" s="16" t="n">
        <v>1</v>
      </c>
      <c r="AL300" s="16"/>
      <c r="AN300" s="16"/>
      <c r="AP300" s="16" t="n">
        <v>2</v>
      </c>
      <c r="AR300" s="16"/>
      <c r="AT300" s="16"/>
      <c r="AU300" s="16" t="n">
        <v>1</v>
      </c>
      <c r="AV300" s="16"/>
      <c r="AW300" s="16" t="n">
        <v>1</v>
      </c>
      <c r="AX300" s="16"/>
      <c r="AY300" s="16"/>
      <c r="AZ300" s="16"/>
      <c r="BB300" s="16"/>
      <c r="BC300" s="16" t="e">
        <f aca="false">MatchData[cheval scored crossings]*5</f>
        <v>#VALUE!</v>
      </c>
      <c r="BD300" s="16" t="e">
        <f aca="false">MatchData[moat scored crosings]*5</f>
        <v>#VALUE!</v>
      </c>
      <c r="BE300" s="16" t="e">
        <f aca="false">MatchData[ramparts scored crossings]*5</f>
        <v>#VALUE!</v>
      </c>
      <c r="BF300" s="16" t="e">
        <f aca="false">MatchData[drawbridge scored crossings]*5</f>
        <v>#VALUE!</v>
      </c>
      <c r="BG300" s="16" t="e">
        <f aca="false">MatchData[sally port scored crossings]*5</f>
        <v>#VALUE!</v>
      </c>
      <c r="BH300" s="16" t="e">
        <f aca="false">MatchData[rock wall scored crossings]*5</f>
        <v>#VALUE!</v>
      </c>
      <c r="BI300" s="16" t="e">
        <f aca="false">MatchData[rough terrain scored crossings]*5</f>
        <v>#VALUE!</v>
      </c>
      <c r="BJ300" s="16" t="e">
        <f aca="false">MatchData[low bar scored crossings]*5</f>
        <v>#VALUE!</v>
      </c>
      <c r="BK300" s="16" t="e">
        <f aca="false">SUM(MatchData[[#this row],[low bar teleop crossings]:[rough terrain scored crossings]])</f>
        <v>#VALUE!</v>
      </c>
      <c r="BL300" s="16" t="e">
        <f aca="false">IFERROR(IF(OR(MatchData[[#this row],[challenge flag]],MatchData[[#this row],[climb flag]]),1,0),0)</f>
        <v>#VALUE!</v>
      </c>
      <c r="BM300" s="16" t="e">
        <f aca="false">MatchData[auto high goals]*10+MatchData[teleop high goals]*5</f>
        <v>#VALUE!</v>
      </c>
      <c r="BN300" s="16" t="e">
        <f aca="false">MatchData[auto low goals]*5+MatchData[teleop low goals]*2</f>
        <v>#VALUE!</v>
      </c>
      <c r="BO300" s="16" t="e">
        <f aca="false">MatchData[high goal score]+MatchData[low goal score]</f>
        <v>#VALUE!</v>
      </c>
      <c r="BP300" s="16" t="e">
        <f aca="false">MatchData[teleop high goals]+MatchData[teleop low goals]</f>
        <v>#VALUE!</v>
      </c>
      <c r="BQ300" s="16" t="e">
        <f aca="false">MatchData[[#this row],[auto reach flag]]*2+SUM(MatchData[[#this row],[portcullis auto crossings]:[low bar auto crossings]])*10+MatchData[[#this row],[auto low goals]]*5+MatchData[auto high goals]*10</f>
        <v>#VALUE!</v>
      </c>
      <c r="BR300" s="16" t="e">
        <f aca="false">SUM(MatchData[[#this row],[cheval teleop crossing score]:[low bar teleop crossing score]])</f>
        <v>#VALUE!</v>
      </c>
      <c r="BS300" s="16" t="e">
        <f aca="false">SUMIF(MatchData[team],MatchData[[#this row],[team]],MatchData[total auto score])/MatchData[match count]</f>
        <v>#VALUE!</v>
      </c>
      <c r="BT300" s="16" t="e">
        <f aca="false">MatchData[challenge flag]*5</f>
        <v>#VALUE!</v>
      </c>
      <c r="BU300" s="16" t="e">
        <f aca="false">MatchData[climb flag]*15</f>
        <v>#VALUE!</v>
      </c>
      <c r="BV300" s="16" t="e">
        <f aca="false">SUM(MatchData[[#this row],[total goal score]],MatchData[[#this row],[crossing score]],MatchData[[#this row],[challenge score]],MatchData[[#this row],[climb score]],MatchData[[#this row],[total auto score]])</f>
        <v>#VALUE!</v>
      </c>
      <c r="BW300" s="16" t="e">
        <f aca="false">ROUND(SUMIF(MatchData[team],MatchData[[#this row],[team]],MatchData[teleop low goals])/COUNTIF(MatchData[team],MatchData[[#this row],[team]]),2)</f>
        <v>#VALUE!</v>
      </c>
      <c r="BX300" s="16" t="e">
        <f aca="false">ROUND(SUMIF(MatchData[team],MatchData[[#this row],[team]],MatchData[teleop high goals])/COUNTIF(MatchData[team],MatchData[[#this row],[team]]),2)</f>
        <v>#VALUE!</v>
      </c>
      <c r="BY300" s="16" t="e">
        <f aca="false">COUNTIF(MatchData[team],MatchData[[#this row],[team]])</f>
        <v>#VALUE!</v>
      </c>
      <c r="BZ300" s="16" t="e">
        <f aca="false">SUMIF(MatchData[team],MatchData[[#this row],[team]],MatchData[portcullis available])</f>
        <v>#VALUE!</v>
      </c>
      <c r="CA300" s="16" t="e">
        <f aca="false">SUMIF(MatchData[team],MatchData[[#this row],[team]],MatchData[cheval available])</f>
        <v>#VALUE!</v>
      </c>
      <c r="CB300" s="16" t="e">
        <f aca="false">SUMIF(MatchData[team],MatchData[[#this row],[team]],MatchData[moat available])</f>
        <v>#VALUE!</v>
      </c>
      <c r="CC300" s="16" t="e">
        <f aca="false">SUMIF(MatchData[team],MatchData[[#this row],[team]],MatchData[ramparts available])</f>
        <v>#VALUE!</v>
      </c>
      <c r="CD300" s="16" t="e">
        <f aca="false">SUMIF(MatchData[team],MatchData[[#this row],[team]],MatchData[drawbridge available])</f>
        <v>#VALUE!</v>
      </c>
      <c r="CE300" s="16" t="e">
        <f aca="false">SUMIF(MatchData[team],MatchData[[#this row],[team]],MatchData[sally port available])</f>
        <v>#VALUE!</v>
      </c>
      <c r="CF300" s="16" t="e">
        <f aca="false">SUMIF(MatchData[team],MatchData[[#this row],[team]],MatchData[rock wall available])</f>
        <v>#VALUE!</v>
      </c>
      <c r="CG300" s="16" t="e">
        <f aca="false">SUMIF(MatchData[team],MatchData[[#this row],[team]],MatchData[rough terrain available])</f>
        <v>#VALUE!</v>
      </c>
      <c r="CH300" s="16" t="e">
        <f aca="false">SUMIF(MatchData[team],MatchData[[#this row],[team]],MatchData[low bar available])</f>
        <v>#VALUE!</v>
      </c>
      <c r="CI300" s="16" t="e">
        <f aca="false">SUMIF(MatchData[team],MatchData[[#this row],[team]],MatchData[portcullis teleop crossings]:MatchData[portcullis scored crossings])</f>
        <v>#VALUE!</v>
      </c>
      <c r="CJ300" s="16" t="e">
        <f aca="false">SUMIF(MatchData[team],MatchData[[#this row],[team]],MatchData[cheval teleop crossings])+SUMIF(MatchData[team],MatchData[[#this row],[team]],MatchData[cheval scored crossings])</f>
        <v>#VALUE!</v>
      </c>
      <c r="CK300" s="16" t="e">
        <f aca="false">SUMIF(MatchData[team],MatchData[[#this row],[team]],MatchData[moat teleop crossings])+SUMIF(MatchData[team],MatchData[[#this row],[team]],MatchData[moat scored crosings])</f>
        <v>#VALUE!</v>
      </c>
      <c r="CL300" s="16" t="e">
        <f aca="false">SUMIF(MatchData[team],MatchData[[#this row],[team]],MatchData[ramparts teleop crossings])+SUMIF(MatchData[team],MatchData[[#this row],[team]],MatchData[ramparts scored crossings])</f>
        <v>#VALUE!</v>
      </c>
      <c r="CM300" s="16" t="e">
        <f aca="false">SUMIF(MatchData[team],MatchData[[#this row],[team]],MatchData[drawbridge teleop crossings])+SUMIF(MatchData[team],MatchData[[#this row],[team]],MatchData[drawbridge scored crossings])</f>
        <v>#VALUE!</v>
      </c>
      <c r="CN300" s="16" t="e">
        <f aca="false">SUMIF(MatchData[team],MatchData[[#this row],[team]],MatchData[sally port teleop crossings])+SUMIF(MatchData[team],MatchData[[#this row],[team]],MatchData[sally port scored crossings])</f>
        <v>#VALUE!</v>
      </c>
      <c r="CO300" s="16" t="e">
        <f aca="false">SUMIF(MatchData[team],MatchData[[#this row],[team]],MatchData[rock wall teleop crossings])+SUMIF(MatchData[team],MatchData[[#this row],[team]],MatchData[rock wall scored crossings])</f>
        <v>#VALUE!</v>
      </c>
      <c r="CP300" s="16" t="e">
        <f aca="false">SUMIF(MatchData[team],MatchData[[#this row],[team]],MatchData[rough terrain teleop crossings])+SUMIF(MatchData[team],MatchData[[#this row],[team]],MatchData[rough terrain scored crossings])</f>
        <v>#VALUE!</v>
      </c>
      <c r="CQ300" s="16" t="e">
        <f aca="false">SUMIF(MatchData[team],MatchData[[#this row],[team]],MatchData[low bar teleop crossings])+SUMIF(MatchData[team],MatchData[[#this row],[team]],MatchData[low bar scored crossings])</f>
        <v>#VALUE!</v>
      </c>
      <c r="CR300" s="16" t="e">
        <f aca="false">IFERROR(ROUND(MatchData[[#this row],[portcullis sum]]/MatchData[[#this row],[portcullis avail count]],2),0)</f>
        <v>#VALUE!</v>
      </c>
      <c r="CS300" s="16" t="e">
        <f aca="false">IFERROR(ROUND(MatchData[[#this row],[cheval sum]]/MatchData[[#this row],[cheval avail count]],2),0)</f>
        <v>#VALUE!</v>
      </c>
      <c r="CT300" s="16" t="e">
        <f aca="false">IFERROR(ROUND(MatchData[[#this row],[moat sum]]/MatchData[[#this row],[moat avail count]],2),0)</f>
        <v>#VALUE!</v>
      </c>
      <c r="CU300" s="16" t="e">
        <f aca="false">IFERROR(ROUND(MatchData[[#this row],[ramparts sum]]/MatchData[[#this row],[ramparts avail count]],2),0)</f>
        <v>#VALUE!</v>
      </c>
      <c r="CV300" s="16" t="e">
        <f aca="false">IFERROR(ROUND(MatchData[[#this row],[drawbridge sum]]/MatchData[[#this row],[drawbridge avail countigh6]],2),0)</f>
        <v>#VALUE!</v>
      </c>
      <c r="CW300" s="16" t="e">
        <f aca="false">IFERROR(ROUND(MatchData[[#this row],[sally port sum]]/MatchData[[#this row],[sally port avail count]],2),0)</f>
        <v>#VALUE!</v>
      </c>
      <c r="CX300" s="5" t="e">
        <f aca="false">IFERROR(ROUND(MatchData[[#this row],[rock wall sum]]/MatchData[[#this row],[rock wall avail count]],2),0)</f>
        <v>#VALUE!</v>
      </c>
      <c r="CY300" s="5" t="e">
        <f aca="false">IFERROR(ROUND(MatchData[[#this row],[rough terrain sum]]/MatchData[[#this row],[rough terrain avail count]],2),0)</f>
        <v>#VALUE!</v>
      </c>
      <c r="CZ300" s="5" t="e">
        <f aca="false">IFERROR(ROUND(MatchData[[#this row],[low bar sum]]/MatchData[[#this row],[low bar avail count]],2),0)</f>
        <v>#VALUE!</v>
      </c>
      <c r="DA300" s="16" t="e">
        <f aca="false">SUM(MatchData[[#this row],[cheval sum]:[low bar sum]])/MatchData[match count]</f>
        <v>#VALUE!</v>
      </c>
      <c r="DB300" s="16" t="n">
        <f aca="false">MAX(IF(C$2:C$74=C300,BP$2:BP$74))</f>
        <v>-1.79769313486232E+308</v>
      </c>
      <c r="DC300" s="16" t="e">
        <f aca="false">AVERAGEIF(MatchData[team],MatchData[[#this row],[team]],MatchData[total score])</f>
        <v>#VALUE!</v>
      </c>
      <c r="DD300" s="16" t="e">
        <f aca="false">ROUND(AVERAGEIF(MatchData[team],MatchData[team],MatchData[climb or challenge flag]),2)</f>
        <v>#VALUE!</v>
      </c>
    </row>
    <row r="301" customFormat="false" ht="14.5" hidden="false" customHeight="false" outlineLevel="0" collapsed="false">
      <c r="A301" s="20" t="s">
        <v>108</v>
      </c>
      <c r="B301" s="14" t="n">
        <v>50</v>
      </c>
      <c r="C301" s="15" t="n">
        <v>2915</v>
      </c>
      <c r="D301" s="5" t="s">
        <v>113</v>
      </c>
      <c r="E301" s="5" t="s">
        <v>137</v>
      </c>
      <c r="G301" s="16"/>
      <c r="I301" s="16"/>
      <c r="J301" s="5" t="n">
        <v>1</v>
      </c>
      <c r="K301" s="16"/>
      <c r="L301" s="5" t="n">
        <v>1</v>
      </c>
      <c r="M301" s="5" t="n">
        <v>1</v>
      </c>
      <c r="P301" s="5" t="n">
        <v>1</v>
      </c>
      <c r="Q301" s="5" t="n">
        <v>1</v>
      </c>
      <c r="S301" s="16" t="n">
        <v>1</v>
      </c>
      <c r="U301" s="16"/>
      <c r="V301" s="16"/>
      <c r="AD301" s="16"/>
      <c r="AE301" s="5"/>
      <c r="AF301" s="16"/>
      <c r="AG301" s="16"/>
      <c r="AH301" s="16"/>
      <c r="AJ301" s="16"/>
      <c r="AL301" s="16"/>
      <c r="AN301" s="16"/>
      <c r="AP301" s="16"/>
      <c r="AR301" s="16"/>
      <c r="AT301" s="16"/>
      <c r="AU301" s="16"/>
      <c r="AV301" s="16"/>
      <c r="AW301" s="16"/>
      <c r="AX301" s="16"/>
      <c r="AY301" s="16"/>
      <c r="AZ301" s="16" t="n">
        <v>1</v>
      </c>
      <c r="BB301" s="16"/>
      <c r="BC301" s="16" t="e">
        <f aca="false">MatchData[cheval scored crossings]*5</f>
        <v>#VALUE!</v>
      </c>
      <c r="BD301" s="16" t="e">
        <f aca="false">MatchData[moat scored crosings]*5</f>
        <v>#VALUE!</v>
      </c>
      <c r="BE301" s="16" t="e">
        <f aca="false">MatchData[ramparts scored crossings]*5</f>
        <v>#VALUE!</v>
      </c>
      <c r="BF301" s="16" t="e">
        <f aca="false">MatchData[drawbridge scored crossings]*5</f>
        <v>#VALUE!</v>
      </c>
      <c r="BG301" s="16" t="e">
        <f aca="false">MatchData[sally port scored crossings]*5</f>
        <v>#VALUE!</v>
      </c>
      <c r="BH301" s="16" t="e">
        <f aca="false">MatchData[rock wall scored crossings]*5</f>
        <v>#VALUE!</v>
      </c>
      <c r="BI301" s="16" t="e">
        <f aca="false">MatchData[rough terrain scored crossings]*5</f>
        <v>#VALUE!</v>
      </c>
      <c r="BJ301" s="16" t="e">
        <f aca="false">MatchData[low bar scored crossings]*5</f>
        <v>#VALUE!</v>
      </c>
      <c r="BK301" s="16" t="e">
        <f aca="false">SUM(MatchData[[#this row],[low bar teleop crossings]:[rough terrain scored crossings]])</f>
        <v>#VALUE!</v>
      </c>
      <c r="BL301" s="16" t="e">
        <f aca="false">IFERROR(IF(OR(MatchData[[#this row],[challenge flag]],MatchData[[#this row],[climb flag]]),1,0),0)</f>
        <v>#VALUE!</v>
      </c>
      <c r="BM301" s="16" t="e">
        <f aca="false">MatchData[auto high goals]*10+MatchData[teleop high goals]*5</f>
        <v>#VALUE!</v>
      </c>
      <c r="BN301" s="16" t="e">
        <f aca="false">MatchData[auto low goals]*5+MatchData[teleop low goals]*2</f>
        <v>#VALUE!</v>
      </c>
      <c r="BO301" s="16" t="e">
        <f aca="false">MatchData[high goal score]+MatchData[low goal score]</f>
        <v>#VALUE!</v>
      </c>
      <c r="BP301" s="16" t="e">
        <f aca="false">MatchData[teleop high goals]+MatchData[teleop low goals]</f>
        <v>#VALUE!</v>
      </c>
      <c r="BQ301" s="16" t="e">
        <f aca="false">MatchData[[#this row],[auto reach flag]]*2+SUM(MatchData[[#this row],[portcullis auto crossings]:[low bar auto crossings]])*10+MatchData[[#this row],[auto low goals]]*5+MatchData[auto high goals]*10</f>
        <v>#VALUE!</v>
      </c>
      <c r="BR301" s="16" t="e">
        <f aca="false">SUM(MatchData[[#this row],[cheval teleop crossing score]:[low bar teleop crossing score]])</f>
        <v>#VALUE!</v>
      </c>
      <c r="BS301" s="16" t="e">
        <f aca="false">SUMIF(MatchData[team],MatchData[[#this row],[team]],MatchData[total auto score])/MatchData[match count]</f>
        <v>#VALUE!</v>
      </c>
      <c r="BT301" s="16" t="e">
        <f aca="false">MatchData[challenge flag]*5</f>
        <v>#VALUE!</v>
      </c>
      <c r="BU301" s="16" t="e">
        <f aca="false">MatchData[climb flag]*15</f>
        <v>#VALUE!</v>
      </c>
      <c r="BV301" s="16" t="e">
        <f aca="false">SUM(MatchData[[#this row],[total goal score]],MatchData[[#this row],[crossing score]],MatchData[[#this row],[challenge score]],MatchData[[#this row],[climb score]],MatchData[[#this row],[total auto score]])</f>
        <v>#VALUE!</v>
      </c>
      <c r="BW301" s="16" t="e">
        <f aca="false">ROUND(SUMIF(MatchData[team],MatchData[[#this row],[team]],MatchData[teleop low goals])/COUNTIF(MatchData[team],MatchData[[#this row],[team]]),2)</f>
        <v>#VALUE!</v>
      </c>
      <c r="BX301" s="16" t="e">
        <f aca="false">ROUND(SUMIF(MatchData[team],MatchData[[#this row],[team]],MatchData[teleop high goals])/COUNTIF(MatchData[team],MatchData[[#this row],[team]]),2)</f>
        <v>#VALUE!</v>
      </c>
      <c r="BY301" s="16" t="e">
        <f aca="false">COUNTIF(MatchData[team],MatchData[[#this row],[team]])</f>
        <v>#VALUE!</v>
      </c>
      <c r="BZ301" s="16" t="e">
        <f aca="false">SUMIF(MatchData[team],MatchData[[#this row],[team]],MatchData[portcullis available])</f>
        <v>#VALUE!</v>
      </c>
      <c r="CA301" s="16" t="e">
        <f aca="false">SUMIF(MatchData[team],MatchData[[#this row],[team]],MatchData[cheval available])</f>
        <v>#VALUE!</v>
      </c>
      <c r="CB301" s="16" t="e">
        <f aca="false">SUMIF(MatchData[team],MatchData[[#this row],[team]],MatchData[moat available])</f>
        <v>#VALUE!</v>
      </c>
      <c r="CC301" s="16" t="e">
        <f aca="false">SUMIF(MatchData[team],MatchData[[#this row],[team]],MatchData[ramparts available])</f>
        <v>#VALUE!</v>
      </c>
      <c r="CD301" s="16" t="e">
        <f aca="false">SUMIF(MatchData[team],MatchData[[#this row],[team]],MatchData[drawbridge available])</f>
        <v>#VALUE!</v>
      </c>
      <c r="CE301" s="16" t="e">
        <f aca="false">SUMIF(MatchData[team],MatchData[[#this row],[team]],MatchData[sally port available])</f>
        <v>#VALUE!</v>
      </c>
      <c r="CF301" s="16" t="e">
        <f aca="false">SUMIF(MatchData[team],MatchData[[#this row],[team]],MatchData[rock wall available])</f>
        <v>#VALUE!</v>
      </c>
      <c r="CG301" s="16" t="e">
        <f aca="false">SUMIF(MatchData[team],MatchData[[#this row],[team]],MatchData[rough terrain available])</f>
        <v>#VALUE!</v>
      </c>
      <c r="CH301" s="16" t="e">
        <f aca="false">SUMIF(MatchData[team],MatchData[[#this row],[team]],MatchData[low bar available])</f>
        <v>#VALUE!</v>
      </c>
      <c r="CI301" s="16" t="e">
        <f aca="false">SUMIF(MatchData[team],MatchData[[#this row],[team]],MatchData[portcullis teleop crossings]:MatchData[portcullis scored crossings])</f>
        <v>#VALUE!</v>
      </c>
      <c r="CJ301" s="16" t="e">
        <f aca="false">SUMIF(MatchData[team],MatchData[[#this row],[team]],MatchData[cheval teleop crossings])+SUMIF(MatchData[team],MatchData[[#this row],[team]],MatchData[cheval scored crossings])</f>
        <v>#VALUE!</v>
      </c>
      <c r="CK301" s="16" t="e">
        <f aca="false">SUMIF(MatchData[team],MatchData[[#this row],[team]],MatchData[moat teleop crossings])+SUMIF(MatchData[team],MatchData[[#this row],[team]],MatchData[moat scored crosings])</f>
        <v>#VALUE!</v>
      </c>
      <c r="CL301" s="16" t="e">
        <f aca="false">SUMIF(MatchData[team],MatchData[[#this row],[team]],MatchData[ramparts teleop crossings])+SUMIF(MatchData[team],MatchData[[#this row],[team]],MatchData[ramparts scored crossings])</f>
        <v>#VALUE!</v>
      </c>
      <c r="CM301" s="16" t="e">
        <f aca="false">SUMIF(MatchData[team],MatchData[[#this row],[team]],MatchData[drawbridge teleop crossings])+SUMIF(MatchData[team],MatchData[[#this row],[team]],MatchData[drawbridge scored crossings])</f>
        <v>#VALUE!</v>
      </c>
      <c r="CN301" s="16" t="e">
        <f aca="false">SUMIF(MatchData[team],MatchData[[#this row],[team]],MatchData[sally port teleop crossings])+SUMIF(MatchData[team],MatchData[[#this row],[team]],MatchData[sally port scored crossings])</f>
        <v>#VALUE!</v>
      </c>
      <c r="CO301" s="16" t="e">
        <f aca="false">SUMIF(MatchData[team],MatchData[[#this row],[team]],MatchData[rock wall teleop crossings])+SUMIF(MatchData[team],MatchData[[#this row],[team]],MatchData[rock wall scored crossings])</f>
        <v>#VALUE!</v>
      </c>
      <c r="CP301" s="16" t="e">
        <f aca="false">SUMIF(MatchData[team],MatchData[[#this row],[team]],MatchData[rough terrain teleop crossings])+SUMIF(MatchData[team],MatchData[[#this row],[team]],MatchData[rough terrain scored crossings])</f>
        <v>#VALUE!</v>
      </c>
      <c r="CQ301" s="16" t="e">
        <f aca="false">SUMIF(MatchData[team],MatchData[[#this row],[team]],MatchData[low bar teleop crossings])+SUMIF(MatchData[team],MatchData[[#this row],[team]],MatchData[low bar scored crossings])</f>
        <v>#VALUE!</v>
      </c>
      <c r="CR301" s="16" t="e">
        <f aca="false">IFERROR(ROUND(MatchData[[#this row],[portcullis sum]]/MatchData[[#this row],[portcullis avail count]],2),0)</f>
        <v>#VALUE!</v>
      </c>
      <c r="CS301" s="16" t="e">
        <f aca="false">IFERROR(ROUND(MatchData[[#this row],[cheval sum]]/MatchData[[#this row],[cheval avail count]],2),0)</f>
        <v>#VALUE!</v>
      </c>
      <c r="CT301" s="16" t="e">
        <f aca="false">IFERROR(ROUND(MatchData[[#this row],[moat sum]]/MatchData[[#this row],[moat avail count]],2),0)</f>
        <v>#VALUE!</v>
      </c>
      <c r="CU301" s="16" t="e">
        <f aca="false">IFERROR(ROUND(MatchData[[#this row],[ramparts sum]]/MatchData[[#this row],[ramparts avail count]],2),0)</f>
        <v>#VALUE!</v>
      </c>
      <c r="CV301" s="16" t="e">
        <f aca="false">IFERROR(ROUND(MatchData[[#this row],[drawbridge sum]]/MatchData[[#this row],[drawbridge avail countigh6]],2),0)</f>
        <v>#VALUE!</v>
      </c>
      <c r="CW301" s="16" t="e">
        <f aca="false">IFERROR(ROUND(MatchData[[#this row],[sally port sum]]/MatchData[[#this row],[sally port avail count]],2),0)</f>
        <v>#VALUE!</v>
      </c>
      <c r="CX301" s="5" t="e">
        <f aca="false">IFERROR(ROUND(MatchData[[#this row],[rock wall sum]]/MatchData[[#this row],[rock wall avail count]],2),0)</f>
        <v>#VALUE!</v>
      </c>
      <c r="CY301" s="5" t="e">
        <f aca="false">IFERROR(ROUND(MatchData[[#this row],[rough terrain sum]]/MatchData[[#this row],[rough terrain avail count]],2),0)</f>
        <v>#VALUE!</v>
      </c>
      <c r="CZ301" s="5" t="e">
        <f aca="false">IFERROR(ROUND(MatchData[[#this row],[low bar sum]]/MatchData[[#this row],[low bar avail count]],2),0)</f>
        <v>#VALUE!</v>
      </c>
      <c r="DA301" s="16" t="e">
        <f aca="false">SUM(MatchData[[#this row],[cheval sum]:[low bar sum]])/MatchData[match count]</f>
        <v>#VALUE!</v>
      </c>
      <c r="DB301" s="16" t="n">
        <f aca="false">MAX(IF(C$2:C$74=C301,BP$2:BP$74))</f>
        <v>-1.79769313486232E+308</v>
      </c>
      <c r="DC301" s="16" t="e">
        <f aca="false">AVERAGEIF(MatchData[team],MatchData[[#this row],[team]],MatchData[total score])</f>
        <v>#VALUE!</v>
      </c>
      <c r="DD301" s="16" t="e">
        <f aca="false">ROUND(AVERAGEIF(MatchData[team],MatchData[team],MatchData[climb or challenge flag]),2)</f>
        <v>#VALUE!</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S38"/>
  <sheetViews>
    <sheetView windowProtection="true"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1" activeCellId="0" sqref="A1"/>
    </sheetView>
  </sheetViews>
  <sheetFormatPr defaultRowHeight="14.5"/>
  <cols>
    <col collapsed="false" hidden="false" max="1" min="1" style="0" width="6.81122448979592"/>
    <col collapsed="false" hidden="false" max="2" min="2" style="0" width="14.1734693877551"/>
    <col collapsed="false" hidden="false" max="3" min="3" style="0" width="9.54081632653061"/>
    <col collapsed="false" hidden="false" max="4" min="4" style="0" width="13.0051020408163"/>
    <col collapsed="false" hidden="false" max="17" min="5" style="0" width="5.27551020408163"/>
    <col collapsed="false" hidden="false" max="18" min="18" style="0" width="6.45408163265306"/>
    <col collapsed="false" hidden="false" max="19" min="19" style="0" width="8.72959183673469"/>
    <col collapsed="false" hidden="false" max="20" min="20" style="0" width="6.45408163265306"/>
    <col collapsed="false" hidden="false" max="1025" min="21" style="0" width="8.72959183673469"/>
  </cols>
  <sheetData>
    <row r="1" customFormat="false" ht="96.9" hidden="false" customHeight="true" outlineLevel="0" collapsed="false">
      <c r="A1" s="7" t="s">
        <v>2</v>
      </c>
      <c r="B1" s="7" t="s">
        <v>166</v>
      </c>
      <c r="C1" s="24" t="s">
        <v>167</v>
      </c>
      <c r="D1" s="24" t="s">
        <v>168</v>
      </c>
      <c r="E1" s="24" t="s">
        <v>169</v>
      </c>
      <c r="F1" s="24" t="s">
        <v>170</v>
      </c>
      <c r="G1" s="24" t="s">
        <v>171</v>
      </c>
      <c r="H1" s="24" t="s">
        <v>172</v>
      </c>
      <c r="I1" s="24" t="s">
        <v>173</v>
      </c>
      <c r="J1" s="24" t="s">
        <v>174</v>
      </c>
      <c r="K1" s="24" t="s">
        <v>175</v>
      </c>
      <c r="L1" s="24" t="s">
        <v>176</v>
      </c>
      <c r="M1" s="24" t="s">
        <v>177</v>
      </c>
      <c r="N1" s="24" t="s">
        <v>178</v>
      </c>
      <c r="O1" s="24" t="s">
        <v>179</v>
      </c>
      <c r="P1" s="24" t="s">
        <v>180</v>
      </c>
      <c r="Q1" s="24" t="s">
        <v>181</v>
      </c>
      <c r="R1" s="24" t="s">
        <v>182</v>
      </c>
      <c r="S1" s="24" t="s">
        <v>183</v>
      </c>
    </row>
    <row r="2" customFormat="false" ht="26.5" hidden="false" customHeight="false" outlineLevel="0" collapsed="false">
      <c r="A2" s="25" t="n">
        <v>753</v>
      </c>
      <c r="B2" s="26"/>
      <c r="C2" s="27" t="s">
        <v>184</v>
      </c>
      <c r="D2" s="28" t="s">
        <v>185</v>
      </c>
      <c r="E2" s="26" t="n">
        <v>1</v>
      </c>
      <c r="F2" s="26" t="n">
        <v>1</v>
      </c>
      <c r="G2" s="26" t="n">
        <v>1</v>
      </c>
      <c r="H2" s="26" t="n">
        <v>1</v>
      </c>
      <c r="I2" s="26" t="n">
        <v>1</v>
      </c>
      <c r="J2" s="29" t="n">
        <v>1</v>
      </c>
      <c r="K2" s="29" t="n">
        <v>1</v>
      </c>
      <c r="L2" s="29" t="n">
        <v>1</v>
      </c>
      <c r="M2" s="29" t="n">
        <v>1</v>
      </c>
      <c r="N2" s="29"/>
      <c r="O2" s="29" t="n">
        <v>1</v>
      </c>
      <c r="P2" s="30"/>
      <c r="Q2" s="29" t="n">
        <v>1</v>
      </c>
      <c r="R2" s="28"/>
      <c r="S2" s="28" t="n">
        <v>1</v>
      </c>
    </row>
    <row r="3" customFormat="false" ht="15" hidden="false" customHeight="false" outlineLevel="0" collapsed="false">
      <c r="A3" s="25" t="n">
        <v>847</v>
      </c>
      <c r="B3" s="26"/>
      <c r="C3" s="27" t="s">
        <v>186</v>
      </c>
      <c r="D3" s="27" t="s">
        <v>187</v>
      </c>
      <c r="E3" s="26"/>
      <c r="F3" s="26" t="n">
        <v>1</v>
      </c>
      <c r="G3" s="26" t="n">
        <v>1</v>
      </c>
      <c r="H3" s="26" t="n">
        <v>1</v>
      </c>
      <c r="I3" s="26" t="n">
        <v>1</v>
      </c>
      <c r="J3" s="26" t="n">
        <v>1</v>
      </c>
      <c r="K3" s="26" t="n">
        <v>1</v>
      </c>
      <c r="L3" s="26" t="n">
        <v>1</v>
      </c>
      <c r="M3" s="26"/>
      <c r="N3" s="26"/>
      <c r="O3" s="26" t="n">
        <v>1</v>
      </c>
      <c r="P3" s="31" t="n">
        <v>1</v>
      </c>
      <c r="Q3" s="26" t="n">
        <v>1</v>
      </c>
      <c r="R3" s="27"/>
      <c r="S3" s="27"/>
    </row>
    <row r="4" customFormat="false" ht="26.5" hidden="false" customHeight="false" outlineLevel="0" collapsed="false">
      <c r="A4" s="25" t="n">
        <v>955</v>
      </c>
      <c r="B4" s="26" t="s">
        <v>188</v>
      </c>
      <c r="C4" s="27" t="s">
        <v>189</v>
      </c>
      <c r="D4" s="27" t="s">
        <v>190</v>
      </c>
      <c r="E4" s="26"/>
      <c r="F4" s="26" t="n">
        <v>1</v>
      </c>
      <c r="G4" s="26" t="n">
        <v>1</v>
      </c>
      <c r="H4" s="26"/>
      <c r="I4" s="26"/>
      <c r="J4" s="26" t="n">
        <v>1</v>
      </c>
      <c r="K4" s="26" t="n">
        <v>1</v>
      </c>
      <c r="L4" s="26" t="n">
        <v>1</v>
      </c>
      <c r="M4" s="26" t="n">
        <v>1</v>
      </c>
      <c r="N4" s="26"/>
      <c r="O4" s="26"/>
      <c r="P4" s="31" t="n">
        <v>1</v>
      </c>
      <c r="Q4" s="26" t="n">
        <v>1</v>
      </c>
      <c r="R4" s="27"/>
      <c r="S4" s="27" t="n">
        <v>1</v>
      </c>
    </row>
    <row r="5" customFormat="false" ht="15" hidden="false" customHeight="false" outlineLevel="0" collapsed="false">
      <c r="A5" s="25" t="n">
        <v>957</v>
      </c>
      <c r="B5" s="26"/>
      <c r="C5" s="27" t="s">
        <v>184</v>
      </c>
      <c r="D5" s="27" t="s">
        <v>191</v>
      </c>
      <c r="E5" s="26"/>
      <c r="F5" s="26" t="n">
        <v>1</v>
      </c>
      <c r="G5" s="26" t="n">
        <v>1</v>
      </c>
      <c r="H5" s="26"/>
      <c r="I5" s="26"/>
      <c r="J5" s="26" t="n">
        <v>1</v>
      </c>
      <c r="K5" s="26" t="n">
        <v>1</v>
      </c>
      <c r="L5" s="26" t="n">
        <v>1</v>
      </c>
      <c r="M5" s="26" t="n">
        <v>1</v>
      </c>
      <c r="N5" s="26" t="n">
        <v>1</v>
      </c>
      <c r="O5" s="26"/>
      <c r="P5" s="31" t="n">
        <v>1</v>
      </c>
      <c r="Q5" s="26" t="n">
        <v>1</v>
      </c>
      <c r="R5" s="27"/>
      <c r="S5" s="27" t="n">
        <v>1</v>
      </c>
    </row>
    <row r="6" customFormat="false" ht="15" hidden="false" customHeight="false" outlineLevel="0" collapsed="false">
      <c r="A6" s="25" t="n">
        <v>997</v>
      </c>
      <c r="B6" s="26"/>
      <c r="C6" s="27" t="s">
        <v>184</v>
      </c>
      <c r="D6" s="27" t="s">
        <v>190</v>
      </c>
      <c r="E6" s="26" t="n">
        <v>1</v>
      </c>
      <c r="F6" s="26" t="n">
        <v>1</v>
      </c>
      <c r="G6" s="26" t="n">
        <v>1</v>
      </c>
      <c r="H6" s="26"/>
      <c r="I6" s="26"/>
      <c r="J6" s="26" t="n">
        <v>1</v>
      </c>
      <c r="K6" s="26" t="n">
        <v>1</v>
      </c>
      <c r="L6" s="26" t="n">
        <v>1</v>
      </c>
      <c r="M6" s="26" t="n">
        <v>1</v>
      </c>
      <c r="N6" s="26"/>
      <c r="O6" s="26" t="n">
        <v>1</v>
      </c>
      <c r="P6" s="31" t="n">
        <v>1</v>
      </c>
      <c r="Q6" s="26" t="n">
        <v>1</v>
      </c>
      <c r="R6" s="27" t="n">
        <v>1</v>
      </c>
      <c r="S6" s="27" t="n">
        <v>1</v>
      </c>
    </row>
    <row r="7" customFormat="false" ht="26.5" hidden="false" customHeight="false" outlineLevel="0" collapsed="false">
      <c r="A7" s="25" t="n">
        <v>1425</v>
      </c>
      <c r="B7" s="26" t="s">
        <v>192</v>
      </c>
      <c r="C7" s="27" t="s">
        <v>193</v>
      </c>
      <c r="D7" s="27"/>
      <c r="E7" s="27"/>
      <c r="F7" s="27"/>
      <c r="G7" s="27"/>
      <c r="H7" s="27"/>
      <c r="I7" s="27"/>
      <c r="J7" s="27"/>
      <c r="K7" s="27"/>
      <c r="L7" s="27"/>
      <c r="M7" s="27"/>
      <c r="N7" s="27"/>
      <c r="O7" s="27"/>
      <c r="P7" s="32"/>
      <c r="Q7" s="27"/>
      <c r="R7" s="27"/>
      <c r="S7" s="27"/>
    </row>
    <row r="8" customFormat="false" ht="39" hidden="false" customHeight="false" outlineLevel="0" collapsed="false">
      <c r="A8" s="25" t="n">
        <v>1510</v>
      </c>
      <c r="B8" s="26" t="s">
        <v>194</v>
      </c>
      <c r="C8" s="27"/>
      <c r="D8" s="27" t="s">
        <v>195</v>
      </c>
      <c r="E8" s="26" t="n">
        <v>1</v>
      </c>
      <c r="F8" s="26" t="n">
        <v>1</v>
      </c>
      <c r="G8" s="26" t="n">
        <v>1</v>
      </c>
      <c r="H8" s="26" t="n">
        <v>1</v>
      </c>
      <c r="I8" s="26" t="n">
        <v>1</v>
      </c>
      <c r="J8" s="26" t="n">
        <v>1</v>
      </c>
      <c r="K8" s="26" t="n">
        <v>1</v>
      </c>
      <c r="L8" s="26" t="n">
        <v>1</v>
      </c>
      <c r="M8" s="26" t="n">
        <v>1</v>
      </c>
      <c r="N8" s="26" t="n">
        <v>0</v>
      </c>
      <c r="O8" s="26" t="n">
        <v>1</v>
      </c>
      <c r="P8" s="31" t="n">
        <v>0.8</v>
      </c>
      <c r="Q8" s="26" t="n">
        <v>1</v>
      </c>
      <c r="R8" s="27"/>
      <c r="S8" s="27" t="n">
        <v>1</v>
      </c>
    </row>
    <row r="9" customFormat="false" ht="26.5" hidden="false" customHeight="false" outlineLevel="0" collapsed="false">
      <c r="A9" s="25" t="n">
        <v>1540</v>
      </c>
      <c r="B9" s="26"/>
      <c r="C9" s="27" t="s">
        <v>196</v>
      </c>
      <c r="D9" s="27" t="s">
        <v>197</v>
      </c>
      <c r="E9" s="26" t="n">
        <v>1</v>
      </c>
      <c r="F9" s="26" t="n">
        <v>1</v>
      </c>
      <c r="G9" s="26" t="n">
        <v>1</v>
      </c>
      <c r="H9" s="26"/>
      <c r="I9" s="26"/>
      <c r="J9" s="26" t="n">
        <v>1</v>
      </c>
      <c r="K9" s="26" t="n">
        <v>1</v>
      </c>
      <c r="L9" s="26" t="n">
        <v>1</v>
      </c>
      <c r="M9" s="26" t="n">
        <v>1</v>
      </c>
      <c r="N9" s="26"/>
      <c r="O9" s="26" t="n">
        <v>1</v>
      </c>
      <c r="P9" s="31" t="n">
        <v>1</v>
      </c>
      <c r="Q9" s="26" t="n">
        <v>1</v>
      </c>
      <c r="R9" s="27" t="n">
        <v>1</v>
      </c>
      <c r="S9" s="27" t="n">
        <v>1</v>
      </c>
    </row>
    <row r="10" customFormat="false" ht="15" hidden="false" customHeight="false" outlineLevel="0" collapsed="false">
      <c r="A10" s="25" t="n">
        <v>1571</v>
      </c>
      <c r="B10" s="26"/>
      <c r="C10" s="27"/>
      <c r="D10" s="27" t="s">
        <v>198</v>
      </c>
      <c r="E10" s="26" t="n">
        <v>1</v>
      </c>
      <c r="F10" s="26" t="n">
        <v>1</v>
      </c>
      <c r="G10" s="26" t="n">
        <v>1</v>
      </c>
      <c r="H10" s="26" t="n">
        <v>1</v>
      </c>
      <c r="I10" s="26" t="n">
        <v>1</v>
      </c>
      <c r="J10" s="26" t="n">
        <v>1</v>
      </c>
      <c r="K10" s="26" t="n">
        <v>1</v>
      </c>
      <c r="L10" s="26"/>
      <c r="M10" s="26" t="n">
        <v>1</v>
      </c>
      <c r="N10" s="26"/>
      <c r="O10" s="26" t="n">
        <v>1</v>
      </c>
      <c r="P10" s="31"/>
      <c r="Q10" s="26" t="n">
        <v>1</v>
      </c>
      <c r="R10" s="27"/>
      <c r="S10" s="27" t="n">
        <v>1</v>
      </c>
    </row>
    <row r="11" customFormat="false" ht="26.5" hidden="false" customHeight="false" outlineLevel="0" collapsed="false">
      <c r="A11" s="25" t="n">
        <v>2002</v>
      </c>
      <c r="B11" s="26"/>
      <c r="C11" s="27" t="s">
        <v>184</v>
      </c>
      <c r="D11" s="27" t="s">
        <v>199</v>
      </c>
      <c r="E11" s="26"/>
      <c r="F11" s="26" t="n">
        <v>1</v>
      </c>
      <c r="G11" s="26" t="n">
        <v>1</v>
      </c>
      <c r="H11" s="26"/>
      <c r="I11" s="26"/>
      <c r="J11" s="26" t="n">
        <v>1</v>
      </c>
      <c r="K11" s="26" t="n">
        <v>1</v>
      </c>
      <c r="L11" s="26"/>
      <c r="M11" s="26"/>
      <c r="N11" s="26"/>
      <c r="O11" s="26"/>
      <c r="P11" s="31" t="n">
        <v>1</v>
      </c>
      <c r="Q11" s="26" t="n">
        <v>1</v>
      </c>
      <c r="R11" s="27"/>
      <c r="S11" s="27" t="n">
        <v>0</v>
      </c>
    </row>
    <row r="12" customFormat="false" ht="39" hidden="false" customHeight="false" outlineLevel="0" collapsed="false">
      <c r="A12" s="25" t="n">
        <v>2374</v>
      </c>
      <c r="B12" s="26"/>
      <c r="C12" s="27" t="s">
        <v>200</v>
      </c>
      <c r="D12" s="27" t="s">
        <v>190</v>
      </c>
      <c r="E12" s="26"/>
      <c r="F12" s="26" t="n">
        <v>1</v>
      </c>
      <c r="G12" s="26" t="n">
        <v>1</v>
      </c>
      <c r="H12" s="26" t="n">
        <v>1</v>
      </c>
      <c r="I12" s="26" t="n">
        <v>1</v>
      </c>
      <c r="J12" s="26" t="n">
        <v>1</v>
      </c>
      <c r="K12" s="26" t="n">
        <v>1</v>
      </c>
      <c r="L12" s="26" t="n">
        <v>1</v>
      </c>
      <c r="M12" s="26" t="n">
        <v>1</v>
      </c>
      <c r="N12" s="26"/>
      <c r="O12" s="26" t="n">
        <v>1</v>
      </c>
      <c r="P12" s="31" t="n">
        <v>0.5</v>
      </c>
      <c r="Q12" s="26" t="n">
        <v>1</v>
      </c>
      <c r="R12" s="27"/>
      <c r="S12" s="27" t="n">
        <v>1</v>
      </c>
    </row>
    <row r="13" customFormat="false" ht="15" hidden="false" customHeight="false" outlineLevel="0" collapsed="false">
      <c r="A13" s="25" t="n">
        <v>2471</v>
      </c>
      <c r="B13" s="26"/>
      <c r="C13" s="27" t="s">
        <v>184</v>
      </c>
      <c r="D13" s="27" t="s">
        <v>197</v>
      </c>
      <c r="E13" s="26"/>
      <c r="F13" s="26" t="n">
        <v>1</v>
      </c>
      <c r="G13" s="26" t="n">
        <v>1</v>
      </c>
      <c r="H13" s="26" t="n">
        <v>1</v>
      </c>
      <c r="I13" s="26" t="n">
        <v>1</v>
      </c>
      <c r="J13" s="26" t="n">
        <v>1</v>
      </c>
      <c r="K13" s="26" t="n">
        <v>1</v>
      </c>
      <c r="L13" s="26" t="n">
        <v>1</v>
      </c>
      <c r="M13" s="26" t="n">
        <v>1</v>
      </c>
      <c r="N13" s="26"/>
      <c r="O13" s="26"/>
      <c r="P13" s="31" t="n">
        <v>1</v>
      </c>
      <c r="Q13" s="26" t="n">
        <v>1</v>
      </c>
      <c r="R13" s="27" t="n">
        <v>1</v>
      </c>
      <c r="S13" s="27" t="n">
        <v>1</v>
      </c>
    </row>
    <row r="14" customFormat="false" ht="26.5" hidden="false" customHeight="false" outlineLevel="0" collapsed="false">
      <c r="A14" s="25" t="n">
        <v>2521</v>
      </c>
      <c r="B14" s="26"/>
      <c r="C14" s="27" t="s">
        <v>201</v>
      </c>
      <c r="D14" s="27" t="s">
        <v>191</v>
      </c>
      <c r="E14" s="26"/>
      <c r="F14" s="26" t="n">
        <v>1</v>
      </c>
      <c r="G14" s="26" t="n">
        <v>1</v>
      </c>
      <c r="H14" s="26"/>
      <c r="I14" s="26"/>
      <c r="J14" s="26" t="n">
        <v>1</v>
      </c>
      <c r="K14" s="26" t="n">
        <v>1</v>
      </c>
      <c r="L14" s="26"/>
      <c r="M14" s="26"/>
      <c r="N14" s="26"/>
      <c r="O14" s="26"/>
      <c r="P14" s="31" t="n">
        <v>0.8</v>
      </c>
      <c r="Q14" s="26" t="n">
        <v>1</v>
      </c>
      <c r="R14" s="27"/>
      <c r="S14" s="27" t="n">
        <v>0</v>
      </c>
    </row>
    <row r="15" customFormat="false" ht="26.5" hidden="false" customHeight="false" outlineLevel="0" collapsed="false">
      <c r="A15" s="25" t="n">
        <v>2635</v>
      </c>
      <c r="B15" s="26"/>
      <c r="C15" s="27" t="s">
        <v>202</v>
      </c>
      <c r="D15" s="27" t="s">
        <v>197</v>
      </c>
      <c r="E15" s="26" t="n">
        <v>1</v>
      </c>
      <c r="F15" s="26" t="n">
        <v>1</v>
      </c>
      <c r="G15" s="26" t="n">
        <v>1</v>
      </c>
      <c r="H15" s="26"/>
      <c r="I15" s="26"/>
      <c r="J15" s="26" t="n">
        <v>1</v>
      </c>
      <c r="K15" s="26" t="n">
        <v>1</v>
      </c>
      <c r="L15" s="26"/>
      <c r="M15" s="26"/>
      <c r="N15" s="26"/>
      <c r="O15" s="26"/>
      <c r="P15" s="31" t="n">
        <v>1</v>
      </c>
      <c r="Q15" s="26" t="n">
        <v>1</v>
      </c>
      <c r="R15" s="27"/>
      <c r="S15" s="27" t="n">
        <v>0</v>
      </c>
    </row>
    <row r="16" customFormat="false" ht="26.5" hidden="false" customHeight="false" outlineLevel="0" collapsed="false">
      <c r="A16" s="25" t="n">
        <v>2733</v>
      </c>
      <c r="B16" s="26"/>
      <c r="C16" s="27" t="s">
        <v>203</v>
      </c>
      <c r="D16" s="27" t="s">
        <v>204</v>
      </c>
      <c r="E16" s="26" t="n">
        <v>1</v>
      </c>
      <c r="F16" s="26" t="n">
        <v>1</v>
      </c>
      <c r="G16" s="26" t="n">
        <v>1</v>
      </c>
      <c r="H16" s="26"/>
      <c r="I16" s="26"/>
      <c r="J16" s="26" t="n">
        <v>1</v>
      </c>
      <c r="K16" s="26" t="n">
        <v>1</v>
      </c>
      <c r="L16" s="26"/>
      <c r="M16" s="26"/>
      <c r="N16" s="26"/>
      <c r="O16" s="26" t="n">
        <v>1</v>
      </c>
      <c r="P16" s="31"/>
      <c r="Q16" s="26" t="n">
        <v>1</v>
      </c>
      <c r="R16" s="27" t="n">
        <v>1</v>
      </c>
      <c r="S16" s="27" t="n">
        <v>1</v>
      </c>
    </row>
    <row r="17" customFormat="false" ht="64" hidden="false" customHeight="false" outlineLevel="0" collapsed="false">
      <c r="A17" s="25" t="n">
        <v>2811</v>
      </c>
      <c r="B17" s="26"/>
      <c r="C17" s="27" t="s">
        <v>205</v>
      </c>
      <c r="D17" s="27" t="s">
        <v>190</v>
      </c>
      <c r="E17" s="26" t="n">
        <v>1</v>
      </c>
      <c r="F17" s="26" t="n">
        <v>1</v>
      </c>
      <c r="G17" s="26" t="n">
        <v>1</v>
      </c>
      <c r="H17" s="26" t="n">
        <v>1</v>
      </c>
      <c r="I17" s="26" t="n">
        <v>1</v>
      </c>
      <c r="J17" s="26" t="n">
        <v>1</v>
      </c>
      <c r="K17" s="26" t="n">
        <v>1</v>
      </c>
      <c r="L17" s="26" t="n">
        <v>1</v>
      </c>
      <c r="M17" s="26" t="n">
        <v>1</v>
      </c>
      <c r="N17" s="26"/>
      <c r="O17" s="26" t="n">
        <v>1</v>
      </c>
      <c r="P17" s="31" t="n">
        <v>1</v>
      </c>
      <c r="Q17" s="26" t="n">
        <v>1</v>
      </c>
      <c r="R17" s="27" t="n">
        <v>1</v>
      </c>
      <c r="S17" s="27" t="n">
        <v>1</v>
      </c>
    </row>
    <row r="18" customFormat="false" ht="15" hidden="false" customHeight="false" outlineLevel="0" collapsed="false">
      <c r="A18" s="25" t="n">
        <v>2915</v>
      </c>
      <c r="B18" s="26"/>
      <c r="C18" s="27" t="s">
        <v>206</v>
      </c>
      <c r="D18" s="27" t="s">
        <v>191</v>
      </c>
      <c r="E18" s="26"/>
      <c r="F18" s="26" t="n">
        <v>1</v>
      </c>
      <c r="G18" s="26" t="n">
        <v>1</v>
      </c>
      <c r="H18" s="26" t="n">
        <v>1</v>
      </c>
      <c r="I18" s="26" t="n">
        <v>1</v>
      </c>
      <c r="J18" s="26" t="n">
        <v>1</v>
      </c>
      <c r="K18" s="26" t="n">
        <v>1</v>
      </c>
      <c r="L18" s="26" t="n">
        <v>1</v>
      </c>
      <c r="M18" s="26" t="n">
        <v>1</v>
      </c>
      <c r="N18" s="26" t="n">
        <v>1</v>
      </c>
      <c r="O18" s="26" t="n">
        <v>1</v>
      </c>
      <c r="P18" s="31" t="n">
        <v>0.8</v>
      </c>
      <c r="Q18" s="26" t="n">
        <v>1</v>
      </c>
      <c r="R18" s="27"/>
      <c r="S18" s="27" t="n">
        <v>1</v>
      </c>
    </row>
    <row r="19" customFormat="false" ht="15" hidden="false" customHeight="false" outlineLevel="0" collapsed="false">
      <c r="A19" s="25" t="n">
        <v>2990</v>
      </c>
      <c r="B19" s="26"/>
      <c r="C19" s="27" t="s">
        <v>184</v>
      </c>
      <c r="D19" s="27" t="s">
        <v>197</v>
      </c>
      <c r="E19" s="26" t="n">
        <v>1</v>
      </c>
      <c r="F19" s="26" t="n">
        <v>1</v>
      </c>
      <c r="G19" s="26" t="n">
        <v>1</v>
      </c>
      <c r="H19" s="26" t="n">
        <v>1</v>
      </c>
      <c r="I19" s="26" t="n">
        <v>1</v>
      </c>
      <c r="J19" s="26" t="n">
        <v>1</v>
      </c>
      <c r="K19" s="26" t="n">
        <v>1</v>
      </c>
      <c r="L19" s="26" t="n">
        <v>1</v>
      </c>
      <c r="M19" s="26" t="n">
        <v>1</v>
      </c>
      <c r="N19" s="26" t="n">
        <v>1</v>
      </c>
      <c r="O19" s="26" t="n">
        <v>1</v>
      </c>
      <c r="P19" s="31"/>
      <c r="Q19" s="26" t="n">
        <v>1</v>
      </c>
      <c r="R19" s="27" t="n">
        <v>1</v>
      </c>
      <c r="S19" s="27" t="n">
        <v>1</v>
      </c>
    </row>
    <row r="20" customFormat="false" ht="26.5" hidden="false" customHeight="false" outlineLevel="0" collapsed="false">
      <c r="A20" s="25" t="n">
        <v>3192</v>
      </c>
      <c r="B20" s="26"/>
      <c r="C20" s="27" t="s">
        <v>202</v>
      </c>
      <c r="D20" s="27" t="s">
        <v>198</v>
      </c>
      <c r="E20" s="26" t="n">
        <v>1</v>
      </c>
      <c r="F20" s="26" t="n">
        <v>1</v>
      </c>
      <c r="G20" s="26" t="n">
        <v>1</v>
      </c>
      <c r="H20" s="26" t="n">
        <v>1</v>
      </c>
      <c r="I20" s="26"/>
      <c r="J20" s="26" t="n">
        <v>1</v>
      </c>
      <c r="K20" s="26" t="n">
        <v>1</v>
      </c>
      <c r="L20" s="26" t="n">
        <v>1</v>
      </c>
      <c r="M20" s="26" t="n">
        <v>1</v>
      </c>
      <c r="N20" s="26" t="n">
        <v>1</v>
      </c>
      <c r="O20" s="26" t="n">
        <v>1</v>
      </c>
      <c r="P20" s="31"/>
      <c r="Q20" s="26" t="n">
        <v>1</v>
      </c>
      <c r="R20" s="27"/>
      <c r="S20" s="27" t="n">
        <v>1</v>
      </c>
    </row>
    <row r="21" customFormat="false" ht="15" hidden="false" customHeight="false" outlineLevel="0" collapsed="false">
      <c r="A21" s="25" t="n">
        <v>3673</v>
      </c>
      <c r="B21" s="26"/>
      <c r="C21" s="27" t="s">
        <v>184</v>
      </c>
      <c r="D21" s="27" t="s">
        <v>191</v>
      </c>
      <c r="E21" s="26"/>
      <c r="F21" s="26" t="n">
        <v>1</v>
      </c>
      <c r="G21" s="26" t="n">
        <v>1</v>
      </c>
      <c r="H21" s="26"/>
      <c r="I21" s="26"/>
      <c r="J21" s="26" t="n">
        <v>1</v>
      </c>
      <c r="K21" s="26" t="n">
        <v>1</v>
      </c>
      <c r="L21" s="26"/>
      <c r="M21" s="26"/>
      <c r="N21" s="26"/>
      <c r="O21" s="26" t="n">
        <v>1</v>
      </c>
      <c r="P21" s="31" t="n">
        <v>0.8</v>
      </c>
      <c r="Q21" s="26" t="n">
        <v>1</v>
      </c>
      <c r="R21" s="27"/>
      <c r="S21" s="27" t="n">
        <v>1</v>
      </c>
    </row>
    <row r="22" customFormat="false" ht="26.5" hidden="false" customHeight="false" outlineLevel="0" collapsed="false">
      <c r="A22" s="25" t="n">
        <v>3674</v>
      </c>
      <c r="B22" s="26"/>
      <c r="C22" s="27" t="s">
        <v>207</v>
      </c>
      <c r="D22" s="27" t="s">
        <v>208</v>
      </c>
      <c r="E22" s="26" t="n">
        <v>1</v>
      </c>
      <c r="F22" s="26" t="n">
        <v>1</v>
      </c>
      <c r="G22" s="26" t="n">
        <v>1</v>
      </c>
      <c r="H22" s="26" t="n">
        <v>1</v>
      </c>
      <c r="I22" s="26" t="n">
        <v>1</v>
      </c>
      <c r="J22" s="26" t="n">
        <v>1</v>
      </c>
      <c r="K22" s="26" t="n">
        <v>1</v>
      </c>
      <c r="L22" s="26" t="n">
        <v>1</v>
      </c>
      <c r="M22" s="26" t="n">
        <v>1</v>
      </c>
      <c r="N22" s="26" t="n">
        <v>1</v>
      </c>
      <c r="O22" s="26"/>
      <c r="P22" s="31" t="n">
        <v>0.65</v>
      </c>
      <c r="Q22" s="26" t="n">
        <v>1</v>
      </c>
      <c r="R22" s="27"/>
      <c r="S22" s="27" t="n">
        <v>1</v>
      </c>
    </row>
    <row r="23" customFormat="false" ht="26.5" hidden="false" customHeight="false" outlineLevel="0" collapsed="false">
      <c r="A23" s="25" t="n">
        <v>3711</v>
      </c>
      <c r="B23" s="26" t="s">
        <v>209</v>
      </c>
      <c r="C23" s="27" t="s">
        <v>210</v>
      </c>
      <c r="D23" s="27" t="s">
        <v>211</v>
      </c>
      <c r="E23" s="26" t="n">
        <v>1</v>
      </c>
      <c r="F23" s="26" t="n">
        <v>1</v>
      </c>
      <c r="G23" s="26" t="n">
        <v>1</v>
      </c>
      <c r="H23" s="26"/>
      <c r="I23" s="26"/>
      <c r="J23" s="26" t="n">
        <v>1</v>
      </c>
      <c r="K23" s="26" t="n">
        <v>1</v>
      </c>
      <c r="L23" s="26" t="n">
        <v>1</v>
      </c>
      <c r="M23" s="26" t="n">
        <v>1</v>
      </c>
      <c r="N23" s="26" t="n">
        <v>0</v>
      </c>
      <c r="O23" s="26"/>
      <c r="P23" s="31" t="n">
        <v>0.9</v>
      </c>
      <c r="Q23" s="26" t="n">
        <v>1</v>
      </c>
      <c r="R23" s="27" t="n">
        <v>1</v>
      </c>
      <c r="S23" s="27"/>
    </row>
    <row r="24" customFormat="false" ht="15" hidden="false" customHeight="false" outlineLevel="0" collapsed="false">
      <c r="A24" s="25" t="n">
        <v>3812</v>
      </c>
      <c r="B24" s="26"/>
      <c r="C24" s="27" t="s">
        <v>206</v>
      </c>
      <c r="D24" s="27" t="s">
        <v>198</v>
      </c>
      <c r="E24" s="26" t="n">
        <v>1</v>
      </c>
      <c r="F24" s="26" t="n">
        <v>1</v>
      </c>
      <c r="G24" s="26" t="n">
        <v>1</v>
      </c>
      <c r="H24" s="26"/>
      <c r="I24" s="26"/>
      <c r="J24" s="26" t="n">
        <v>1</v>
      </c>
      <c r="K24" s="26" t="n">
        <v>1</v>
      </c>
      <c r="L24" s="26" t="n">
        <v>1</v>
      </c>
      <c r="M24" s="26" t="n">
        <v>1</v>
      </c>
      <c r="N24" s="26"/>
      <c r="O24" s="26"/>
      <c r="P24" s="31" t="n">
        <v>0.7</v>
      </c>
      <c r="Q24" s="26" t="n">
        <v>1</v>
      </c>
      <c r="R24" s="27"/>
      <c r="S24" s="27" t="n">
        <v>1</v>
      </c>
    </row>
    <row r="25" customFormat="false" ht="26.5" hidden="false" customHeight="false" outlineLevel="0" collapsed="false">
      <c r="A25" s="25" t="n">
        <v>4043</v>
      </c>
      <c r="B25" s="26"/>
      <c r="C25" s="27" t="s">
        <v>212</v>
      </c>
      <c r="D25" s="27" t="s">
        <v>213</v>
      </c>
      <c r="E25" s="26" t="n">
        <v>1</v>
      </c>
      <c r="F25" s="26" t="n">
        <v>1</v>
      </c>
      <c r="G25" s="26" t="n">
        <v>1</v>
      </c>
      <c r="H25" s="26"/>
      <c r="I25" s="26" t="n">
        <v>1</v>
      </c>
      <c r="J25" s="26" t="n">
        <v>1</v>
      </c>
      <c r="K25" s="26" t="n">
        <v>1</v>
      </c>
      <c r="L25" s="26" t="n">
        <v>1</v>
      </c>
      <c r="M25" s="26" t="n">
        <v>1</v>
      </c>
      <c r="N25" s="26"/>
      <c r="O25" s="26" t="n">
        <v>1</v>
      </c>
      <c r="P25" s="31"/>
      <c r="Q25" s="26" t="n">
        <v>1</v>
      </c>
      <c r="R25" s="27"/>
      <c r="S25" s="27" t="n">
        <v>1</v>
      </c>
    </row>
    <row r="26" customFormat="false" ht="15" hidden="false" customHeight="false" outlineLevel="0" collapsed="false">
      <c r="A26" s="25" t="n">
        <v>4051</v>
      </c>
      <c r="B26" s="26"/>
      <c r="C26" s="27" t="s">
        <v>206</v>
      </c>
      <c r="D26" s="27" t="s">
        <v>214</v>
      </c>
      <c r="E26" s="26" t="n">
        <v>1</v>
      </c>
      <c r="F26" s="26" t="n">
        <v>1</v>
      </c>
      <c r="G26" s="26" t="n">
        <v>1</v>
      </c>
      <c r="H26" s="26" t="n">
        <v>1</v>
      </c>
      <c r="I26" s="26"/>
      <c r="J26" s="26" t="n">
        <v>1</v>
      </c>
      <c r="K26" s="26" t="n">
        <v>1</v>
      </c>
      <c r="L26" s="26" t="n">
        <v>1</v>
      </c>
      <c r="M26" s="26"/>
      <c r="N26" s="26"/>
      <c r="O26" s="26" t="n">
        <v>1</v>
      </c>
      <c r="P26" s="31"/>
      <c r="Q26" s="26" t="n">
        <v>1</v>
      </c>
      <c r="R26" s="27"/>
      <c r="S26" s="27" t="n">
        <v>1</v>
      </c>
    </row>
    <row r="27" customFormat="false" ht="26.5" hidden="false" customHeight="false" outlineLevel="0" collapsed="false">
      <c r="A27" s="25" t="n">
        <v>4110</v>
      </c>
      <c r="B27" s="26"/>
      <c r="C27" s="27" t="s">
        <v>215</v>
      </c>
      <c r="D27" s="27" t="s">
        <v>216</v>
      </c>
      <c r="E27" s="26" t="n">
        <v>1</v>
      </c>
      <c r="F27" s="26" t="n">
        <v>1</v>
      </c>
      <c r="G27" s="26" t="n">
        <v>1</v>
      </c>
      <c r="H27" s="26"/>
      <c r="I27" s="26"/>
      <c r="J27" s="26" t="n">
        <v>1</v>
      </c>
      <c r="K27" s="26" t="n">
        <v>1</v>
      </c>
      <c r="L27" s="26" t="n">
        <v>1</v>
      </c>
      <c r="M27" s="26" t="n">
        <v>1</v>
      </c>
      <c r="N27" s="26"/>
      <c r="O27" s="26" t="n">
        <v>1</v>
      </c>
      <c r="P27" s="31"/>
      <c r="Q27" s="26" t="n">
        <v>1</v>
      </c>
      <c r="R27" s="27" t="n">
        <v>1</v>
      </c>
      <c r="S27" s="27" t="n">
        <v>0</v>
      </c>
    </row>
    <row r="28" customFormat="false" ht="39" hidden="false" customHeight="false" outlineLevel="0" collapsed="false">
      <c r="A28" s="25" t="n">
        <v>4127</v>
      </c>
      <c r="B28" s="26"/>
      <c r="C28" s="27" t="s">
        <v>217</v>
      </c>
      <c r="D28" s="27" t="s">
        <v>218</v>
      </c>
      <c r="E28" s="26"/>
      <c r="F28" s="26" t="n">
        <v>1</v>
      </c>
      <c r="G28" s="26" t="n">
        <v>1</v>
      </c>
      <c r="H28" s="26"/>
      <c r="I28" s="26"/>
      <c r="J28" s="26" t="n">
        <v>1</v>
      </c>
      <c r="K28" s="26" t="n">
        <v>1</v>
      </c>
      <c r="L28" s="26" t="n">
        <v>1</v>
      </c>
      <c r="M28" s="26"/>
      <c r="N28" s="26"/>
      <c r="O28" s="26" t="n">
        <v>1</v>
      </c>
      <c r="P28" s="31" t="n">
        <v>0.9</v>
      </c>
      <c r="Q28" s="26" t="n">
        <v>1</v>
      </c>
      <c r="R28" s="27" t="n">
        <v>1</v>
      </c>
      <c r="S28" s="27"/>
    </row>
    <row r="29" customFormat="false" ht="26.5" hidden="false" customHeight="false" outlineLevel="0" collapsed="false">
      <c r="A29" s="25" t="n">
        <v>4488</v>
      </c>
      <c r="B29" s="26" t="s">
        <v>219</v>
      </c>
      <c r="C29" s="27" t="s">
        <v>207</v>
      </c>
      <c r="D29" s="27" t="s">
        <v>190</v>
      </c>
      <c r="E29" s="26" t="n">
        <v>1</v>
      </c>
      <c r="F29" s="26" t="n">
        <v>1</v>
      </c>
      <c r="G29" s="26" t="n">
        <v>1</v>
      </c>
      <c r="H29" s="26"/>
      <c r="I29" s="26"/>
      <c r="J29" s="26" t="n">
        <v>1</v>
      </c>
      <c r="K29" s="26" t="n">
        <v>1</v>
      </c>
      <c r="L29" s="26" t="n">
        <v>1</v>
      </c>
      <c r="M29" s="26" t="n">
        <v>1</v>
      </c>
      <c r="N29" s="26"/>
      <c r="O29" s="26"/>
      <c r="P29" s="31" t="n">
        <v>1</v>
      </c>
      <c r="Q29" s="26" t="n">
        <v>1</v>
      </c>
      <c r="R29" s="27"/>
      <c r="S29" s="27" t="n">
        <v>1</v>
      </c>
    </row>
    <row r="30" customFormat="false" ht="26.5" hidden="false" customHeight="false" outlineLevel="0" collapsed="false">
      <c r="A30" s="25" t="n">
        <v>4662</v>
      </c>
      <c r="B30" s="26"/>
      <c r="C30" s="27" t="s">
        <v>220</v>
      </c>
      <c r="D30" s="27" t="s">
        <v>214</v>
      </c>
      <c r="E30" s="26" t="n">
        <v>1</v>
      </c>
      <c r="F30" s="26" t="n">
        <v>1</v>
      </c>
      <c r="G30" s="26" t="n">
        <v>1</v>
      </c>
      <c r="H30" s="26"/>
      <c r="I30" s="26"/>
      <c r="J30" s="26" t="n">
        <v>1</v>
      </c>
      <c r="K30" s="26" t="n">
        <v>1</v>
      </c>
      <c r="L30" s="26" t="n">
        <v>1</v>
      </c>
      <c r="M30" s="26" t="n">
        <v>1</v>
      </c>
      <c r="N30" s="26"/>
      <c r="O30" s="26" t="n">
        <v>1</v>
      </c>
      <c r="P30" s="31" t="n">
        <v>0.7</v>
      </c>
      <c r="Q30" s="26" t="n">
        <v>1</v>
      </c>
      <c r="R30" s="27" t="n">
        <v>1</v>
      </c>
      <c r="S30" s="27" t="n">
        <v>1</v>
      </c>
    </row>
    <row r="31" customFormat="false" ht="15" hidden="false" customHeight="false" outlineLevel="0" collapsed="false">
      <c r="A31" s="25" t="n">
        <v>5085</v>
      </c>
      <c r="B31" s="26"/>
      <c r="C31" s="27" t="s">
        <v>221</v>
      </c>
      <c r="D31" s="27" t="s">
        <v>187</v>
      </c>
      <c r="E31" s="26" t="n">
        <v>1</v>
      </c>
      <c r="F31" s="26" t="n">
        <v>1</v>
      </c>
      <c r="G31" s="26" t="n">
        <v>1</v>
      </c>
      <c r="H31" s="26"/>
      <c r="I31" s="26"/>
      <c r="J31" s="26" t="n">
        <v>1</v>
      </c>
      <c r="K31" s="26" t="n">
        <v>1</v>
      </c>
      <c r="L31" s="26" t="n">
        <v>1</v>
      </c>
      <c r="M31" s="26" t="n">
        <v>1</v>
      </c>
      <c r="N31" s="26" t="n">
        <v>1</v>
      </c>
      <c r="O31" s="26" t="n">
        <v>1</v>
      </c>
      <c r="P31" s="31"/>
      <c r="Q31" s="26" t="n">
        <v>1</v>
      </c>
      <c r="R31" s="27" t="n">
        <v>1</v>
      </c>
      <c r="S31" s="27" t="n">
        <v>1</v>
      </c>
    </row>
    <row r="32" customFormat="false" ht="15" hidden="false" customHeight="false" outlineLevel="0" collapsed="false">
      <c r="A32" s="25" t="n">
        <v>5198</v>
      </c>
      <c r="B32" s="26"/>
      <c r="C32" s="27" t="s">
        <v>206</v>
      </c>
      <c r="D32" s="27" t="s">
        <v>187</v>
      </c>
      <c r="E32" s="26"/>
      <c r="F32" s="26" t="n">
        <v>1</v>
      </c>
      <c r="G32" s="26" t="n">
        <v>1</v>
      </c>
      <c r="H32" s="26"/>
      <c r="I32" s="26"/>
      <c r="J32" s="26" t="n">
        <v>1</v>
      </c>
      <c r="K32" s="26" t="n">
        <v>1</v>
      </c>
      <c r="L32" s="26"/>
      <c r="M32" s="26"/>
      <c r="N32" s="26"/>
      <c r="O32" s="26"/>
      <c r="P32" s="31" t="n">
        <v>0.5</v>
      </c>
      <c r="Q32" s="26" t="n">
        <v>1</v>
      </c>
      <c r="R32" s="27"/>
      <c r="S32" s="27" t="n">
        <v>1</v>
      </c>
    </row>
    <row r="33" customFormat="false" ht="26.5" hidden="false" customHeight="false" outlineLevel="0" collapsed="false">
      <c r="A33" s="25" t="n">
        <v>5468</v>
      </c>
      <c r="B33" s="26"/>
      <c r="C33" s="27" t="s">
        <v>222</v>
      </c>
      <c r="D33" s="27" t="s">
        <v>223</v>
      </c>
      <c r="E33" s="26" t="n">
        <v>1</v>
      </c>
      <c r="F33" s="26" t="n">
        <v>1</v>
      </c>
      <c r="G33" s="26" t="n">
        <v>1</v>
      </c>
      <c r="H33" s="26" t="n">
        <v>1</v>
      </c>
      <c r="I33" s="26" t="n">
        <v>1</v>
      </c>
      <c r="J33" s="26" t="n">
        <v>1</v>
      </c>
      <c r="K33" s="26" t="n">
        <v>1</v>
      </c>
      <c r="L33" s="26"/>
      <c r="M33" s="26"/>
      <c r="N33" s="26"/>
      <c r="O33" s="26"/>
      <c r="P33" s="31" t="n">
        <v>0.9</v>
      </c>
      <c r="Q33" s="26" t="n">
        <v>1</v>
      </c>
      <c r="R33" s="27"/>
      <c r="S33" s="27" t="n">
        <v>1</v>
      </c>
    </row>
    <row r="34" customFormat="false" ht="15" hidden="false" customHeight="false" outlineLevel="0" collapsed="false">
      <c r="A34" s="25" t="n">
        <v>5711</v>
      </c>
      <c r="B34" s="26"/>
      <c r="C34" s="27" t="s">
        <v>184</v>
      </c>
      <c r="D34" s="27" t="s">
        <v>191</v>
      </c>
      <c r="E34" s="26" t="n">
        <v>1</v>
      </c>
      <c r="F34" s="26" t="n">
        <v>1</v>
      </c>
      <c r="G34" s="26" t="n">
        <v>1</v>
      </c>
      <c r="H34" s="26"/>
      <c r="I34" s="26"/>
      <c r="J34" s="26" t="n">
        <v>1</v>
      </c>
      <c r="K34" s="26" t="n">
        <v>1</v>
      </c>
      <c r="L34" s="26" t="n">
        <v>1</v>
      </c>
      <c r="M34" s="26" t="n">
        <v>1</v>
      </c>
      <c r="N34" s="26"/>
      <c r="O34" s="26"/>
      <c r="P34" s="31" t="n">
        <v>0.9</v>
      </c>
      <c r="Q34" s="26" t="n">
        <v>1</v>
      </c>
      <c r="R34" s="27" t="n">
        <v>1</v>
      </c>
      <c r="S34" s="27" t="n">
        <v>1</v>
      </c>
    </row>
    <row r="35" customFormat="false" ht="26.5" hidden="false" customHeight="false" outlineLevel="0" collapsed="false">
      <c r="A35" s="25" t="n">
        <v>5956</v>
      </c>
      <c r="B35" s="26"/>
      <c r="C35" s="27" t="s">
        <v>207</v>
      </c>
      <c r="D35" s="27" t="s">
        <v>224</v>
      </c>
      <c r="E35" s="26" t="n">
        <v>1</v>
      </c>
      <c r="F35" s="26"/>
      <c r="G35" s="26" t="n">
        <v>1</v>
      </c>
      <c r="H35" s="26"/>
      <c r="I35" s="26"/>
      <c r="J35" s="26"/>
      <c r="K35" s="26"/>
      <c r="L35" s="26"/>
      <c r="M35" s="26"/>
      <c r="N35" s="26"/>
      <c r="O35" s="26" t="n">
        <v>0.5</v>
      </c>
      <c r="P35" s="31"/>
      <c r="Q35" s="26" t="n">
        <v>1</v>
      </c>
      <c r="R35" s="27"/>
      <c r="S35" s="27" t="n">
        <v>0.5</v>
      </c>
    </row>
    <row r="36" customFormat="false" ht="26.5" hidden="false" customHeight="false" outlineLevel="0" collapsed="false">
      <c r="A36" s="25" t="n">
        <v>5970</v>
      </c>
      <c r="B36" s="26"/>
      <c r="C36" s="27" t="s">
        <v>196</v>
      </c>
      <c r="D36" s="27" t="s">
        <v>190</v>
      </c>
      <c r="E36" s="26" t="n">
        <v>1</v>
      </c>
      <c r="F36" s="26" t="n">
        <v>1</v>
      </c>
      <c r="G36" s="26" t="n">
        <v>1</v>
      </c>
      <c r="H36" s="26"/>
      <c r="I36" s="26" t="n">
        <v>1</v>
      </c>
      <c r="J36" s="26" t="n">
        <v>1</v>
      </c>
      <c r="K36" s="26" t="n">
        <v>1</v>
      </c>
      <c r="L36" s="26" t="n">
        <v>1</v>
      </c>
      <c r="M36" s="26"/>
      <c r="N36" s="26"/>
      <c r="O36" s="26"/>
      <c r="P36" s="31" t="n">
        <v>0.6</v>
      </c>
      <c r="Q36" s="26" t="n">
        <v>1</v>
      </c>
      <c r="R36" s="27"/>
      <c r="S36" s="27" t="n">
        <v>1</v>
      </c>
    </row>
    <row r="37" customFormat="false" ht="15" hidden="false" customHeight="false" outlineLevel="0" collapsed="false">
      <c r="A37" s="25" t="n">
        <v>5975</v>
      </c>
      <c r="B37" s="26"/>
      <c r="C37" s="27" t="s">
        <v>206</v>
      </c>
      <c r="D37" s="33" t="s">
        <v>198</v>
      </c>
      <c r="E37" s="26" t="n">
        <v>1</v>
      </c>
      <c r="F37" s="26" t="n">
        <v>1</v>
      </c>
      <c r="G37" s="26" t="n">
        <v>1</v>
      </c>
      <c r="H37" s="26" t="n">
        <v>1</v>
      </c>
      <c r="I37" s="26" t="n">
        <v>1</v>
      </c>
      <c r="J37" s="34" t="n">
        <v>1</v>
      </c>
      <c r="K37" s="34" t="n">
        <v>1</v>
      </c>
      <c r="L37" s="34" t="n">
        <v>1</v>
      </c>
      <c r="M37" s="34" t="n">
        <v>1</v>
      </c>
      <c r="N37" s="34"/>
      <c r="O37" s="34" t="n">
        <v>1</v>
      </c>
      <c r="P37" s="35"/>
      <c r="Q37" s="34" t="n">
        <v>1</v>
      </c>
      <c r="R37" s="33"/>
      <c r="S37" s="33" t="n">
        <v>0</v>
      </c>
    </row>
    <row r="38" customFormat="false" ht="26" hidden="false" customHeight="false" outlineLevel="0" collapsed="false">
      <c r="A38" s="36" t="n">
        <v>5977</v>
      </c>
      <c r="B38" s="34"/>
      <c r="C38" s="33" t="s">
        <v>225</v>
      </c>
      <c r="D38" s="33" t="s">
        <v>226</v>
      </c>
      <c r="E38" s="34" t="n">
        <v>1</v>
      </c>
      <c r="F38" s="34" t="n">
        <v>1</v>
      </c>
      <c r="G38" s="34" t="n">
        <v>1</v>
      </c>
      <c r="H38" s="34"/>
      <c r="I38" s="34"/>
      <c r="J38" s="34" t="n">
        <v>1</v>
      </c>
      <c r="K38" s="34" t="n">
        <v>1</v>
      </c>
      <c r="L38" s="34"/>
      <c r="M38" s="34"/>
      <c r="N38" s="34"/>
      <c r="O38" s="34"/>
      <c r="P38" s="35"/>
      <c r="Q38" s="34"/>
      <c r="R38" s="33"/>
      <c r="S38" s="33" t="n">
        <v>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sheetPr filterMode="false">
    <pageSetUpPr fitToPage="false"/>
  </sheetPr>
  <dimension ref="A1:R37"/>
  <sheetViews>
    <sheetView windowProtection="false" showFormulas="false" showGridLines="true" showRowColHeaders="true" showZeros="true" rightToLeft="false" tabSelected="false" showOutlineSymbols="true" defaultGridColor="true" view="normal" topLeftCell="A14" colorId="64" zoomScale="100" zoomScaleNormal="100" zoomScalePageLayoutView="100" workbookViewId="0">
      <selection pane="topLeft" activeCell="A14" activeCellId="0" sqref="A14"/>
    </sheetView>
  </sheetViews>
  <sheetFormatPr defaultRowHeight="14.5"/>
  <cols>
    <col collapsed="false" hidden="false" max="15" min="1" style="0" width="8.72959183673469"/>
    <col collapsed="false" hidden="false" max="16" min="16" style="0" width="9.35714285714286"/>
    <col collapsed="false" hidden="false" max="17" min="17" style="0" width="8.72959183673469"/>
    <col collapsed="false" hidden="false" max="18" min="18" style="0" width="11.9081632653061"/>
    <col collapsed="false" hidden="false" max="1025" min="19" style="0" width="8.72959183673469"/>
  </cols>
  <sheetData>
    <row r="1" customFormat="false" ht="26.5" hidden="false" customHeight="false" outlineLevel="0" collapsed="false">
      <c r="A1" s="27" t="s">
        <v>155</v>
      </c>
      <c r="B1" s="27" t="s">
        <v>167</v>
      </c>
      <c r="C1" s="27" t="s">
        <v>169</v>
      </c>
      <c r="D1" s="27" t="s">
        <v>170</v>
      </c>
      <c r="E1" s="27" t="s">
        <v>171</v>
      </c>
      <c r="F1" s="27" t="s">
        <v>172</v>
      </c>
      <c r="G1" s="27" t="s">
        <v>173</v>
      </c>
      <c r="H1" s="27" t="s">
        <v>174</v>
      </c>
      <c r="I1" s="27" t="s">
        <v>175</v>
      </c>
      <c r="J1" s="27" t="s">
        <v>176</v>
      </c>
      <c r="K1" s="27" t="s">
        <v>177</v>
      </c>
      <c r="L1" s="27" t="s">
        <v>178</v>
      </c>
      <c r="M1" s="27" t="s">
        <v>179</v>
      </c>
      <c r="N1" s="27" t="s">
        <v>227</v>
      </c>
      <c r="O1" s="27" t="s">
        <v>228</v>
      </c>
      <c r="P1" s="27" t="s">
        <v>229</v>
      </c>
      <c r="Q1" s="27" t="s">
        <v>168</v>
      </c>
      <c r="R1" s="27" t="s">
        <v>183</v>
      </c>
    </row>
    <row r="2" customFormat="false" ht="26.5" hidden="false" customHeight="false" outlineLevel="0" collapsed="false">
      <c r="A2" s="25" t="n">
        <v>5977</v>
      </c>
      <c r="B2" s="27" t="s">
        <v>225</v>
      </c>
      <c r="C2" s="25" t="n">
        <v>1</v>
      </c>
      <c r="D2" s="25" t="n">
        <v>1</v>
      </c>
      <c r="E2" s="25" t="n">
        <v>1</v>
      </c>
      <c r="F2" s="27"/>
      <c r="G2" s="27"/>
      <c r="H2" s="25" t="n">
        <v>1</v>
      </c>
      <c r="I2" s="25" t="n">
        <v>1</v>
      </c>
      <c r="J2" s="27"/>
      <c r="K2" s="27"/>
      <c r="L2" s="27"/>
      <c r="M2" s="27"/>
      <c r="N2" s="27"/>
      <c r="O2" s="27"/>
      <c r="P2" s="27"/>
      <c r="Q2" s="27" t="s">
        <v>226</v>
      </c>
      <c r="R2" s="27" t="s">
        <v>230</v>
      </c>
    </row>
    <row r="3" customFormat="false" ht="26.5" hidden="false" customHeight="false" outlineLevel="0" collapsed="false">
      <c r="A3" s="25" t="n">
        <v>4043</v>
      </c>
      <c r="B3" s="27" t="s">
        <v>212</v>
      </c>
      <c r="C3" s="25" t="n">
        <v>1</v>
      </c>
      <c r="D3" s="25" t="n">
        <v>1</v>
      </c>
      <c r="E3" s="25" t="n">
        <v>1</v>
      </c>
      <c r="F3" s="27"/>
      <c r="G3" s="25" t="n">
        <v>1</v>
      </c>
      <c r="H3" s="25" t="n">
        <v>1</v>
      </c>
      <c r="I3" s="25" t="n">
        <v>1</v>
      </c>
      <c r="J3" s="25" t="n">
        <v>1</v>
      </c>
      <c r="K3" s="25" t="n">
        <v>1</v>
      </c>
      <c r="L3" s="27"/>
      <c r="M3" s="25" t="n">
        <v>1</v>
      </c>
      <c r="N3" s="27"/>
      <c r="O3" s="25" t="n">
        <v>1</v>
      </c>
      <c r="P3" s="27"/>
      <c r="Q3" s="27" t="s">
        <v>213</v>
      </c>
      <c r="R3" s="25" t="n">
        <v>1</v>
      </c>
    </row>
    <row r="4" customFormat="false" ht="15" hidden="false" customHeight="false" outlineLevel="0" collapsed="false">
      <c r="A4" s="25" t="n">
        <v>2915</v>
      </c>
      <c r="B4" s="27" t="s">
        <v>206</v>
      </c>
      <c r="C4" s="27"/>
      <c r="D4" s="25" t="n">
        <v>1</v>
      </c>
      <c r="E4" s="25" t="n">
        <v>1</v>
      </c>
      <c r="F4" s="25" t="n">
        <v>1</v>
      </c>
      <c r="G4" s="25" t="n">
        <v>1</v>
      </c>
      <c r="H4" s="25" t="n">
        <v>1</v>
      </c>
      <c r="I4" s="25" t="n">
        <v>1</v>
      </c>
      <c r="J4" s="25" t="n">
        <v>1</v>
      </c>
      <c r="K4" s="25" t="n">
        <v>1</v>
      </c>
      <c r="L4" s="25" t="n">
        <v>1</v>
      </c>
      <c r="M4" s="25" t="n">
        <v>1</v>
      </c>
      <c r="N4" s="37" t="s">
        <v>231</v>
      </c>
      <c r="O4" s="25" t="n">
        <v>1</v>
      </c>
      <c r="P4" s="27"/>
      <c r="Q4" s="27" t="s">
        <v>191</v>
      </c>
      <c r="R4" s="25" t="n">
        <v>1</v>
      </c>
    </row>
    <row r="5" customFormat="false" ht="39" hidden="false" customHeight="false" outlineLevel="0" collapsed="false">
      <c r="A5" s="25" t="n">
        <v>2733</v>
      </c>
      <c r="B5" s="27" t="s">
        <v>203</v>
      </c>
      <c r="C5" s="25" t="n">
        <v>1</v>
      </c>
      <c r="D5" s="25" t="n">
        <v>1</v>
      </c>
      <c r="E5" s="25" t="n">
        <v>1</v>
      </c>
      <c r="F5" s="27"/>
      <c r="G5" s="27"/>
      <c r="H5" s="25" t="n">
        <v>1</v>
      </c>
      <c r="I5" s="25" t="n">
        <v>1</v>
      </c>
      <c r="J5" s="27"/>
      <c r="K5" s="27"/>
      <c r="L5" s="27"/>
      <c r="M5" s="25" t="n">
        <v>1</v>
      </c>
      <c r="N5" s="27"/>
      <c r="O5" s="25" t="n">
        <v>1</v>
      </c>
      <c r="P5" s="25" t="n">
        <v>1</v>
      </c>
      <c r="Q5" s="27" t="s">
        <v>204</v>
      </c>
      <c r="R5" s="25" t="n">
        <v>1</v>
      </c>
    </row>
    <row r="6" customFormat="false" ht="15" hidden="false" customHeight="false" outlineLevel="0" collapsed="false">
      <c r="A6" s="25" t="n">
        <v>5975</v>
      </c>
      <c r="B6" s="27" t="s">
        <v>206</v>
      </c>
      <c r="C6" s="25" t="n">
        <v>1</v>
      </c>
      <c r="D6" s="25" t="n">
        <v>1</v>
      </c>
      <c r="E6" s="25" t="n">
        <v>1</v>
      </c>
      <c r="F6" s="25" t="n">
        <v>1</v>
      </c>
      <c r="G6" s="25" t="n">
        <v>1</v>
      </c>
      <c r="H6" s="25" t="n">
        <v>1</v>
      </c>
      <c r="I6" s="25" t="n">
        <v>1</v>
      </c>
      <c r="J6" s="25" t="n">
        <v>1</v>
      </c>
      <c r="K6" s="25" t="n">
        <v>1</v>
      </c>
      <c r="L6" s="27"/>
      <c r="M6" s="25" t="n">
        <v>1</v>
      </c>
      <c r="N6" s="27"/>
      <c r="O6" s="25" t="n">
        <v>1</v>
      </c>
      <c r="P6" s="27"/>
      <c r="Q6" s="27" t="s">
        <v>198</v>
      </c>
      <c r="R6" s="27" t="s">
        <v>230</v>
      </c>
    </row>
    <row r="7" customFormat="false" ht="15" hidden="false" customHeight="false" outlineLevel="0" collapsed="false">
      <c r="A7" s="25" t="n">
        <v>3812</v>
      </c>
      <c r="B7" s="27" t="s">
        <v>206</v>
      </c>
      <c r="C7" s="25" t="n">
        <v>1</v>
      </c>
      <c r="D7" s="25" t="n">
        <v>1</v>
      </c>
      <c r="E7" s="25" t="n">
        <v>1</v>
      </c>
      <c r="F7" s="27"/>
      <c r="G7" s="27"/>
      <c r="H7" s="25" t="n">
        <v>1</v>
      </c>
      <c r="I7" s="25" t="n">
        <v>1</v>
      </c>
      <c r="J7" s="25" t="n">
        <v>1</v>
      </c>
      <c r="K7" s="25" t="n">
        <v>1</v>
      </c>
      <c r="L7" s="27"/>
      <c r="M7" s="27"/>
      <c r="N7" s="37" t="s">
        <v>232</v>
      </c>
      <c r="O7" s="25" t="n">
        <v>1</v>
      </c>
      <c r="P7" s="27"/>
      <c r="Q7" s="27" t="s">
        <v>198</v>
      </c>
      <c r="R7" s="25" t="n">
        <v>1</v>
      </c>
    </row>
    <row r="8" customFormat="false" ht="26.5" hidden="false" customHeight="false" outlineLevel="0" collapsed="false">
      <c r="A8" s="25" t="n">
        <v>5956</v>
      </c>
      <c r="B8" s="27" t="s">
        <v>207</v>
      </c>
      <c r="C8" s="25" t="n">
        <v>1</v>
      </c>
      <c r="D8" s="27"/>
      <c r="E8" s="25" t="n">
        <v>1</v>
      </c>
      <c r="F8" s="27"/>
      <c r="G8" s="27"/>
      <c r="H8" s="27"/>
      <c r="I8" s="27"/>
      <c r="J8" s="27"/>
      <c r="K8" s="27"/>
      <c r="L8" s="27"/>
      <c r="M8" s="25" t="n">
        <v>0.5</v>
      </c>
      <c r="N8" s="27"/>
      <c r="O8" s="25" t="n">
        <v>1</v>
      </c>
      <c r="P8" s="27"/>
      <c r="Q8" s="27" t="s">
        <v>224</v>
      </c>
      <c r="R8" s="25" t="n">
        <v>0.5</v>
      </c>
    </row>
    <row r="9" customFormat="false" ht="15" hidden="false" customHeight="false" outlineLevel="0" collapsed="false">
      <c r="A9" s="25" t="n">
        <v>4051</v>
      </c>
      <c r="B9" s="27" t="s">
        <v>206</v>
      </c>
      <c r="C9" s="25" t="n">
        <v>1</v>
      </c>
      <c r="D9" s="25" t="n">
        <v>1</v>
      </c>
      <c r="E9" s="25" t="n">
        <v>1</v>
      </c>
      <c r="F9" s="25" t="n">
        <v>1</v>
      </c>
      <c r="G9" s="27"/>
      <c r="H9" s="25" t="n">
        <v>1</v>
      </c>
      <c r="I9" s="25" t="n">
        <v>1</v>
      </c>
      <c r="J9" s="25" t="n">
        <v>1</v>
      </c>
      <c r="K9" s="27"/>
      <c r="L9" s="27"/>
      <c r="M9" s="25" t="n">
        <v>1</v>
      </c>
      <c r="N9" s="27"/>
      <c r="O9" s="25" t="n">
        <v>1</v>
      </c>
      <c r="P9" s="27"/>
      <c r="Q9" s="27" t="s">
        <v>214</v>
      </c>
      <c r="R9" s="25" t="n">
        <v>1</v>
      </c>
    </row>
    <row r="10" customFormat="false" ht="26.5" hidden="false" customHeight="false" outlineLevel="0" collapsed="false">
      <c r="A10" s="25" t="n">
        <v>5970</v>
      </c>
      <c r="B10" s="27" t="s">
        <v>196</v>
      </c>
      <c r="C10" s="25" t="n">
        <v>1</v>
      </c>
      <c r="D10" s="25" t="n">
        <v>1</v>
      </c>
      <c r="E10" s="25" t="n">
        <v>1</v>
      </c>
      <c r="F10" s="27"/>
      <c r="G10" s="25" t="n">
        <v>1</v>
      </c>
      <c r="H10" s="25" t="n">
        <v>1</v>
      </c>
      <c r="I10" s="25" t="n">
        <v>1</v>
      </c>
      <c r="J10" s="25" t="n">
        <v>1</v>
      </c>
      <c r="K10" s="27"/>
      <c r="L10" s="27"/>
      <c r="M10" s="27"/>
      <c r="N10" s="37" t="s">
        <v>233</v>
      </c>
      <c r="O10" s="25" t="n">
        <v>1</v>
      </c>
      <c r="P10" s="27"/>
      <c r="Q10" s="27" t="s">
        <v>190</v>
      </c>
      <c r="R10" s="25" t="n">
        <v>1</v>
      </c>
    </row>
    <row r="11" customFormat="false" ht="26.5" hidden="false" customHeight="false" outlineLevel="0" collapsed="false">
      <c r="A11" s="25" t="n">
        <v>4662</v>
      </c>
      <c r="B11" s="27" t="s">
        <v>220</v>
      </c>
      <c r="C11" s="25" t="n">
        <v>1</v>
      </c>
      <c r="D11" s="25" t="n">
        <v>1</v>
      </c>
      <c r="E11" s="25" t="n">
        <v>1</v>
      </c>
      <c r="F11" s="27"/>
      <c r="G11" s="27"/>
      <c r="H11" s="25" t="n">
        <v>1</v>
      </c>
      <c r="I11" s="25" t="n">
        <v>1</v>
      </c>
      <c r="J11" s="25" t="n">
        <v>1</v>
      </c>
      <c r="K11" s="25" t="n">
        <v>1</v>
      </c>
      <c r="L11" s="27"/>
      <c r="M11" s="25" t="n">
        <v>1</v>
      </c>
      <c r="N11" s="37" t="s">
        <v>232</v>
      </c>
      <c r="O11" s="25" t="n">
        <v>1</v>
      </c>
      <c r="P11" s="25" t="n">
        <v>1</v>
      </c>
      <c r="Q11" s="27" t="s">
        <v>214</v>
      </c>
      <c r="R11" s="25" t="n">
        <v>1</v>
      </c>
    </row>
    <row r="12" customFormat="false" ht="26.5" hidden="false" customHeight="false" outlineLevel="0" collapsed="false">
      <c r="A12" s="25" t="n">
        <v>4488</v>
      </c>
      <c r="B12" s="27" t="s">
        <v>207</v>
      </c>
      <c r="C12" s="25" t="n">
        <v>1</v>
      </c>
      <c r="D12" s="25" t="n">
        <v>1</v>
      </c>
      <c r="E12" s="25" t="n">
        <v>1</v>
      </c>
      <c r="F12" s="27"/>
      <c r="G12" s="27"/>
      <c r="H12" s="25" t="n">
        <v>1</v>
      </c>
      <c r="I12" s="25" t="n">
        <v>1</v>
      </c>
      <c r="J12" s="25" t="n">
        <v>1</v>
      </c>
      <c r="K12" s="25" t="n">
        <v>1</v>
      </c>
      <c r="L12" s="27"/>
      <c r="M12" s="27"/>
      <c r="N12" s="25" t="n">
        <v>1</v>
      </c>
      <c r="O12" s="25" t="n">
        <v>1</v>
      </c>
      <c r="P12" s="27"/>
      <c r="Q12" s="27" t="s">
        <v>190</v>
      </c>
      <c r="R12" s="25" t="n">
        <v>1</v>
      </c>
    </row>
    <row r="13" customFormat="false" ht="39" hidden="false" customHeight="false" outlineLevel="0" collapsed="false">
      <c r="A13" s="25" t="n">
        <v>4110</v>
      </c>
      <c r="B13" s="27" t="s">
        <v>215</v>
      </c>
      <c r="C13" s="25" t="n">
        <v>1</v>
      </c>
      <c r="D13" s="25" t="n">
        <v>1</v>
      </c>
      <c r="E13" s="25" t="n">
        <v>1</v>
      </c>
      <c r="F13" s="27"/>
      <c r="G13" s="27"/>
      <c r="H13" s="25" t="n">
        <v>1</v>
      </c>
      <c r="I13" s="25" t="n">
        <v>1</v>
      </c>
      <c r="J13" s="25" t="n">
        <v>1</v>
      </c>
      <c r="K13" s="25" t="n">
        <v>1</v>
      </c>
      <c r="L13" s="27"/>
      <c r="M13" s="25" t="n">
        <v>1</v>
      </c>
      <c r="N13" s="27"/>
      <c r="O13" s="25" t="n">
        <v>1</v>
      </c>
      <c r="P13" s="25" t="n">
        <v>1</v>
      </c>
      <c r="Q13" s="27" t="s">
        <v>216</v>
      </c>
      <c r="R13" s="27" t="s">
        <v>230</v>
      </c>
    </row>
    <row r="14" customFormat="false" ht="26.5" hidden="false" customHeight="false" outlineLevel="0" collapsed="false">
      <c r="A14" s="25" t="n">
        <v>5468</v>
      </c>
      <c r="B14" s="27" t="s">
        <v>222</v>
      </c>
      <c r="C14" s="25" t="n">
        <v>1</v>
      </c>
      <c r="D14" s="25" t="n">
        <v>1</v>
      </c>
      <c r="E14" s="25" t="n">
        <v>1</v>
      </c>
      <c r="F14" s="25" t="n">
        <v>1</v>
      </c>
      <c r="G14" s="25" t="n">
        <v>1</v>
      </c>
      <c r="H14" s="25" t="n">
        <v>1</v>
      </c>
      <c r="I14" s="25" t="n">
        <v>1</v>
      </c>
      <c r="J14" s="27"/>
      <c r="K14" s="27"/>
      <c r="L14" s="27"/>
      <c r="M14" s="27"/>
      <c r="N14" s="37" t="s">
        <v>234</v>
      </c>
      <c r="O14" s="25" t="n">
        <v>1</v>
      </c>
      <c r="P14" s="27"/>
      <c r="Q14" s="27" t="s">
        <v>223</v>
      </c>
      <c r="R14" s="25" t="n">
        <v>1</v>
      </c>
    </row>
    <row r="15" customFormat="false" ht="15" hidden="false" customHeight="false" outlineLevel="0" collapsed="false">
      <c r="A15" s="25" t="n">
        <v>5198</v>
      </c>
      <c r="B15" s="27" t="s">
        <v>206</v>
      </c>
      <c r="C15" s="27"/>
      <c r="D15" s="25" t="n">
        <v>1</v>
      </c>
      <c r="E15" s="25" t="n">
        <v>1</v>
      </c>
      <c r="F15" s="27"/>
      <c r="G15" s="27"/>
      <c r="H15" s="25" t="n">
        <v>1</v>
      </c>
      <c r="I15" s="25" t="n">
        <v>1</v>
      </c>
      <c r="J15" s="27"/>
      <c r="K15" s="27"/>
      <c r="L15" s="27"/>
      <c r="M15" s="27"/>
      <c r="N15" s="25" t="n">
        <v>0.5</v>
      </c>
      <c r="O15" s="25" t="n">
        <v>1</v>
      </c>
      <c r="P15" s="27"/>
      <c r="Q15" s="27" t="s">
        <v>187</v>
      </c>
      <c r="R15" s="25" t="n">
        <v>1</v>
      </c>
    </row>
    <row r="16" customFormat="false" ht="39" hidden="false" customHeight="false" outlineLevel="0" collapsed="false">
      <c r="A16" s="25" t="n">
        <v>2374</v>
      </c>
      <c r="B16" s="27" t="s">
        <v>200</v>
      </c>
      <c r="C16" s="27"/>
      <c r="D16" s="25" t="n">
        <v>1</v>
      </c>
      <c r="E16" s="25" t="n">
        <v>1</v>
      </c>
      <c r="F16" s="25" t="n">
        <v>1</v>
      </c>
      <c r="G16" s="25" t="n">
        <v>1</v>
      </c>
      <c r="H16" s="25" t="n">
        <v>1</v>
      </c>
      <c r="I16" s="25" t="n">
        <v>1</v>
      </c>
      <c r="J16" s="25" t="n">
        <v>1</v>
      </c>
      <c r="K16" s="25" t="n">
        <v>1</v>
      </c>
      <c r="L16" s="27"/>
      <c r="M16" s="25" t="n">
        <v>1</v>
      </c>
      <c r="N16" s="37" t="s">
        <v>235</v>
      </c>
      <c r="O16" s="25" t="n">
        <v>1</v>
      </c>
      <c r="P16" s="27"/>
      <c r="Q16" s="27" t="s">
        <v>190</v>
      </c>
      <c r="R16" s="25" t="n">
        <v>1</v>
      </c>
    </row>
    <row r="17" customFormat="false" ht="39" hidden="false" customHeight="false" outlineLevel="0" collapsed="false">
      <c r="A17" s="25" t="n">
        <v>2002</v>
      </c>
      <c r="B17" s="27" t="s">
        <v>184</v>
      </c>
      <c r="C17" s="27"/>
      <c r="D17" s="25" t="n">
        <v>1</v>
      </c>
      <c r="E17" s="25" t="n">
        <v>1</v>
      </c>
      <c r="F17" s="27"/>
      <c r="G17" s="27"/>
      <c r="H17" s="25" t="n">
        <v>1</v>
      </c>
      <c r="I17" s="25" t="n">
        <v>1</v>
      </c>
      <c r="J17" s="27"/>
      <c r="K17" s="27"/>
      <c r="L17" s="27"/>
      <c r="M17" s="27"/>
      <c r="N17" s="25" t="n">
        <v>1</v>
      </c>
      <c r="O17" s="25" t="n">
        <v>1</v>
      </c>
      <c r="P17" s="27"/>
      <c r="Q17" s="27" t="s">
        <v>199</v>
      </c>
      <c r="R17" s="27" t="s">
        <v>230</v>
      </c>
    </row>
    <row r="18" customFormat="false" ht="64" hidden="false" customHeight="false" outlineLevel="0" collapsed="false">
      <c r="A18" s="25" t="n">
        <v>1510</v>
      </c>
      <c r="B18" s="27"/>
      <c r="C18" s="27" t="n">
        <v>1</v>
      </c>
      <c r="D18" s="27" t="n">
        <v>1</v>
      </c>
      <c r="E18" s="27" t="n">
        <v>1</v>
      </c>
      <c r="F18" s="27" t="n">
        <v>1</v>
      </c>
      <c r="G18" s="27" t="n">
        <v>1</v>
      </c>
      <c r="H18" s="27" t="n">
        <v>1</v>
      </c>
      <c r="I18" s="27" t="n">
        <v>1</v>
      </c>
      <c r="J18" s="27" t="n">
        <v>1</v>
      </c>
      <c r="K18" s="27" t="n">
        <v>1</v>
      </c>
      <c r="L18" s="27" t="n">
        <v>0</v>
      </c>
      <c r="M18" s="27" t="n">
        <v>1</v>
      </c>
      <c r="N18" s="27" t="s">
        <v>231</v>
      </c>
      <c r="O18" s="27" t="n">
        <v>1</v>
      </c>
      <c r="P18" s="27"/>
      <c r="Q18" s="27" t="s">
        <v>195</v>
      </c>
      <c r="R18" s="27" t="n">
        <v>1</v>
      </c>
    </row>
    <row r="19" customFormat="false" ht="15" hidden="false" customHeight="false" outlineLevel="0" collapsed="false">
      <c r="A19" s="25" t="n">
        <v>5085</v>
      </c>
      <c r="B19" s="27" t="s">
        <v>221</v>
      </c>
      <c r="C19" s="25" t="n">
        <v>1</v>
      </c>
      <c r="D19" s="25" t="n">
        <v>1</v>
      </c>
      <c r="E19" s="25" t="n">
        <v>1</v>
      </c>
      <c r="F19" s="27"/>
      <c r="G19" s="27"/>
      <c r="H19" s="25" t="n">
        <v>1</v>
      </c>
      <c r="I19" s="25" t="n">
        <v>1</v>
      </c>
      <c r="J19" s="25" t="n">
        <v>1</v>
      </c>
      <c r="K19" s="25" t="n">
        <v>1</v>
      </c>
      <c r="L19" s="25" t="n">
        <v>1</v>
      </c>
      <c r="M19" s="25" t="n">
        <v>1</v>
      </c>
      <c r="N19" s="27"/>
      <c r="O19" s="25" t="n">
        <v>1</v>
      </c>
      <c r="P19" s="25" t="n">
        <v>1</v>
      </c>
      <c r="Q19" s="27" t="s">
        <v>187</v>
      </c>
      <c r="R19" s="25" t="n">
        <v>1</v>
      </c>
    </row>
    <row r="20" customFormat="false" ht="15" hidden="false" customHeight="false" outlineLevel="0" collapsed="false">
      <c r="A20" s="25" t="n">
        <v>5711</v>
      </c>
      <c r="B20" s="27" t="s">
        <v>184</v>
      </c>
      <c r="C20" s="25" t="n">
        <v>1</v>
      </c>
      <c r="D20" s="25" t="n">
        <v>1</v>
      </c>
      <c r="E20" s="25" t="n">
        <v>1</v>
      </c>
      <c r="F20" s="27"/>
      <c r="G20" s="27"/>
      <c r="H20" s="25" t="n">
        <v>1</v>
      </c>
      <c r="I20" s="25" t="n">
        <v>1</v>
      </c>
      <c r="J20" s="25" t="n">
        <v>1</v>
      </c>
      <c r="K20" s="25" t="n">
        <v>1</v>
      </c>
      <c r="L20" s="27"/>
      <c r="M20" s="27"/>
      <c r="N20" s="37" t="s">
        <v>234</v>
      </c>
      <c r="O20" s="25" t="n">
        <v>1</v>
      </c>
      <c r="P20" s="25" t="n">
        <v>1</v>
      </c>
      <c r="Q20" s="27" t="s">
        <v>191</v>
      </c>
      <c r="R20" s="25" t="n">
        <v>1</v>
      </c>
    </row>
    <row r="21" customFormat="false" ht="15" hidden="false" customHeight="false" outlineLevel="0" collapsed="false">
      <c r="A21" s="25" t="n">
        <v>3673</v>
      </c>
      <c r="B21" s="27" t="s">
        <v>184</v>
      </c>
      <c r="C21" s="27"/>
      <c r="D21" s="25" t="n">
        <v>1</v>
      </c>
      <c r="E21" s="25" t="n">
        <v>1</v>
      </c>
      <c r="F21" s="27"/>
      <c r="G21" s="27"/>
      <c r="H21" s="25" t="n">
        <v>1</v>
      </c>
      <c r="I21" s="25" t="n">
        <v>1</v>
      </c>
      <c r="J21" s="27"/>
      <c r="K21" s="27"/>
      <c r="L21" s="27"/>
      <c r="M21" s="25" t="n">
        <v>1</v>
      </c>
      <c r="N21" s="37" t="s">
        <v>231</v>
      </c>
      <c r="O21" s="25" t="n">
        <v>1</v>
      </c>
      <c r="P21" s="27"/>
      <c r="Q21" s="27" t="s">
        <v>191</v>
      </c>
      <c r="R21" s="25" t="n">
        <v>1</v>
      </c>
    </row>
    <row r="22" customFormat="false" ht="26.5" hidden="false" customHeight="false" outlineLevel="0" collapsed="false">
      <c r="A22" s="25" t="n">
        <v>3192</v>
      </c>
      <c r="B22" s="27" t="s">
        <v>202</v>
      </c>
      <c r="C22" s="25" t="n">
        <v>1</v>
      </c>
      <c r="D22" s="25" t="n">
        <v>1</v>
      </c>
      <c r="E22" s="25" t="n">
        <v>1</v>
      </c>
      <c r="F22" s="25" t="n">
        <v>1</v>
      </c>
      <c r="G22" s="27"/>
      <c r="H22" s="25" t="n">
        <v>1</v>
      </c>
      <c r="I22" s="25" t="n">
        <v>1</v>
      </c>
      <c r="J22" s="25" t="n">
        <v>1</v>
      </c>
      <c r="K22" s="25" t="n">
        <v>1</v>
      </c>
      <c r="L22" s="25" t="n">
        <v>1</v>
      </c>
      <c r="M22" s="25" t="n">
        <v>1</v>
      </c>
      <c r="N22" s="27"/>
      <c r="O22" s="25" t="n">
        <v>1</v>
      </c>
      <c r="P22" s="27"/>
      <c r="Q22" s="27" t="s">
        <v>198</v>
      </c>
      <c r="R22" s="25" t="n">
        <v>1</v>
      </c>
    </row>
    <row r="23" customFormat="false" ht="26.5" hidden="false" customHeight="false" outlineLevel="0" collapsed="false">
      <c r="A23" s="25" t="n">
        <v>955</v>
      </c>
      <c r="B23" s="27" t="s">
        <v>189</v>
      </c>
      <c r="C23" s="27"/>
      <c r="D23" s="25" t="n">
        <v>1</v>
      </c>
      <c r="E23" s="25" t="n">
        <v>1</v>
      </c>
      <c r="F23" s="27"/>
      <c r="G23" s="27"/>
      <c r="H23" s="25" t="n">
        <v>1</v>
      </c>
      <c r="I23" s="25" t="n">
        <v>1</v>
      </c>
      <c r="J23" s="25" t="n">
        <v>1</v>
      </c>
      <c r="K23" s="25" t="n">
        <v>1</v>
      </c>
      <c r="L23" s="27"/>
      <c r="M23" s="27"/>
      <c r="N23" s="25" t="n">
        <v>1</v>
      </c>
      <c r="O23" s="25" t="n">
        <v>1</v>
      </c>
      <c r="P23" s="27"/>
      <c r="Q23" s="27" t="s">
        <v>190</v>
      </c>
      <c r="R23" s="25" t="n">
        <v>1</v>
      </c>
    </row>
    <row r="24" customFormat="false" ht="64" hidden="false" customHeight="false" outlineLevel="0" collapsed="false">
      <c r="A24" s="25" t="n">
        <v>2811</v>
      </c>
      <c r="B24" s="27" t="s">
        <v>205</v>
      </c>
      <c r="C24" s="25" t="n">
        <v>1</v>
      </c>
      <c r="D24" s="25" t="n">
        <v>1</v>
      </c>
      <c r="E24" s="25" t="n">
        <v>1</v>
      </c>
      <c r="F24" s="25" t="n">
        <v>1</v>
      </c>
      <c r="G24" s="25" t="n">
        <v>1</v>
      </c>
      <c r="H24" s="25" t="n">
        <v>1</v>
      </c>
      <c r="I24" s="25" t="n">
        <v>1</v>
      </c>
      <c r="J24" s="25" t="n">
        <v>1</v>
      </c>
      <c r="K24" s="25" t="n">
        <v>1</v>
      </c>
      <c r="L24" s="27"/>
      <c r="M24" s="25" t="n">
        <v>1</v>
      </c>
      <c r="N24" s="25" t="n">
        <v>1</v>
      </c>
      <c r="O24" s="25" t="n">
        <v>1</v>
      </c>
      <c r="P24" s="25" t="n">
        <v>1</v>
      </c>
      <c r="Q24" s="27" t="s">
        <v>190</v>
      </c>
      <c r="R24" s="25" t="n">
        <v>1</v>
      </c>
    </row>
    <row r="25" customFormat="false" ht="15" hidden="false" customHeight="false" outlineLevel="0" collapsed="false">
      <c r="A25" s="25" t="n">
        <v>2990</v>
      </c>
      <c r="B25" s="27" t="s">
        <v>184</v>
      </c>
      <c r="C25" s="25" t="n">
        <v>1</v>
      </c>
      <c r="D25" s="25" t="n">
        <v>1</v>
      </c>
      <c r="E25" s="25" t="n">
        <v>1</v>
      </c>
      <c r="F25" s="25" t="n">
        <v>1</v>
      </c>
      <c r="G25" s="25" t="n">
        <v>1</v>
      </c>
      <c r="H25" s="25" t="n">
        <v>1</v>
      </c>
      <c r="I25" s="25" t="n">
        <v>1</v>
      </c>
      <c r="J25" s="25" t="n">
        <v>1</v>
      </c>
      <c r="K25" s="25" t="n">
        <v>1</v>
      </c>
      <c r="L25" s="25" t="n">
        <v>1</v>
      </c>
      <c r="M25" s="25" t="n">
        <v>1</v>
      </c>
      <c r="N25" s="27"/>
      <c r="O25" s="25" t="n">
        <v>1</v>
      </c>
      <c r="P25" s="25" t="n">
        <v>1</v>
      </c>
      <c r="Q25" s="27" t="s">
        <v>197</v>
      </c>
      <c r="R25" s="25" t="n">
        <v>1</v>
      </c>
    </row>
    <row r="26" customFormat="false" ht="26.5" hidden="false" customHeight="false" outlineLevel="0" collapsed="false">
      <c r="A26" s="25" t="n">
        <v>2635</v>
      </c>
      <c r="B26" s="27" t="s">
        <v>202</v>
      </c>
      <c r="C26" s="25" t="n">
        <v>1</v>
      </c>
      <c r="D26" s="25" t="n">
        <v>1</v>
      </c>
      <c r="E26" s="25" t="n">
        <v>1</v>
      </c>
      <c r="F26" s="27"/>
      <c r="G26" s="27"/>
      <c r="H26" s="25" t="n">
        <v>1</v>
      </c>
      <c r="I26" s="25" t="n">
        <v>1</v>
      </c>
      <c r="J26" s="27"/>
      <c r="K26" s="27"/>
      <c r="L26" s="27"/>
      <c r="M26" s="27"/>
      <c r="N26" s="25" t="n">
        <v>1</v>
      </c>
      <c r="O26" s="25" t="n">
        <v>1</v>
      </c>
      <c r="P26" s="27"/>
      <c r="Q26" s="27" t="s">
        <v>197</v>
      </c>
      <c r="R26" s="27" t="s">
        <v>230</v>
      </c>
    </row>
    <row r="27" customFormat="false" ht="26.5" hidden="false" customHeight="false" outlineLevel="0" collapsed="false">
      <c r="A27" s="25" t="n">
        <v>2521</v>
      </c>
      <c r="B27" s="27" t="s">
        <v>201</v>
      </c>
      <c r="C27" s="27"/>
      <c r="D27" s="25" t="n">
        <v>1</v>
      </c>
      <c r="E27" s="25" t="n">
        <v>1</v>
      </c>
      <c r="F27" s="27"/>
      <c r="G27" s="27"/>
      <c r="H27" s="25" t="n">
        <v>1</v>
      </c>
      <c r="I27" s="25" t="n">
        <v>1</v>
      </c>
      <c r="J27" s="27"/>
      <c r="K27" s="27"/>
      <c r="L27" s="27"/>
      <c r="M27" s="27"/>
      <c r="N27" s="37" t="s">
        <v>231</v>
      </c>
      <c r="O27" s="25" t="n">
        <v>1</v>
      </c>
      <c r="P27" s="27"/>
      <c r="Q27" s="27" t="s">
        <v>191</v>
      </c>
      <c r="R27" s="27" t="s">
        <v>230</v>
      </c>
    </row>
    <row r="28" customFormat="false" ht="15" hidden="false" customHeight="false" outlineLevel="0" collapsed="false">
      <c r="A28" s="25" t="n">
        <v>2471</v>
      </c>
      <c r="B28" s="27" t="s">
        <v>184</v>
      </c>
      <c r="C28" s="27"/>
      <c r="D28" s="25" t="n">
        <v>1</v>
      </c>
      <c r="E28" s="25" t="n">
        <v>1</v>
      </c>
      <c r="F28" s="25" t="n">
        <v>1</v>
      </c>
      <c r="G28" s="25" t="n">
        <v>1</v>
      </c>
      <c r="H28" s="25" t="n">
        <v>1</v>
      </c>
      <c r="I28" s="25" t="n">
        <v>1</v>
      </c>
      <c r="J28" s="25" t="n">
        <v>1</v>
      </c>
      <c r="K28" s="25" t="n">
        <v>1</v>
      </c>
      <c r="L28" s="27"/>
      <c r="M28" s="27"/>
      <c r="N28" s="25" t="n">
        <v>1</v>
      </c>
      <c r="O28" s="25" t="n">
        <v>1</v>
      </c>
      <c r="P28" s="25" t="n">
        <v>1</v>
      </c>
      <c r="Q28" s="27" t="s">
        <v>197</v>
      </c>
      <c r="R28" s="25" t="n">
        <v>1</v>
      </c>
    </row>
    <row r="29" customFormat="false" ht="15" hidden="false" customHeight="false" outlineLevel="0" collapsed="false">
      <c r="A29" s="25" t="n">
        <v>1571</v>
      </c>
      <c r="B29" s="27"/>
      <c r="C29" s="25" t="n">
        <v>1</v>
      </c>
      <c r="D29" s="25" t="n">
        <v>1</v>
      </c>
      <c r="E29" s="25" t="n">
        <v>1</v>
      </c>
      <c r="F29" s="25" t="n">
        <v>1</v>
      </c>
      <c r="G29" s="25" t="n">
        <v>1</v>
      </c>
      <c r="H29" s="25" t="n">
        <v>1</v>
      </c>
      <c r="I29" s="25" t="n">
        <v>1</v>
      </c>
      <c r="J29" s="27"/>
      <c r="K29" s="25" t="n">
        <v>1</v>
      </c>
      <c r="L29" s="27"/>
      <c r="M29" s="25" t="n">
        <v>1</v>
      </c>
      <c r="N29" s="27"/>
      <c r="O29" s="25" t="n">
        <v>1</v>
      </c>
      <c r="P29" s="27"/>
      <c r="Q29" s="27" t="s">
        <v>198</v>
      </c>
      <c r="R29" s="25" t="n">
        <v>1</v>
      </c>
    </row>
    <row r="30" customFormat="false" ht="26.5" hidden="false" customHeight="false" outlineLevel="0" collapsed="false">
      <c r="A30" s="25" t="n">
        <v>1540</v>
      </c>
      <c r="B30" s="27" t="s">
        <v>196</v>
      </c>
      <c r="C30" s="25" t="n">
        <v>1</v>
      </c>
      <c r="D30" s="25" t="n">
        <v>1</v>
      </c>
      <c r="E30" s="25" t="n">
        <v>1</v>
      </c>
      <c r="F30" s="27"/>
      <c r="G30" s="27"/>
      <c r="H30" s="25" t="n">
        <v>1</v>
      </c>
      <c r="I30" s="25" t="n">
        <v>1</v>
      </c>
      <c r="J30" s="25" t="n">
        <v>1</v>
      </c>
      <c r="K30" s="25" t="n">
        <v>1</v>
      </c>
      <c r="L30" s="27"/>
      <c r="M30" s="25" t="n">
        <v>1</v>
      </c>
      <c r="N30" s="25" t="n">
        <v>1</v>
      </c>
      <c r="O30" s="25" t="n">
        <v>1</v>
      </c>
      <c r="P30" s="25" t="n">
        <v>1</v>
      </c>
      <c r="Q30" s="27" t="s">
        <v>197</v>
      </c>
      <c r="R30" s="25" t="n">
        <v>1</v>
      </c>
    </row>
    <row r="31" customFormat="false" ht="26.5" hidden="false" customHeight="false" outlineLevel="0" collapsed="false">
      <c r="A31" s="25" t="n">
        <v>997</v>
      </c>
      <c r="B31" s="27" t="s">
        <v>184</v>
      </c>
      <c r="C31" s="25" t="n">
        <v>1</v>
      </c>
      <c r="D31" s="25" t="n">
        <v>1</v>
      </c>
      <c r="E31" s="25" t="n">
        <v>1</v>
      </c>
      <c r="F31" s="27"/>
      <c r="G31" s="27"/>
      <c r="H31" s="25" t="n">
        <v>1</v>
      </c>
      <c r="I31" s="25" t="n">
        <v>1</v>
      </c>
      <c r="J31" s="25" t="n">
        <v>1</v>
      </c>
      <c r="K31" s="25" t="n">
        <v>1</v>
      </c>
      <c r="L31" s="27"/>
      <c r="M31" s="25" t="n">
        <v>1</v>
      </c>
      <c r="N31" s="25" t="n">
        <v>1</v>
      </c>
      <c r="O31" s="25" t="n">
        <v>1</v>
      </c>
      <c r="P31" s="25" t="n">
        <v>1</v>
      </c>
      <c r="Q31" s="27" t="s">
        <v>190</v>
      </c>
      <c r="R31" s="25" t="n">
        <v>1</v>
      </c>
    </row>
    <row r="32" customFormat="false" ht="15" hidden="false" customHeight="false" outlineLevel="0" collapsed="false">
      <c r="A32" s="25" t="n">
        <v>957</v>
      </c>
      <c r="B32" s="27" t="s">
        <v>184</v>
      </c>
      <c r="C32" s="27"/>
      <c r="D32" s="25" t="n">
        <v>1</v>
      </c>
      <c r="E32" s="25" t="n">
        <v>1</v>
      </c>
      <c r="F32" s="27"/>
      <c r="G32" s="27"/>
      <c r="H32" s="25" t="n">
        <v>1</v>
      </c>
      <c r="I32" s="25" t="n">
        <v>1</v>
      </c>
      <c r="J32" s="25" t="n">
        <v>1</v>
      </c>
      <c r="K32" s="25" t="n">
        <v>1</v>
      </c>
      <c r="L32" s="25" t="n">
        <v>1</v>
      </c>
      <c r="M32" s="27"/>
      <c r="N32" s="25" t="n">
        <v>1</v>
      </c>
      <c r="O32" s="25" t="n">
        <v>1</v>
      </c>
      <c r="P32" s="27"/>
      <c r="Q32" s="27" t="s">
        <v>191</v>
      </c>
      <c r="R32" s="25" t="n">
        <v>1</v>
      </c>
    </row>
    <row r="33" customFormat="false" ht="26.5" hidden="false" customHeight="false" outlineLevel="0" collapsed="false">
      <c r="A33" s="25" t="n">
        <v>753</v>
      </c>
      <c r="B33" s="27" t="s">
        <v>184</v>
      </c>
      <c r="C33" s="25" t="n">
        <v>1</v>
      </c>
      <c r="D33" s="25" t="n">
        <v>1</v>
      </c>
      <c r="E33" s="25" t="n">
        <v>1</v>
      </c>
      <c r="F33" s="25" t="n">
        <v>1</v>
      </c>
      <c r="G33" s="25" t="n">
        <v>1</v>
      </c>
      <c r="H33" s="25" t="n">
        <v>1</v>
      </c>
      <c r="I33" s="25" t="n">
        <v>1</v>
      </c>
      <c r="J33" s="25" t="n">
        <v>1</v>
      </c>
      <c r="K33" s="25" t="n">
        <v>1</v>
      </c>
      <c r="L33" s="27"/>
      <c r="M33" s="25" t="n">
        <v>1</v>
      </c>
      <c r="N33" s="27"/>
      <c r="O33" s="25" t="n">
        <v>1</v>
      </c>
      <c r="P33" s="27"/>
      <c r="Q33" s="27" t="s">
        <v>185</v>
      </c>
      <c r="R33" s="25" t="n">
        <v>1</v>
      </c>
    </row>
    <row r="34" customFormat="false" ht="15" hidden="false" customHeight="false" outlineLevel="0" collapsed="false">
      <c r="A34" s="25" t="n">
        <v>847</v>
      </c>
      <c r="B34" s="27" t="s">
        <v>186</v>
      </c>
      <c r="C34" s="27"/>
      <c r="D34" s="25" t="n">
        <v>1</v>
      </c>
      <c r="E34" s="25" t="n">
        <v>1</v>
      </c>
      <c r="F34" s="25" t="n">
        <v>1</v>
      </c>
      <c r="G34" s="25" t="n">
        <v>1</v>
      </c>
      <c r="H34" s="25" t="n">
        <v>1</v>
      </c>
      <c r="I34" s="25" t="n">
        <v>1</v>
      </c>
      <c r="J34" s="25" t="n">
        <v>1</v>
      </c>
      <c r="K34" s="27"/>
      <c r="L34" s="27"/>
      <c r="M34" s="25" t="n">
        <v>1</v>
      </c>
      <c r="N34" s="25" t="n">
        <v>1</v>
      </c>
      <c r="O34" s="25" t="n">
        <v>1</v>
      </c>
      <c r="P34" s="27"/>
      <c r="Q34" s="27" t="s">
        <v>187</v>
      </c>
      <c r="R34" s="27"/>
    </row>
    <row r="35" customFormat="false" ht="26.5" hidden="false" customHeight="false" outlineLevel="0" collapsed="false">
      <c r="A35" s="25" t="n">
        <v>3674</v>
      </c>
      <c r="B35" s="27" t="s">
        <v>207</v>
      </c>
      <c r="C35" s="27" t="n">
        <v>1</v>
      </c>
      <c r="D35" s="27" t="n">
        <v>1</v>
      </c>
      <c r="E35" s="27" t="n">
        <v>1</v>
      </c>
      <c r="F35" s="27" t="n">
        <v>1</v>
      </c>
      <c r="G35" s="27" t="n">
        <v>1</v>
      </c>
      <c r="H35" s="27" t="n">
        <v>1</v>
      </c>
      <c r="I35" s="27" t="n">
        <v>1</v>
      </c>
      <c r="J35" s="27" t="n">
        <v>1</v>
      </c>
      <c r="K35" s="27" t="n">
        <v>1</v>
      </c>
      <c r="L35" s="27" t="n">
        <v>1</v>
      </c>
      <c r="M35" s="27"/>
      <c r="N35" s="27" t="s">
        <v>236</v>
      </c>
      <c r="O35" s="27" t="n">
        <v>1</v>
      </c>
      <c r="P35" s="27"/>
      <c r="Q35" s="27" t="s">
        <v>208</v>
      </c>
      <c r="R35" s="27" t="n">
        <v>1</v>
      </c>
    </row>
    <row r="36" customFormat="false" ht="26.5" hidden="false" customHeight="false" outlineLevel="0" collapsed="false">
      <c r="A36" s="25" t="n">
        <v>3711</v>
      </c>
      <c r="B36" s="27" t="s">
        <v>210</v>
      </c>
      <c r="C36" s="27" t="n">
        <v>1</v>
      </c>
      <c r="D36" s="27" t="n">
        <v>1</v>
      </c>
      <c r="E36" s="27" t="n">
        <v>1</v>
      </c>
      <c r="F36" s="27"/>
      <c r="G36" s="27"/>
      <c r="H36" s="27" t="n">
        <v>1</v>
      </c>
      <c r="I36" s="27" t="n">
        <v>1</v>
      </c>
      <c r="J36" s="27" t="n">
        <v>1</v>
      </c>
      <c r="K36" s="27" t="n">
        <v>1</v>
      </c>
      <c r="L36" s="27" t="n">
        <v>0</v>
      </c>
      <c r="M36" s="27"/>
      <c r="N36" s="27" t="s">
        <v>234</v>
      </c>
      <c r="O36" s="27" t="n">
        <v>1</v>
      </c>
      <c r="P36" s="27" t="n">
        <v>1</v>
      </c>
      <c r="Q36" s="27" t="s">
        <v>211</v>
      </c>
      <c r="R36" s="27"/>
    </row>
    <row r="37" customFormat="false" ht="76.5" hidden="false" customHeight="false" outlineLevel="0" collapsed="false">
      <c r="A37" s="25" t="n">
        <v>4127</v>
      </c>
      <c r="B37" s="27" t="s">
        <v>217</v>
      </c>
      <c r="C37" s="27"/>
      <c r="D37" s="27" t="n">
        <v>1</v>
      </c>
      <c r="E37" s="27" t="n">
        <v>1</v>
      </c>
      <c r="F37" s="27"/>
      <c r="G37" s="27"/>
      <c r="H37" s="27" t="n">
        <v>1</v>
      </c>
      <c r="I37" s="27" t="n">
        <v>1</v>
      </c>
      <c r="J37" s="27" t="n">
        <v>1</v>
      </c>
      <c r="K37" s="27"/>
      <c r="L37" s="27"/>
      <c r="M37" s="27" t="n">
        <v>1</v>
      </c>
      <c r="N37" s="27" t="s">
        <v>234</v>
      </c>
      <c r="O37" s="27" t="n">
        <v>1</v>
      </c>
      <c r="P37" s="27" t="n">
        <v>1</v>
      </c>
      <c r="Q37" s="27" t="s">
        <v>218</v>
      </c>
      <c r="R37" s="27"/>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true"/>
  </sheetPr>
  <dimension ref="A1:K22"/>
  <sheetViews>
    <sheetView windowProtection="false"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C1" activeCellId="0" sqref="C1"/>
    </sheetView>
  </sheetViews>
  <sheetFormatPr defaultRowHeight="18.5"/>
  <cols>
    <col collapsed="false" hidden="false" max="1" min="1" style="38" width="19"/>
    <col collapsed="false" hidden="false" max="2" min="2" style="38" width="30.7244897959184"/>
    <col collapsed="false" hidden="false" max="3" min="3" style="38" width="9.62755102040816"/>
    <col collapsed="false" hidden="false" max="4" min="4" style="38" width="5.54591836734694"/>
    <col collapsed="false" hidden="false" max="5" min="5" style="38" width="6.09183673469388"/>
    <col collapsed="false" hidden="false" max="6" min="6" style="38" width="10.0867346938776"/>
    <col collapsed="false" hidden="false" max="7" min="7" style="38" width="6.36224489795918"/>
    <col collapsed="false" hidden="false" max="8" min="8" style="38" width="5.54591836734694"/>
    <col collapsed="false" hidden="false" max="9" min="9" style="38" width="6.09183673469388"/>
    <col collapsed="false" hidden="false" max="10" min="10" style="38" width="9.54081632653061"/>
    <col collapsed="false" hidden="false" max="11" min="11" style="38" width="10.6275510204082"/>
    <col collapsed="false" hidden="false" max="15" min="12" style="38" width="4.9030612244898"/>
    <col collapsed="false" hidden="false" max="16" min="16" style="38" width="9.09183673469388"/>
    <col collapsed="false" hidden="false" max="17" min="17" style="38" width="5.91326530612245"/>
    <col collapsed="false" hidden="false" max="29" min="18" style="38" width="4.9030612244898"/>
    <col collapsed="false" hidden="false" max="30" min="30" style="38" width="8.63265306122449"/>
    <col collapsed="false" hidden="false" max="31" min="31" style="38" width="10.6275510204082"/>
    <col collapsed="false" hidden="false" max="157" min="32" style="38" width="34"/>
    <col collapsed="false" hidden="false" max="158" min="158" style="38" width="31.5408163265306"/>
    <col collapsed="false" hidden="false" max="159" min="159" style="38" width="31.9132653061224"/>
    <col collapsed="false" hidden="false" max="160" min="160" style="38" width="24.4489795918367"/>
    <col collapsed="false" hidden="false" max="161" min="161" style="38" width="26.4591836734694"/>
    <col collapsed="false" hidden="false" max="162" min="162" style="38" width="24.0918367346939"/>
    <col collapsed="false" hidden="false" max="163" min="163" style="38" width="23.0918367346939"/>
    <col collapsed="false" hidden="false" max="164" min="164" style="38" width="26.9081632653061"/>
    <col collapsed="false" hidden="false" max="165" min="165" style="38" width="28.4540816326531"/>
    <col collapsed="false" hidden="false" max="166" min="166" style="38" width="26.5408163265306"/>
    <col collapsed="false" hidden="false" max="167" min="167" style="38" width="26.9081632653061"/>
    <col collapsed="false" hidden="false" max="168" min="168" style="38" width="38.0969387755102"/>
    <col collapsed="false" hidden="false" max="169" min="169" style="38" width="25.4489795918367"/>
    <col collapsed="false" hidden="false" max="325" min="170" style="38" width="34"/>
    <col collapsed="false" hidden="false" max="326" min="326" style="38" width="31.0918367346939"/>
    <col collapsed="false" hidden="false" max="327" min="327" style="38" width="31.4540816326531"/>
    <col collapsed="false" hidden="false" max="328" min="328" style="38" width="23.9132653061224"/>
    <col collapsed="false" hidden="false" max="329" min="329" style="38" width="26"/>
    <col collapsed="false" hidden="false" max="330" min="330" style="38" width="23.6326530612245"/>
    <col collapsed="false" hidden="false" max="331" min="331" style="38" width="22.6326530612245"/>
    <col collapsed="false" hidden="false" max="332" min="332" style="38" width="26.4591836734694"/>
    <col collapsed="false" hidden="false" max="333" min="333" style="38" width="27.9948979591837"/>
    <col collapsed="false" hidden="false" max="334" min="334" style="38" width="26.0918367346939"/>
    <col collapsed="false" hidden="false" max="335" min="335" style="38" width="26.4591836734694"/>
    <col collapsed="false" hidden="false" max="336" min="336" style="38" width="37.6377551020408"/>
    <col collapsed="false" hidden="false" max="337" min="337" style="38" width="24.9081632653061"/>
    <col collapsed="false" hidden="false" max="338" min="338" style="38" width="32.0918367346939"/>
    <col collapsed="false" hidden="false" max="339" min="339" style="38" width="32.5408163265306"/>
    <col collapsed="false" hidden="false" max="340" min="340" style="38" width="25"/>
    <col collapsed="false" hidden="false" max="341" min="341" style="38" width="27.0867346938776"/>
    <col collapsed="false" hidden="false" max="342" min="342" style="38" width="24.9081632653061"/>
    <col collapsed="false" hidden="false" max="343" min="343" style="38" width="23.9132653061224"/>
    <col collapsed="false" hidden="false" max="344" min="344" style="38" width="27.4591836734694"/>
    <col collapsed="false" hidden="false" max="345" min="345" style="38" width="29.0969387755102"/>
    <col collapsed="false" hidden="false" max="346" min="346" style="38" width="27.0867346938776"/>
    <col collapsed="false" hidden="false" max="347" min="347" style="38" width="27.5408163265306"/>
    <col collapsed="false" hidden="false" max="348" min="348" style="38" width="38.9030612244898"/>
    <col collapsed="false" hidden="false" max="349" min="349" style="38" width="26"/>
    <col collapsed="false" hidden="false" max="1025" min="350" style="38" width="8.63265306122449"/>
  </cols>
  <sheetData>
    <row r="1" customFormat="false" ht="28.5" hidden="false" customHeight="true" outlineLevel="0" collapsed="false">
      <c r="A1" s="39"/>
      <c r="B1" s="40"/>
      <c r="C1" s="0"/>
      <c r="D1" s="40"/>
      <c r="E1" s="41" t="s">
        <v>237</v>
      </c>
      <c r="F1" s="40"/>
      <c r="G1" s="40"/>
      <c r="H1" s="40"/>
      <c r="I1" s="40"/>
      <c r="J1" s="40"/>
      <c r="K1" s="0"/>
    </row>
    <row r="2" customFormat="false" ht="18.5" hidden="false" customHeight="false" outlineLevel="0" collapsed="false">
      <c r="A2" s="39"/>
      <c r="B2" s="42" t="s">
        <v>1</v>
      </c>
      <c r="C2" s="43" t="s">
        <v>238</v>
      </c>
      <c r="D2" s="0"/>
      <c r="E2" s="0"/>
      <c r="F2" s="0"/>
      <c r="G2" s="0"/>
      <c r="H2" s="0"/>
      <c r="I2" s="0"/>
      <c r="J2" s="0"/>
      <c r="K2" s="44"/>
    </row>
    <row r="3" customFormat="false" ht="18.5" hidden="false" customHeight="false" outlineLevel="0" collapsed="false">
      <c r="A3" s="39"/>
      <c r="B3" s="0"/>
      <c r="C3" s="0"/>
      <c r="D3" s="0"/>
      <c r="E3" s="0"/>
      <c r="F3" s="0"/>
      <c r="G3" s="0"/>
      <c r="H3" s="0"/>
      <c r="I3" s="0"/>
      <c r="J3" s="0"/>
    </row>
    <row r="4" customFormat="false" ht="17.35" hidden="false" customHeight="false" outlineLevel="0" collapsed="false">
      <c r="A4" s="39"/>
      <c r="B4" s="45"/>
      <c r="C4" s="46" t="s">
        <v>3</v>
      </c>
      <c r="D4" s="46" t="s">
        <v>2</v>
      </c>
      <c r="E4" s="47"/>
      <c r="F4" s="47"/>
      <c r="G4" s="47"/>
      <c r="H4" s="47"/>
      <c r="I4" s="47"/>
      <c r="J4" s="48"/>
    </row>
    <row r="5" customFormat="false" ht="17.35" hidden="false" customHeight="false" outlineLevel="0" collapsed="false">
      <c r="A5" s="39"/>
      <c r="B5" s="49"/>
      <c r="C5" s="50" t="s">
        <v>109</v>
      </c>
      <c r="D5" s="51"/>
      <c r="E5" s="51"/>
      <c r="F5" s="52" t="s">
        <v>239</v>
      </c>
      <c r="G5" s="51" t="s">
        <v>113</v>
      </c>
      <c r="H5" s="51"/>
      <c r="I5" s="51"/>
      <c r="J5" s="53" t="s">
        <v>240</v>
      </c>
    </row>
    <row r="6" customFormat="false" ht="17.35" hidden="false" customHeight="false" outlineLevel="0" collapsed="false">
      <c r="A6" s="0"/>
      <c r="B6" s="54" t="s">
        <v>241</v>
      </c>
      <c r="C6" s="55" t="n">
        <v>2635</v>
      </c>
      <c r="D6" s="56" t="n">
        <v>1510</v>
      </c>
      <c r="E6" s="56" t="n">
        <v>5970</v>
      </c>
      <c r="F6" s="57"/>
      <c r="G6" s="56" t="n">
        <v>3711</v>
      </c>
      <c r="H6" s="56" t="n">
        <v>4051</v>
      </c>
      <c r="I6" s="56" t="n">
        <v>4662</v>
      </c>
      <c r="J6" s="58"/>
    </row>
    <row r="7" customFormat="false" ht="17.35" hidden="false" customHeight="false" outlineLevel="0" collapsed="false">
      <c r="A7" s="0"/>
      <c r="B7" s="59" t="s">
        <v>242</v>
      </c>
      <c r="C7" s="60" t="e">
        <f aca="false"/>
        <v>#VALUE!</v>
      </c>
      <c r="D7" s="61" t="e">
        <f aca="false"/>
        <v>#VALUE!</v>
      </c>
      <c r="E7" s="62" t="e">
        <f aca="false"/>
        <v>#VALUE!</v>
      </c>
      <c r="F7" s="63" t="e">
        <f aca="false"/>
        <v>#VALUE!</v>
      </c>
      <c r="G7" s="60" t="e">
        <f aca="false"/>
        <v>#VALUE!</v>
      </c>
      <c r="H7" s="61" t="e">
        <f aca="false"/>
        <v>#VALUE!</v>
      </c>
      <c r="I7" s="62" t="e">
        <f aca="false"/>
        <v>#VALUE!</v>
      </c>
      <c r="J7" s="64" t="e">
        <f aca="false"/>
        <v>#VALUE!</v>
      </c>
    </row>
    <row r="8" customFormat="false" ht="17.35" hidden="false" customHeight="false" outlineLevel="0" collapsed="false">
      <c r="A8" s="0"/>
      <c r="B8" s="65" t="s">
        <v>243</v>
      </c>
      <c r="C8" s="66" t="e">
        <f aca="false"/>
        <v>#VALUE!</v>
      </c>
      <c r="D8" s="67" t="e">
        <f aca="false"/>
        <v>#VALUE!</v>
      </c>
      <c r="E8" s="68" t="e">
        <f aca="false"/>
        <v>#VALUE!</v>
      </c>
      <c r="F8" s="69" t="e">
        <f aca="false"/>
        <v>#VALUE!</v>
      </c>
      <c r="G8" s="66" t="e">
        <f aca="false"/>
        <v>#VALUE!</v>
      </c>
      <c r="H8" s="67" t="e">
        <f aca="false"/>
        <v>#VALUE!</v>
      </c>
      <c r="I8" s="68" t="e">
        <f aca="false"/>
        <v>#VALUE!</v>
      </c>
      <c r="J8" s="70" t="e">
        <f aca="false"/>
        <v>#VALUE!</v>
      </c>
    </row>
    <row r="9" customFormat="false" ht="17.35" hidden="false" customHeight="false" outlineLevel="0" collapsed="false">
      <c r="A9" s="0"/>
      <c r="B9" s="65" t="s">
        <v>244</v>
      </c>
      <c r="C9" s="66" t="e">
        <f aca="false"/>
        <v>#VALUE!</v>
      </c>
      <c r="D9" s="67" t="e">
        <f aca="false"/>
        <v>#VALUE!</v>
      </c>
      <c r="E9" s="68" t="e">
        <f aca="false"/>
        <v>#VALUE!</v>
      </c>
      <c r="F9" s="69" t="e">
        <f aca="false"/>
        <v>#VALUE!</v>
      </c>
      <c r="G9" s="66" t="e">
        <f aca="false"/>
        <v>#VALUE!</v>
      </c>
      <c r="H9" s="67" t="e">
        <f aca="false"/>
        <v>#VALUE!</v>
      </c>
      <c r="I9" s="68" t="e">
        <f aca="false"/>
        <v>#VALUE!</v>
      </c>
      <c r="J9" s="70" t="e">
        <f aca="false"/>
        <v>#VALUE!</v>
      </c>
    </row>
    <row r="10" customFormat="false" ht="17.35" hidden="false" customHeight="false" outlineLevel="0" collapsed="false">
      <c r="A10" s="0"/>
      <c r="B10" s="65" t="s">
        <v>245</v>
      </c>
      <c r="C10" s="66" t="e">
        <f aca="false"/>
        <v>#VALUE!</v>
      </c>
      <c r="D10" s="67" t="e">
        <f aca="false"/>
        <v>#VALUE!</v>
      </c>
      <c r="E10" s="68" t="e">
        <f aca="false"/>
        <v>#VALUE!</v>
      </c>
      <c r="F10" s="69" t="e">
        <f aca="false"/>
        <v>#VALUE!</v>
      </c>
      <c r="G10" s="66" t="e">
        <f aca="false"/>
        <v>#VALUE!</v>
      </c>
      <c r="H10" s="67" t="e">
        <f aca="false"/>
        <v>#VALUE!</v>
      </c>
      <c r="I10" s="68" t="e">
        <f aca="false"/>
        <v>#VALUE!</v>
      </c>
      <c r="J10" s="70" t="e">
        <f aca="false"/>
        <v>#VALUE!</v>
      </c>
    </row>
    <row r="11" customFormat="false" ht="17.35" hidden="false" customHeight="false" outlineLevel="0" collapsed="false">
      <c r="A11" s="0"/>
      <c r="B11" s="65" t="s">
        <v>246</v>
      </c>
      <c r="C11" s="71" t="n">
        <v>-1.79769313486232E+308</v>
      </c>
      <c r="D11" s="72" t="n">
        <v>-1.79769313486232E+308</v>
      </c>
      <c r="E11" s="73" t="n">
        <v>-1.79769313486232E+308</v>
      </c>
      <c r="F11" s="69" t="e">
        <f aca="false"/>
        <v>#VALUE!</v>
      </c>
      <c r="G11" s="71" t="n">
        <v>-1.79769313486232E+308</v>
      </c>
      <c r="H11" s="72" t="n">
        <v>-1.79769313486232E+308</v>
      </c>
      <c r="I11" s="73" t="n">
        <v>-1.79769313486232E+308</v>
      </c>
      <c r="J11" s="70" t="e">
        <f aca="false"/>
        <v>#VALUE!</v>
      </c>
    </row>
    <row r="12" customFormat="false" ht="17.35" hidden="false" customHeight="false" outlineLevel="0" collapsed="false">
      <c r="A12" s="0"/>
      <c r="B12" s="65" t="s">
        <v>247</v>
      </c>
      <c r="C12" s="66" t="e">
        <f aca="false"/>
        <v>#VALUE!</v>
      </c>
      <c r="D12" s="67" t="e">
        <f aca="false"/>
        <v>#VALUE!</v>
      </c>
      <c r="E12" s="68" t="e">
        <f aca="false"/>
        <v>#VALUE!</v>
      </c>
      <c r="F12" s="69" t="e">
        <f aca="false"/>
        <v>#VALUE!</v>
      </c>
      <c r="G12" s="66" t="e">
        <f aca="false"/>
        <v>#VALUE!</v>
      </c>
      <c r="H12" s="67" t="e">
        <f aca="false"/>
        <v>#VALUE!</v>
      </c>
      <c r="I12" s="68" t="e">
        <f aca="false"/>
        <v>#VALUE!</v>
      </c>
      <c r="J12" s="70" t="e">
        <f aca="false"/>
        <v>#VALUE!</v>
      </c>
    </row>
    <row r="13" customFormat="false" ht="17.35" hidden="false" customHeight="false" outlineLevel="0" collapsed="false">
      <c r="A13" s="74" t="s">
        <v>248</v>
      </c>
      <c r="B13" s="65" t="s">
        <v>249</v>
      </c>
      <c r="C13" s="66" t="e">
        <f aca="false"/>
        <v>#VALUE!</v>
      </c>
      <c r="D13" s="67" t="e">
        <f aca="false"/>
        <v>#VALUE!</v>
      </c>
      <c r="E13" s="68" t="e">
        <f aca="false"/>
        <v>#VALUE!</v>
      </c>
      <c r="F13" s="69" t="e">
        <f aca="false"/>
        <v>#VALUE!</v>
      </c>
      <c r="G13" s="66" t="e">
        <f aca="false"/>
        <v>#VALUE!</v>
      </c>
      <c r="H13" s="67" t="e">
        <f aca="false"/>
        <v>#VALUE!</v>
      </c>
      <c r="I13" s="68" t="e">
        <f aca="false"/>
        <v>#VALUE!</v>
      </c>
      <c r="J13" s="70" t="e">
        <f aca="false"/>
        <v>#VALUE!</v>
      </c>
    </row>
    <row r="14" customFormat="false" ht="17.35" hidden="false" customHeight="false" outlineLevel="0" collapsed="false">
      <c r="A14" s="74"/>
      <c r="B14" s="65" t="s">
        <v>250</v>
      </c>
      <c r="C14" s="66" t="e">
        <f aca="false"/>
        <v>#VALUE!</v>
      </c>
      <c r="D14" s="67" t="e">
        <f aca="false"/>
        <v>#VALUE!</v>
      </c>
      <c r="E14" s="68" t="e">
        <f aca="false"/>
        <v>#VALUE!</v>
      </c>
      <c r="F14" s="69" t="e">
        <f aca="false"/>
        <v>#VALUE!</v>
      </c>
      <c r="G14" s="66" t="e">
        <f aca="false"/>
        <v>#VALUE!</v>
      </c>
      <c r="H14" s="67" t="e">
        <f aca="false"/>
        <v>#VALUE!</v>
      </c>
      <c r="I14" s="68" t="e">
        <f aca="false"/>
        <v>#VALUE!</v>
      </c>
      <c r="J14" s="70" t="e">
        <f aca="false"/>
        <v>#VALUE!</v>
      </c>
    </row>
    <row r="15" customFormat="false" ht="17.35" hidden="false" customHeight="false" outlineLevel="0" collapsed="false">
      <c r="A15" s="75" t="s">
        <v>251</v>
      </c>
      <c r="B15" s="65" t="s">
        <v>252</v>
      </c>
      <c r="C15" s="66" t="e">
        <f aca="false"/>
        <v>#VALUE!</v>
      </c>
      <c r="D15" s="67" t="e">
        <f aca="false"/>
        <v>#VALUE!</v>
      </c>
      <c r="E15" s="68" t="e">
        <f aca="false"/>
        <v>#VALUE!</v>
      </c>
      <c r="F15" s="69" t="e">
        <f aca="false"/>
        <v>#VALUE!</v>
      </c>
      <c r="G15" s="66" t="e">
        <f aca="false"/>
        <v>#VALUE!</v>
      </c>
      <c r="H15" s="67" t="e">
        <f aca="false"/>
        <v>#VALUE!</v>
      </c>
      <c r="I15" s="68" t="e">
        <f aca="false"/>
        <v>#VALUE!</v>
      </c>
      <c r="J15" s="70" t="e">
        <f aca="false"/>
        <v>#VALUE!</v>
      </c>
    </row>
    <row r="16" customFormat="false" ht="17.35" hidden="false" customHeight="false" outlineLevel="0" collapsed="false">
      <c r="A16" s="75"/>
      <c r="B16" s="65" t="s">
        <v>253</v>
      </c>
      <c r="C16" s="66" t="e">
        <f aca="false"/>
        <v>#VALUE!</v>
      </c>
      <c r="D16" s="67" t="e">
        <f aca="false"/>
        <v>#VALUE!</v>
      </c>
      <c r="E16" s="68" t="e">
        <f aca="false"/>
        <v>#VALUE!</v>
      </c>
      <c r="F16" s="69" t="e">
        <f aca="false"/>
        <v>#VALUE!</v>
      </c>
      <c r="G16" s="66" t="e">
        <f aca="false"/>
        <v>#VALUE!</v>
      </c>
      <c r="H16" s="67" t="e">
        <f aca="false"/>
        <v>#VALUE!</v>
      </c>
      <c r="I16" s="68" t="e">
        <f aca="false"/>
        <v>#VALUE!</v>
      </c>
      <c r="J16" s="70" t="e">
        <f aca="false"/>
        <v>#VALUE!</v>
      </c>
    </row>
    <row r="17" customFormat="false" ht="17.35" hidden="false" customHeight="false" outlineLevel="0" collapsed="false">
      <c r="A17" s="74" t="s">
        <v>254</v>
      </c>
      <c r="B17" s="65" t="s">
        <v>255</v>
      </c>
      <c r="C17" s="66" t="e">
        <f aca="false"/>
        <v>#VALUE!</v>
      </c>
      <c r="D17" s="67" t="e">
        <f aca="false"/>
        <v>#VALUE!</v>
      </c>
      <c r="E17" s="68" t="e">
        <f aca="false"/>
        <v>#VALUE!</v>
      </c>
      <c r="F17" s="69" t="e">
        <f aca="false"/>
        <v>#VALUE!</v>
      </c>
      <c r="G17" s="66" t="e">
        <f aca="false"/>
        <v>#VALUE!</v>
      </c>
      <c r="H17" s="67" t="e">
        <f aca="false"/>
        <v>#VALUE!</v>
      </c>
      <c r="I17" s="68" t="e">
        <f aca="false"/>
        <v>#VALUE!</v>
      </c>
      <c r="J17" s="70" t="e">
        <f aca="false"/>
        <v>#VALUE!</v>
      </c>
    </row>
    <row r="18" customFormat="false" ht="17.35" hidden="false" customHeight="false" outlineLevel="0" collapsed="false">
      <c r="A18" s="74"/>
      <c r="B18" s="65" t="s">
        <v>256</v>
      </c>
      <c r="C18" s="66" t="e">
        <f aca="false"/>
        <v>#VALUE!</v>
      </c>
      <c r="D18" s="67" t="e">
        <f aca="false"/>
        <v>#VALUE!</v>
      </c>
      <c r="E18" s="68" t="e">
        <f aca="false"/>
        <v>#VALUE!</v>
      </c>
      <c r="F18" s="69" t="e">
        <f aca="false"/>
        <v>#VALUE!</v>
      </c>
      <c r="G18" s="66" t="e">
        <f aca="false"/>
        <v>#VALUE!</v>
      </c>
      <c r="H18" s="67" t="e">
        <f aca="false"/>
        <v>#VALUE!</v>
      </c>
      <c r="I18" s="68" t="e">
        <f aca="false"/>
        <v>#VALUE!</v>
      </c>
      <c r="J18" s="70" t="e">
        <f aca="false"/>
        <v>#VALUE!</v>
      </c>
    </row>
    <row r="19" customFormat="false" ht="17.35" hidden="false" customHeight="false" outlineLevel="0" collapsed="false">
      <c r="A19" s="75" t="s">
        <v>257</v>
      </c>
      <c r="B19" s="65" t="s">
        <v>258</v>
      </c>
      <c r="C19" s="66" t="e">
        <f aca="false"/>
        <v>#VALUE!</v>
      </c>
      <c r="D19" s="67" t="e">
        <f aca="false"/>
        <v>#VALUE!</v>
      </c>
      <c r="E19" s="68" t="e">
        <f aca="false"/>
        <v>#VALUE!</v>
      </c>
      <c r="F19" s="69" t="e">
        <f aca="false"/>
        <v>#VALUE!</v>
      </c>
      <c r="G19" s="66" t="e">
        <f aca="false"/>
        <v>#VALUE!</v>
      </c>
      <c r="H19" s="67" t="e">
        <f aca="false"/>
        <v>#VALUE!</v>
      </c>
      <c r="I19" s="68" t="e">
        <f aca="false"/>
        <v>#VALUE!</v>
      </c>
      <c r="J19" s="70" t="e">
        <f aca="false"/>
        <v>#VALUE!</v>
      </c>
    </row>
    <row r="20" customFormat="false" ht="17.35" hidden="false" customHeight="false" outlineLevel="0" collapsed="false">
      <c r="A20" s="76"/>
      <c r="B20" s="65" t="s">
        <v>259</v>
      </c>
      <c r="C20" s="66" t="e">
        <f aca="false"/>
        <v>#VALUE!</v>
      </c>
      <c r="D20" s="67" t="e">
        <f aca="false"/>
        <v>#VALUE!</v>
      </c>
      <c r="E20" s="68" t="e">
        <f aca="false"/>
        <v>#VALUE!</v>
      </c>
      <c r="F20" s="69" t="e">
        <f aca="false"/>
        <v>#VALUE!</v>
      </c>
      <c r="G20" s="66" t="e">
        <f aca="false"/>
        <v>#VALUE!</v>
      </c>
      <c r="H20" s="67" t="e">
        <f aca="false"/>
        <v>#VALUE!</v>
      </c>
      <c r="I20" s="68" t="e">
        <f aca="false"/>
        <v>#VALUE!</v>
      </c>
      <c r="J20" s="70" t="e">
        <f aca="false"/>
        <v>#VALUE!</v>
      </c>
    </row>
    <row r="21" customFormat="false" ht="17.35" hidden="false" customHeight="false" outlineLevel="0" collapsed="false">
      <c r="B21" s="65" t="s">
        <v>260</v>
      </c>
      <c r="C21" s="66" t="e">
        <f aca="false"/>
        <v>#VALUE!</v>
      </c>
      <c r="D21" s="67" t="e">
        <f aca="false"/>
        <v>#VALUE!</v>
      </c>
      <c r="E21" s="68" t="e">
        <f aca="false"/>
        <v>#VALUE!</v>
      </c>
      <c r="F21" s="69" t="e">
        <f aca="false"/>
        <v>#VALUE!</v>
      </c>
      <c r="G21" s="66" t="e">
        <f aca="false"/>
        <v>#VALUE!</v>
      </c>
      <c r="H21" s="67" t="e">
        <f aca="false"/>
        <v>#VALUE!</v>
      </c>
      <c r="I21" s="68" t="e">
        <f aca="false"/>
        <v>#VALUE!</v>
      </c>
      <c r="J21" s="70" t="e">
        <f aca="false"/>
        <v>#VALUE!</v>
      </c>
    </row>
    <row r="22" customFormat="false" ht="18.5" hidden="false" customHeight="false" outlineLevel="0" collapsed="false">
      <c r="B22" s="77" t="s">
        <v>261</v>
      </c>
      <c r="C22" s="78" t="e">
        <f aca="false"/>
        <v>#VALUE!</v>
      </c>
      <c r="D22" s="79" t="e">
        <f aca="false"/>
        <v>#VALUE!</v>
      </c>
      <c r="E22" s="80" t="e">
        <f aca="false"/>
        <v>#VALUE!</v>
      </c>
      <c r="F22" s="81" t="e">
        <f aca="false"/>
        <v>#VALUE!</v>
      </c>
      <c r="G22" s="78" t="e">
        <f aca="false"/>
        <v>#VALUE!</v>
      </c>
      <c r="H22" s="79" t="e">
        <f aca="false"/>
        <v>#VALUE!</v>
      </c>
      <c r="I22" s="80" t="e">
        <f aca="false"/>
        <v>#VALUE!</v>
      </c>
      <c r="J22" s="82" t="e">
        <f aca="false"/>
        <v>#VALUE!</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drawing r:id="rId2"/>
</worksheet>
</file>

<file path=xl/worksheets/sheet5.xml><?xml version="1.0" encoding="utf-8"?>
<worksheet xmlns="http://schemas.openxmlformats.org/spreadsheetml/2006/main" xmlns:r="http://schemas.openxmlformats.org/officeDocument/2006/relationships">
  <sheetPr filterMode="false">
    <pageSetUpPr fitToPage="true"/>
  </sheetPr>
  <dimension ref="1:38"/>
  <sheetViews>
    <sheetView windowProtection="true" showFormulas="false" showGridLines="false" showRowColHeaders="true" showZeros="true" rightToLeft="false" tabSelected="false" showOutlineSymbols="true" defaultGridColor="true" view="normal" topLeftCell="A1" colorId="64" zoomScale="80" zoomScaleNormal="80" zoomScalePageLayoutView="100" workbookViewId="0">
      <pane xSplit="2" ySplit="2" topLeftCell="C3" activePane="bottomRight" state="frozen"/>
      <selection pane="topLeft" activeCell="A1" activeCellId="0" sqref="A1"/>
      <selection pane="topRight" activeCell="C1" activeCellId="0" sqref="C1"/>
      <selection pane="bottomLeft" activeCell="A3" activeCellId="0" sqref="A3"/>
      <selection pane="bottomRight" activeCell="V5" activeCellId="0" sqref="V5"/>
    </sheetView>
  </sheetViews>
  <sheetFormatPr defaultRowHeight="14.5"/>
  <cols>
    <col collapsed="false" hidden="false" max="1" min="1" style="83" width="16.4489795918367"/>
    <col collapsed="false" hidden="false" max="2" min="2" style="84" width="13.3622448979592"/>
    <col collapsed="false" hidden="false" max="3" min="3" style="85" width="5.63265306122449"/>
    <col collapsed="false" hidden="false" max="4" min="4" style="85" width="4.63265306122449"/>
    <col collapsed="false" hidden="false" max="7" min="5" style="85" width="5.63265306122449"/>
    <col collapsed="false" hidden="false" max="10" min="8" style="85" width="4.63265306122449"/>
    <col collapsed="false" hidden="false" max="11" min="11" style="85" width="3.99489795918367"/>
    <col collapsed="false" hidden="false" max="20" min="12" style="85" width="5.09183673469388"/>
    <col collapsed="false" hidden="false" max="21" min="21" style="85" width="4.81632653061225"/>
    <col collapsed="false" hidden="false" max="22" min="22" style="86" width="4.81632653061225"/>
    <col collapsed="false" hidden="false" max="24" min="23" style="85" width="4.81632653061225"/>
    <col collapsed="false" hidden="false" max="25" min="25" style="85" width="28.0969387755102"/>
    <col collapsed="false" hidden="false" max="26" min="26" style="85" width="35.6275510204082"/>
    <col collapsed="false" hidden="false" max="1025" min="27" style="85" width="8.63265306122449"/>
  </cols>
  <sheetData>
    <row r="1" customFormat="false" ht="29" hidden="false" customHeight="true" outlineLevel="0" collapsed="false">
      <c r="A1" s="0"/>
      <c r="B1" s="87"/>
      <c r="C1" s="88"/>
      <c r="D1" s="88"/>
      <c r="E1" s="88"/>
      <c r="F1" s="88"/>
      <c r="G1" s="88"/>
      <c r="H1" s="89" t="s">
        <v>262</v>
      </c>
      <c r="I1" s="88"/>
      <c r="J1" s="88"/>
      <c r="K1" s="88"/>
      <c r="L1" s="88"/>
      <c r="M1" s="88"/>
      <c r="N1" s="88"/>
      <c r="O1" s="88"/>
      <c r="P1" s="88"/>
      <c r="Q1" s="88"/>
      <c r="R1" s="88"/>
      <c r="S1" s="88"/>
      <c r="T1" s="88"/>
      <c r="U1" s="90"/>
      <c r="V1" s="0"/>
      <c r="W1" s="0"/>
      <c r="X1" s="0"/>
      <c r="Y1" s="91" t="s">
        <v>263</v>
      </c>
      <c r="Z1" s="91"/>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03" hidden="false" customHeight="false" outlineLevel="0" collapsed="false">
      <c r="A2" s="92"/>
      <c r="B2" s="93" t="s">
        <v>264</v>
      </c>
      <c r="C2" s="94" t="s">
        <v>265</v>
      </c>
      <c r="D2" s="95" t="s">
        <v>266</v>
      </c>
      <c r="E2" s="94" t="s">
        <v>267</v>
      </c>
      <c r="F2" s="94" t="s">
        <v>268</v>
      </c>
      <c r="G2" s="94" t="s">
        <v>269</v>
      </c>
      <c r="H2" s="94" t="s">
        <v>270</v>
      </c>
      <c r="I2" s="96" t="s">
        <v>271</v>
      </c>
      <c r="J2" s="96" t="s">
        <v>272</v>
      </c>
      <c r="K2" s="96" t="s">
        <v>273</v>
      </c>
      <c r="L2" s="96" t="s">
        <v>274</v>
      </c>
      <c r="M2" s="96" t="s">
        <v>275</v>
      </c>
      <c r="N2" s="96" t="s">
        <v>276</v>
      </c>
      <c r="O2" s="96" t="s">
        <v>277</v>
      </c>
      <c r="P2" s="96" t="s">
        <v>278</v>
      </c>
      <c r="Q2" s="96" t="s">
        <v>279</v>
      </c>
      <c r="R2" s="96" t="s">
        <v>280</v>
      </c>
      <c r="S2" s="96" t="s">
        <v>281</v>
      </c>
      <c r="T2" s="97" t="s">
        <v>282</v>
      </c>
      <c r="U2" s="0"/>
      <c r="V2" s="0"/>
      <c r="W2" s="0"/>
      <c r="X2" s="0"/>
      <c r="Y2" s="98" t="s">
        <v>167</v>
      </c>
      <c r="Z2" s="98" t="s">
        <v>283</v>
      </c>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s="84" customFormat="true" ht="17.15" hidden="false" customHeight="true" outlineLevel="0" collapsed="false">
      <c r="A3" s="99" t="n">
        <v>1</v>
      </c>
      <c r="B3" s="100" t="n">
        <v>4488</v>
      </c>
      <c r="C3" s="101" t="n">
        <v>51.7777777777778</v>
      </c>
      <c r="D3" s="101" t="n">
        <v>9.55555555555556</v>
      </c>
      <c r="E3" s="101" t="n">
        <v>85</v>
      </c>
      <c r="F3" s="101" t="n">
        <v>21.1111111111111</v>
      </c>
      <c r="G3" s="101" t="n">
        <v>16.6666666666667</v>
      </c>
      <c r="H3" s="101" t="n">
        <v>4.44444444444444</v>
      </c>
      <c r="I3" s="101" t="n">
        <v>4.88888888888889</v>
      </c>
      <c r="J3" s="101" t="n">
        <v>2.88888888888889</v>
      </c>
      <c r="K3" s="102"/>
      <c r="L3" s="102" t="n">
        <v>0</v>
      </c>
      <c r="M3" s="102" t="n">
        <v>1.29</v>
      </c>
      <c r="N3" s="102" t="n">
        <v>0.5</v>
      </c>
      <c r="O3" s="102" t="n">
        <v>0.8</v>
      </c>
      <c r="P3" s="102" t="n">
        <v>0</v>
      </c>
      <c r="Q3" s="102" t="n">
        <v>0.17</v>
      </c>
      <c r="R3" s="102" t="n">
        <v>1</v>
      </c>
      <c r="S3" s="102" t="n">
        <v>1</v>
      </c>
      <c r="T3" s="102" t="n">
        <v>2</v>
      </c>
      <c r="V3" s="103"/>
      <c r="Y3" s="104" t="str">
        <f aca="false">VLOOKUP($B3,PitData,2)</f>
        <v>Shockwave</v>
      </c>
      <c r="Z3" s="104" t="str">
        <f aca="false">VLOOKUP($B3,PitData,3)</f>
        <v>West Coast</v>
      </c>
    </row>
    <row r="4" customFormat="false" ht="17.15" hidden="false" customHeight="true" outlineLevel="0" collapsed="false">
      <c r="A4" s="105" t="n">
        <v>2</v>
      </c>
      <c r="B4" s="100" t="n">
        <v>2471</v>
      </c>
      <c r="C4" s="101" t="n">
        <v>35.7777777777778</v>
      </c>
      <c r="D4" s="101" t="n">
        <v>6.88888888888889</v>
      </c>
      <c r="E4" s="101" t="n">
        <v>50</v>
      </c>
      <c r="F4" s="101" t="n">
        <v>17.7777777777778</v>
      </c>
      <c r="G4" s="101" t="n">
        <v>7.22222222222222</v>
      </c>
      <c r="H4" s="101" t="n">
        <v>3.88888888888889</v>
      </c>
      <c r="I4" s="101" t="n">
        <v>4.33333333333333</v>
      </c>
      <c r="J4" s="101" t="n">
        <v>1.44444444444444</v>
      </c>
      <c r="K4" s="102"/>
      <c r="L4" s="102" t="n">
        <v>0</v>
      </c>
      <c r="M4" s="102" t="n">
        <v>0.71</v>
      </c>
      <c r="N4" s="102" t="n">
        <v>1.2</v>
      </c>
      <c r="O4" s="102" t="n">
        <v>2</v>
      </c>
      <c r="P4" s="102" t="n">
        <v>2</v>
      </c>
      <c r="Q4" s="102" t="n">
        <v>1.67</v>
      </c>
      <c r="R4" s="102" t="n">
        <v>0.8</v>
      </c>
      <c r="S4" s="102" t="n">
        <v>0.67</v>
      </c>
      <c r="T4" s="102" t="n">
        <v>0</v>
      </c>
      <c r="V4" s="103"/>
      <c r="Y4" s="104" t="n">
        <f aca="false">VLOOKUP($B4,PitData,2)</f>
        <v>0</v>
      </c>
      <c r="Z4" s="104" t="str">
        <f aca="false">VLOOKUP($B4,PitData,3)</f>
        <v>tank</v>
      </c>
    </row>
    <row r="5" customFormat="false" ht="17.15" hidden="false" customHeight="true" outlineLevel="0" collapsed="false">
      <c r="A5" s="105" t="n">
        <v>3</v>
      </c>
      <c r="B5" s="100" t="n">
        <v>1425</v>
      </c>
      <c r="C5" s="101" t="n">
        <v>42.875</v>
      </c>
      <c r="D5" s="101" t="n">
        <v>8.75</v>
      </c>
      <c r="E5" s="101" t="n">
        <v>60</v>
      </c>
      <c r="F5" s="101" t="n">
        <v>16.875</v>
      </c>
      <c r="G5" s="101" t="n">
        <v>6</v>
      </c>
      <c r="H5" s="101" t="n">
        <v>3.75</v>
      </c>
      <c r="I5" s="101" t="n">
        <v>4.375</v>
      </c>
      <c r="J5" s="101" t="n">
        <v>3</v>
      </c>
      <c r="K5" s="102"/>
      <c r="L5" s="102" t="n">
        <v>1.67</v>
      </c>
      <c r="M5" s="102" t="n">
        <v>1.4</v>
      </c>
      <c r="N5" s="102" t="n">
        <v>0.6</v>
      </c>
      <c r="O5" s="102" t="n">
        <v>0.67</v>
      </c>
      <c r="P5" s="102" t="n">
        <v>0</v>
      </c>
      <c r="Q5" s="102" t="n">
        <v>0.8</v>
      </c>
      <c r="R5" s="102" t="n">
        <v>1</v>
      </c>
      <c r="S5" s="102" t="n">
        <v>1</v>
      </c>
      <c r="T5" s="102" t="n">
        <v>0.75</v>
      </c>
      <c r="V5" s="103"/>
      <c r="Y5" s="104" t="str">
        <f aca="false">VLOOKUP($B5,PitData,2)</f>
        <v>Error Code Xero</v>
      </c>
      <c r="Z5" s="104" t="str">
        <f aca="false">VLOOKUP($B5,PitData,3)</f>
        <v>8-wheel tank</v>
      </c>
    </row>
    <row r="6" customFormat="false" ht="17.15" hidden="false" customHeight="true" outlineLevel="0" collapsed="false">
      <c r="A6" s="105" t="n">
        <v>4</v>
      </c>
      <c r="B6" s="100" t="n">
        <v>955</v>
      </c>
      <c r="C6" s="101" t="n">
        <v>30.5</v>
      </c>
      <c r="D6" s="101" t="n">
        <v>4.25</v>
      </c>
      <c r="E6" s="101" t="n">
        <v>50</v>
      </c>
      <c r="F6" s="101" t="n">
        <v>16.25</v>
      </c>
      <c r="G6" s="101" t="n">
        <v>6.25</v>
      </c>
      <c r="H6" s="101" t="n">
        <v>3.75</v>
      </c>
      <c r="I6" s="101" t="n">
        <v>4</v>
      </c>
      <c r="J6" s="101" t="n">
        <v>1.25</v>
      </c>
      <c r="K6" s="102" t="n">
        <v>1</v>
      </c>
      <c r="L6" s="102" t="n">
        <v>0</v>
      </c>
      <c r="M6" s="102" t="n">
        <v>1</v>
      </c>
      <c r="N6" s="102" t="n">
        <v>0</v>
      </c>
      <c r="O6" s="102" t="n">
        <v>1.8</v>
      </c>
      <c r="P6" s="102" t="n">
        <v>0.67</v>
      </c>
      <c r="Q6" s="102" t="n">
        <v>0.2</v>
      </c>
      <c r="R6" s="102" t="n">
        <v>1.83</v>
      </c>
      <c r="S6" s="102" t="n">
        <v>1.5</v>
      </c>
      <c r="T6" s="102" t="n">
        <v>0</v>
      </c>
      <c r="V6" s="103"/>
      <c r="Y6" s="104" t="str">
        <f aca="false">VLOOKUP($B6,PitData,2)</f>
        <v>CV Robotics</v>
      </c>
      <c r="Z6" s="104" t="str">
        <f aca="false">VLOOKUP($B6,PitData,3)</f>
        <v>8-wheel 4 sims</v>
      </c>
    </row>
    <row r="7" customFormat="false" ht="17.15" hidden="false" customHeight="true" outlineLevel="0" collapsed="false">
      <c r="A7" s="105" t="n">
        <v>5</v>
      </c>
      <c r="B7" s="100" t="n">
        <v>3812</v>
      </c>
      <c r="C7" s="101" t="n">
        <v>24.3333333333333</v>
      </c>
      <c r="D7" s="101" t="n">
        <v>4.88888888888889</v>
      </c>
      <c r="E7" s="101" t="n">
        <v>45</v>
      </c>
      <c r="F7" s="101" t="n">
        <v>16.1111111111111</v>
      </c>
      <c r="G7" s="101" t="n">
        <v>0.555555555555556</v>
      </c>
      <c r="H7" s="101" t="n">
        <v>2.77777777777778</v>
      </c>
      <c r="I7" s="101" t="n">
        <v>3.44444444444444</v>
      </c>
      <c r="J7" s="101" t="n">
        <v>0.111111111111111</v>
      </c>
      <c r="K7" s="102" t="n">
        <v>1</v>
      </c>
      <c r="L7" s="102" t="n">
        <v>0</v>
      </c>
      <c r="M7" s="102" t="n">
        <v>0.2</v>
      </c>
      <c r="N7" s="102" t="n">
        <v>1.6</v>
      </c>
      <c r="O7" s="102" t="n">
        <v>1</v>
      </c>
      <c r="P7" s="102" t="n">
        <v>1</v>
      </c>
      <c r="Q7" s="102" t="n">
        <v>1</v>
      </c>
      <c r="R7" s="102" t="n">
        <v>0.33</v>
      </c>
      <c r="S7" s="102" t="n">
        <v>1.5</v>
      </c>
      <c r="T7" s="102" t="n">
        <v>0.75</v>
      </c>
      <c r="V7" s="103"/>
      <c r="Y7" s="104" t="n">
        <f aca="false">VLOOKUP($B7,PitData,2)</f>
        <v>0</v>
      </c>
      <c r="Z7" s="104" t="str">
        <f aca="false">VLOOKUP($B7,PitData,3)</f>
        <v>Tank</v>
      </c>
    </row>
    <row r="8" customFormat="false" ht="17.15" hidden="false" customHeight="true" outlineLevel="0" collapsed="false">
      <c r="A8" s="105" t="n">
        <v>6</v>
      </c>
      <c r="B8" s="100" t="n">
        <v>1540</v>
      </c>
      <c r="C8" s="101" t="n">
        <v>40.2222222222222</v>
      </c>
      <c r="D8" s="101" t="n">
        <v>9.66666666666667</v>
      </c>
      <c r="E8" s="101" t="n">
        <v>60</v>
      </c>
      <c r="F8" s="101" t="n">
        <v>15.5555555555556</v>
      </c>
      <c r="G8" s="101" t="n">
        <v>10</v>
      </c>
      <c r="H8" s="101" t="n">
        <v>5</v>
      </c>
      <c r="I8" s="101" t="n">
        <v>4.66666666666667</v>
      </c>
      <c r="J8" s="101" t="n">
        <v>1.88888888888889</v>
      </c>
      <c r="K8" s="102"/>
      <c r="L8" s="102" t="n">
        <v>0.33</v>
      </c>
      <c r="M8" s="102" t="n">
        <v>1.17</v>
      </c>
      <c r="N8" s="102" t="n">
        <v>1.33</v>
      </c>
      <c r="O8" s="102" t="n">
        <v>0.5</v>
      </c>
      <c r="P8" s="102" t="n">
        <v>0</v>
      </c>
      <c r="Q8" s="102" t="n">
        <v>0</v>
      </c>
      <c r="R8" s="102" t="n">
        <v>1</v>
      </c>
      <c r="S8" s="102" t="n">
        <v>1</v>
      </c>
      <c r="T8" s="102" t="n">
        <v>1.33</v>
      </c>
      <c r="V8" s="103"/>
      <c r="Y8" s="104" t="n">
        <f aca="false">VLOOKUP($B8,PitData,2)</f>
        <v>0</v>
      </c>
      <c r="Z8" s="104" t="str">
        <f aca="false">VLOOKUP($B8,PitData,3)</f>
        <v>6-wheel tank</v>
      </c>
    </row>
    <row r="9" customFormat="false" ht="17.15" hidden="false" customHeight="true" outlineLevel="0" collapsed="false">
      <c r="A9" s="105" t="n">
        <v>7</v>
      </c>
      <c r="B9" s="100" t="n">
        <v>2990</v>
      </c>
      <c r="C9" s="101" t="n">
        <v>24.25</v>
      </c>
      <c r="D9" s="101" t="n">
        <v>5.5</v>
      </c>
      <c r="E9" s="101" t="n">
        <v>52</v>
      </c>
      <c r="F9" s="101" t="n">
        <v>15</v>
      </c>
      <c r="G9" s="101" t="n">
        <v>1.25</v>
      </c>
      <c r="H9" s="101" t="n">
        <v>2.5</v>
      </c>
      <c r="I9" s="101" t="n">
        <v>3.25</v>
      </c>
      <c r="J9" s="101" t="n">
        <v>0.625</v>
      </c>
      <c r="K9" s="102" t="n">
        <v>3</v>
      </c>
      <c r="L9" s="102" t="n">
        <v>0</v>
      </c>
      <c r="M9" s="102" t="n">
        <v>0.83</v>
      </c>
      <c r="N9" s="102" t="n">
        <v>0.5</v>
      </c>
      <c r="O9" s="102" t="n">
        <v>0.75</v>
      </c>
      <c r="P9" s="102" t="n">
        <v>0</v>
      </c>
      <c r="Q9" s="102" t="n">
        <v>0</v>
      </c>
      <c r="R9" s="102" t="n">
        <v>1.2</v>
      </c>
      <c r="S9" s="102" t="n">
        <v>1</v>
      </c>
      <c r="T9" s="102" t="n">
        <v>0.63</v>
      </c>
      <c r="V9" s="103"/>
      <c r="Y9" s="104" t="n">
        <f aca="false">VLOOKUP($B9,PitData,2)</f>
        <v>0</v>
      </c>
      <c r="Z9" s="104" t="str">
        <f aca="false">VLOOKUP($B9,PitData,3)</f>
        <v>tank</v>
      </c>
    </row>
    <row r="10" customFormat="false" ht="17.15" hidden="false" customHeight="true" outlineLevel="0" collapsed="false">
      <c r="A10" s="105" t="n">
        <v>8</v>
      </c>
      <c r="B10" s="100" t="n">
        <v>2733</v>
      </c>
      <c r="C10" s="101" t="n">
        <v>26.25</v>
      </c>
      <c r="D10" s="101" t="n">
        <v>5</v>
      </c>
      <c r="E10" s="101" t="n">
        <v>42</v>
      </c>
      <c r="F10" s="101" t="n">
        <v>14.375</v>
      </c>
      <c r="G10" s="101" t="n">
        <v>3.75</v>
      </c>
      <c r="H10" s="101" t="n">
        <v>3.125</v>
      </c>
      <c r="I10" s="101" t="n">
        <v>3.5</v>
      </c>
      <c r="J10" s="101" t="n">
        <v>1.5</v>
      </c>
      <c r="K10" s="102" t="n">
        <v>1</v>
      </c>
      <c r="L10" s="102" t="n">
        <v>0</v>
      </c>
      <c r="M10" s="102" t="n">
        <v>0</v>
      </c>
      <c r="N10" s="102" t="n">
        <v>0.5</v>
      </c>
      <c r="O10" s="102" t="n">
        <v>0.67</v>
      </c>
      <c r="P10" s="102" t="n">
        <v>1</v>
      </c>
      <c r="Q10" s="102" t="n">
        <v>0</v>
      </c>
      <c r="R10" s="102" t="n">
        <v>2.25</v>
      </c>
      <c r="S10" s="102" t="n">
        <v>1</v>
      </c>
      <c r="T10" s="102" t="n">
        <v>1</v>
      </c>
      <c r="V10" s="103"/>
      <c r="Y10" s="104" t="n">
        <f aca="false">VLOOKUP($B10,PitData,2)</f>
        <v>0</v>
      </c>
      <c r="Z10" s="104" t="str">
        <f aca="false">VLOOKUP($B10,PitData,3)</f>
        <v>Rhino drive</v>
      </c>
    </row>
    <row r="11" customFormat="false" ht="17.15" hidden="false" customHeight="true" outlineLevel="0" collapsed="false">
      <c r="A11" s="105" t="n">
        <v>9</v>
      </c>
      <c r="B11" s="100" t="n">
        <v>4110</v>
      </c>
      <c r="C11" s="101" t="n">
        <v>19.3333333333333</v>
      </c>
      <c r="D11" s="101" t="n">
        <v>1.33333333333333</v>
      </c>
      <c r="E11" s="101" t="n">
        <v>34</v>
      </c>
      <c r="F11" s="101" t="n">
        <v>13.8888888888889</v>
      </c>
      <c r="G11" s="101" t="n">
        <v>0.222222222222222</v>
      </c>
      <c r="H11" s="101" t="n">
        <v>3.88888888888889</v>
      </c>
      <c r="I11" s="101" t="n">
        <v>3.44444444444444</v>
      </c>
      <c r="J11" s="101" t="n">
        <v>0.111111111111111</v>
      </c>
      <c r="K11" s="102" t="n">
        <v>1</v>
      </c>
      <c r="L11" s="102" t="n">
        <v>0</v>
      </c>
      <c r="M11" s="102" t="n">
        <v>0.8</v>
      </c>
      <c r="N11" s="102" t="n">
        <v>0.6</v>
      </c>
      <c r="O11" s="102" t="n">
        <v>1.4</v>
      </c>
      <c r="P11" s="102" t="n">
        <v>0</v>
      </c>
      <c r="Q11" s="102" t="n">
        <v>0</v>
      </c>
      <c r="R11" s="102" t="n">
        <v>0.17</v>
      </c>
      <c r="S11" s="102" t="n">
        <v>1.33</v>
      </c>
      <c r="T11" s="102" t="n">
        <v>1</v>
      </c>
      <c r="V11" s="103"/>
      <c r="Y11" s="104" t="n">
        <f aca="false">VLOOKUP($B11,PitData,2)</f>
        <v>0</v>
      </c>
      <c r="Z11" s="104" t="str">
        <f aca="false">VLOOKUP($B11,PitData,3)</f>
        <v>6-wheel</v>
      </c>
    </row>
    <row r="12" customFormat="false" ht="17.15" hidden="false" customHeight="true" outlineLevel="0" collapsed="false">
      <c r="A12" s="105" t="n">
        <v>10</v>
      </c>
      <c r="B12" s="100" t="n">
        <v>4662</v>
      </c>
      <c r="C12" s="101" t="n">
        <v>22</v>
      </c>
      <c r="D12" s="101" t="n">
        <v>7</v>
      </c>
      <c r="E12" s="101" t="n">
        <v>35</v>
      </c>
      <c r="F12" s="101" t="n">
        <v>13.75</v>
      </c>
      <c r="G12" s="101" t="n">
        <v>0</v>
      </c>
      <c r="H12" s="101" t="n">
        <v>1.25</v>
      </c>
      <c r="I12" s="101" t="n">
        <v>3.5</v>
      </c>
      <c r="J12" s="101" t="n">
        <v>0</v>
      </c>
      <c r="K12" s="102" t="n">
        <v>1</v>
      </c>
      <c r="L12" s="102" t="n">
        <v>0</v>
      </c>
      <c r="M12" s="102" t="n">
        <v>0.83</v>
      </c>
      <c r="N12" s="102" t="n">
        <v>0.6</v>
      </c>
      <c r="O12" s="102" t="n">
        <v>0.5</v>
      </c>
      <c r="P12" s="102" t="n">
        <v>0</v>
      </c>
      <c r="Q12" s="102" t="n">
        <v>0.33</v>
      </c>
      <c r="R12" s="102" t="n">
        <v>0.8</v>
      </c>
      <c r="S12" s="102" t="n">
        <v>2</v>
      </c>
      <c r="T12" s="102" t="n">
        <v>1</v>
      </c>
      <c r="V12" s="103"/>
      <c r="Y12" s="104" t="n">
        <f aca="false">VLOOKUP($B12,PitData,2)</f>
        <v>0</v>
      </c>
      <c r="Z12" s="104" t="str">
        <f aca="false">VLOOKUP($B12,PitData,3)</f>
        <v>6-wheel chain</v>
      </c>
    </row>
    <row r="13" customFormat="false" ht="17.15" hidden="false" customHeight="true" outlineLevel="0" collapsed="false">
      <c r="A13" s="105" t="n">
        <v>11</v>
      </c>
      <c r="B13" s="100" t="n">
        <v>753</v>
      </c>
      <c r="C13" s="101" t="n">
        <v>17.875</v>
      </c>
      <c r="D13" s="101" t="n">
        <v>2.5</v>
      </c>
      <c r="E13" s="101" t="n">
        <v>35</v>
      </c>
      <c r="F13" s="101" t="n">
        <v>12.5</v>
      </c>
      <c r="G13" s="101" t="n">
        <v>1</v>
      </c>
      <c r="H13" s="101" t="n">
        <v>1.875</v>
      </c>
      <c r="I13" s="101" t="n">
        <v>3</v>
      </c>
      <c r="J13" s="101" t="n">
        <v>0.5</v>
      </c>
      <c r="K13" s="102"/>
      <c r="L13" s="102" t="n">
        <v>0</v>
      </c>
      <c r="M13" s="102" t="n">
        <v>0</v>
      </c>
      <c r="N13" s="102" t="n">
        <v>0.5</v>
      </c>
      <c r="O13" s="102" t="n">
        <v>0.67</v>
      </c>
      <c r="P13" s="102" t="n">
        <v>0</v>
      </c>
      <c r="Q13" s="102" t="n">
        <v>1.6</v>
      </c>
      <c r="R13" s="102" t="n">
        <v>1</v>
      </c>
      <c r="S13" s="102" t="n">
        <v>0.67</v>
      </c>
      <c r="T13" s="102" t="n">
        <v>0.5</v>
      </c>
      <c r="V13" s="103"/>
      <c r="Y13" s="104" t="n">
        <f aca="false">VLOOKUP($B13,PitData,2)</f>
        <v>0</v>
      </c>
      <c r="Z13" s="104" t="str">
        <f aca="false">VLOOKUP($B13,PitData,3)</f>
        <v>tank</v>
      </c>
    </row>
    <row r="14" customFormat="false" ht="17.15" hidden="false" customHeight="true" outlineLevel="0" collapsed="false">
      <c r="A14" s="105" t="n">
        <v>12</v>
      </c>
      <c r="B14" s="100" t="n">
        <v>2374</v>
      </c>
      <c r="C14" s="101" t="n">
        <v>20.25</v>
      </c>
      <c r="D14" s="101" t="n">
        <v>2.75</v>
      </c>
      <c r="E14" s="101" t="n">
        <v>55</v>
      </c>
      <c r="F14" s="101" t="n">
        <v>12.5</v>
      </c>
      <c r="G14" s="101" t="n">
        <v>1.875</v>
      </c>
      <c r="H14" s="101" t="n">
        <v>3.125</v>
      </c>
      <c r="I14" s="101" t="n">
        <v>3.125</v>
      </c>
      <c r="J14" s="101" t="n">
        <v>0.375</v>
      </c>
      <c r="K14" s="102" t="n">
        <v>1</v>
      </c>
      <c r="L14" s="102" t="n">
        <v>0</v>
      </c>
      <c r="M14" s="102" t="n">
        <v>0</v>
      </c>
      <c r="N14" s="102" t="n">
        <v>2</v>
      </c>
      <c r="O14" s="102" t="n">
        <v>2</v>
      </c>
      <c r="P14" s="102" t="n">
        <v>0.33</v>
      </c>
      <c r="Q14" s="102" t="n">
        <v>0.5</v>
      </c>
      <c r="R14" s="102" t="n">
        <v>1.33</v>
      </c>
      <c r="S14" s="102" t="n">
        <v>0</v>
      </c>
      <c r="T14" s="102" t="n">
        <v>0</v>
      </c>
      <c r="V14" s="103"/>
      <c r="Y14" s="104" t="n">
        <f aca="false">VLOOKUP($B14,PitData,2)</f>
        <v>0</v>
      </c>
      <c r="Z14" s="104" t="str">
        <f aca="false">VLOOKUP($B14,PitData,3)</f>
        <v>belt (suspention)</v>
      </c>
    </row>
    <row r="15" customFormat="false" ht="17.15" hidden="false" customHeight="true" outlineLevel="0" collapsed="false">
      <c r="A15" s="105" t="n">
        <v>13</v>
      </c>
      <c r="B15" s="100" t="n">
        <v>3674</v>
      </c>
      <c r="C15" s="101" t="n">
        <v>20</v>
      </c>
      <c r="D15" s="101" t="n">
        <v>1.11111111111111</v>
      </c>
      <c r="E15" s="101" t="n">
        <v>30</v>
      </c>
      <c r="F15" s="101" t="n">
        <v>12.2222222222222</v>
      </c>
      <c r="G15" s="101" t="n">
        <v>2.77777777777778</v>
      </c>
      <c r="H15" s="101" t="n">
        <v>3.88888888888889</v>
      </c>
      <c r="I15" s="101" t="n">
        <v>2.55555555555556</v>
      </c>
      <c r="J15" s="101" t="n">
        <v>0.555555555555556</v>
      </c>
      <c r="K15" s="102" t="n">
        <v>1</v>
      </c>
      <c r="L15" s="102" t="n">
        <v>0</v>
      </c>
      <c r="M15" s="102" t="n">
        <v>1</v>
      </c>
      <c r="N15" s="102" t="n">
        <v>0.17</v>
      </c>
      <c r="O15" s="102" t="n">
        <v>0.25</v>
      </c>
      <c r="P15" s="102" t="n">
        <v>0.17</v>
      </c>
      <c r="Q15" s="102" t="n">
        <v>0.33</v>
      </c>
      <c r="R15" s="102" t="n">
        <v>0</v>
      </c>
      <c r="S15" s="102" t="n">
        <v>0.67</v>
      </c>
      <c r="T15" s="102" t="n">
        <v>0.89</v>
      </c>
      <c r="V15" s="103"/>
      <c r="Y15" s="104" t="n">
        <f aca="false">VLOOKUP($B15,PitData,2)</f>
        <v>0</v>
      </c>
      <c r="Z15" s="104" t="str">
        <f aca="false">VLOOKUP($B15,PitData,3)</f>
        <v>West Coast</v>
      </c>
    </row>
    <row r="16" customFormat="false" ht="14.5" hidden="false" customHeight="false" outlineLevel="0" collapsed="false">
      <c r="A16" s="105" t="n">
        <v>14</v>
      </c>
      <c r="B16" s="13" t="n">
        <v>997</v>
      </c>
      <c r="C16" s="101" t="n">
        <v>19.75</v>
      </c>
      <c r="D16" s="101" t="n">
        <v>3.75</v>
      </c>
      <c r="E16" s="101" t="n">
        <v>30</v>
      </c>
      <c r="F16" s="101" t="n">
        <v>11.875</v>
      </c>
      <c r="G16" s="101" t="n">
        <v>1</v>
      </c>
      <c r="H16" s="101" t="n">
        <v>3.125</v>
      </c>
      <c r="I16" s="101" t="n">
        <v>2.625</v>
      </c>
      <c r="J16" s="101" t="n">
        <v>0.5</v>
      </c>
      <c r="K16" s="102" t="n">
        <v>2</v>
      </c>
      <c r="L16" s="102" t="n">
        <v>0</v>
      </c>
      <c r="M16" s="102" t="n">
        <v>2</v>
      </c>
      <c r="N16" s="102" t="n">
        <v>0.25</v>
      </c>
      <c r="O16" s="102" t="n">
        <v>0</v>
      </c>
      <c r="P16" s="102" t="n">
        <v>0</v>
      </c>
      <c r="Q16" s="102" t="n">
        <v>0</v>
      </c>
      <c r="R16" s="102" t="n">
        <v>0.75</v>
      </c>
      <c r="S16" s="102" t="n">
        <v>0</v>
      </c>
      <c r="T16" s="102" t="n">
        <v>1</v>
      </c>
      <c r="Y16" s="104" t="n">
        <f aca="false">VLOOKUP($B16,PitData,2)</f>
        <v>0</v>
      </c>
      <c r="Z16" s="104" t="str">
        <f aca="false">VLOOKUP($B16,PitData,3)</f>
        <v>tank</v>
      </c>
    </row>
    <row r="17" customFormat="false" ht="14.5" hidden="false" customHeight="false" outlineLevel="0" collapsed="false">
      <c r="A17" s="105" t="n">
        <v>15</v>
      </c>
      <c r="B17" s="13" t="n">
        <v>2811</v>
      </c>
      <c r="C17" s="101" t="n">
        <v>22.125</v>
      </c>
      <c r="D17" s="101" t="n">
        <v>7.75</v>
      </c>
      <c r="E17" s="101" t="n">
        <v>35</v>
      </c>
      <c r="F17" s="101" t="n">
        <v>11.875</v>
      </c>
      <c r="G17" s="101" t="n">
        <v>0</v>
      </c>
      <c r="H17" s="101" t="n">
        <v>2.5</v>
      </c>
      <c r="I17" s="101" t="n">
        <v>2.75</v>
      </c>
      <c r="J17" s="101" t="n">
        <v>0</v>
      </c>
      <c r="K17" s="102" t="n">
        <v>5</v>
      </c>
      <c r="L17" s="102" t="n">
        <v>0</v>
      </c>
      <c r="M17" s="102" t="n">
        <v>0</v>
      </c>
      <c r="N17" s="102" t="n">
        <v>0.67</v>
      </c>
      <c r="O17" s="102" t="n">
        <v>0.2</v>
      </c>
      <c r="P17" s="102" t="n">
        <v>0.75</v>
      </c>
      <c r="Q17" s="102" t="n">
        <v>0.5</v>
      </c>
      <c r="R17" s="102" t="n">
        <v>0.83</v>
      </c>
      <c r="S17" s="102" t="n">
        <v>1</v>
      </c>
      <c r="T17" s="102" t="n">
        <v>0.88</v>
      </c>
      <c r="Y17" s="104" t="n">
        <f aca="false">VLOOKUP($B17,PitData,2)</f>
        <v>0</v>
      </c>
      <c r="Z17" s="104" t="str">
        <f aca="false">VLOOKUP($B17,PitData,3)</f>
        <v>West coast 6-wheel drop center</v>
      </c>
    </row>
    <row r="18" customFormat="false" ht="14.5" hidden="false" customHeight="false" outlineLevel="0" collapsed="false">
      <c r="A18" s="105" t="n">
        <v>16</v>
      </c>
      <c r="B18" s="13" t="n">
        <v>3711</v>
      </c>
      <c r="C18" s="101" t="n">
        <v>23.5</v>
      </c>
      <c r="D18" s="101" t="n">
        <v>6.5</v>
      </c>
      <c r="E18" s="101" t="n">
        <v>34</v>
      </c>
      <c r="F18" s="101" t="n">
        <v>11.875</v>
      </c>
      <c r="G18" s="101" t="n">
        <v>0.75</v>
      </c>
      <c r="H18" s="101" t="n">
        <v>4.375</v>
      </c>
      <c r="I18" s="101" t="n">
        <v>3.875</v>
      </c>
      <c r="J18" s="101" t="n">
        <v>0.375</v>
      </c>
      <c r="K18" s="102"/>
      <c r="L18" s="102" t="n">
        <v>0</v>
      </c>
      <c r="M18" s="102" t="n">
        <v>1</v>
      </c>
      <c r="N18" s="102" t="n">
        <v>0.8</v>
      </c>
      <c r="O18" s="102" t="n">
        <v>0.33</v>
      </c>
      <c r="P18" s="102" t="n">
        <v>0</v>
      </c>
      <c r="Q18" s="102" t="n">
        <v>0.29</v>
      </c>
      <c r="R18" s="102" t="n">
        <v>1</v>
      </c>
      <c r="S18" s="102" t="n">
        <v>0.67</v>
      </c>
      <c r="T18" s="102" t="n">
        <v>0.63</v>
      </c>
      <c r="Y18" s="104" t="str">
        <f aca="false">VLOOKUP($B18,PitData,2)</f>
        <v>Iron Mustang</v>
      </c>
      <c r="Z18" s="104" t="str">
        <f aca="false">VLOOKUP($B18,PitData,3)</f>
        <v>Tank 9 Wheels</v>
      </c>
    </row>
    <row r="19" customFormat="false" ht="14.5" hidden="false" customHeight="false" outlineLevel="0" collapsed="false">
      <c r="A19" s="105" t="n">
        <v>17</v>
      </c>
      <c r="B19" s="13" t="n">
        <v>5970</v>
      </c>
      <c r="C19" s="101" t="n">
        <v>19.625</v>
      </c>
      <c r="D19" s="101" t="n">
        <v>7.75</v>
      </c>
      <c r="E19" s="101" t="n">
        <v>35</v>
      </c>
      <c r="F19" s="101" t="n">
        <v>10.625</v>
      </c>
      <c r="G19" s="101" t="n">
        <v>0</v>
      </c>
      <c r="H19" s="101" t="n">
        <v>1.25</v>
      </c>
      <c r="I19" s="101" t="n">
        <v>3.125</v>
      </c>
      <c r="J19" s="101" t="n">
        <v>0</v>
      </c>
      <c r="K19" s="102" t="n">
        <v>1</v>
      </c>
      <c r="L19" s="102" t="n">
        <v>0</v>
      </c>
      <c r="M19" s="102" t="n">
        <v>1.6</v>
      </c>
      <c r="N19" s="102" t="n">
        <v>0.6</v>
      </c>
      <c r="O19" s="102" t="n">
        <v>0</v>
      </c>
      <c r="P19" s="102" t="n">
        <v>0</v>
      </c>
      <c r="Q19" s="102" t="n">
        <v>0</v>
      </c>
      <c r="R19" s="102" t="n">
        <v>0.2</v>
      </c>
      <c r="S19" s="102" t="n">
        <v>0.67</v>
      </c>
      <c r="T19" s="102" t="n">
        <v>1.13</v>
      </c>
      <c r="Y19" s="104" t="n">
        <f aca="false">VLOOKUP($B19,PitData,2)</f>
        <v>0</v>
      </c>
      <c r="Z19" s="104" t="str">
        <f aca="false">VLOOKUP($B19,PitData,3)</f>
        <v>6-wheel tank</v>
      </c>
    </row>
    <row r="20" customFormat="false" ht="14.5" hidden="false" customHeight="false" outlineLevel="0" collapsed="false">
      <c r="A20" s="105" t="n">
        <v>18</v>
      </c>
      <c r="B20" s="13" t="n">
        <v>2635</v>
      </c>
      <c r="C20" s="101" t="n">
        <v>13.3333333333333</v>
      </c>
      <c r="D20" s="101" t="n">
        <v>0</v>
      </c>
      <c r="E20" s="101" t="n">
        <v>30</v>
      </c>
      <c r="F20" s="101" t="n">
        <v>10</v>
      </c>
      <c r="G20" s="101" t="n">
        <v>0.555555555555556</v>
      </c>
      <c r="H20" s="101" t="n">
        <v>2.77777777777778</v>
      </c>
      <c r="I20" s="101" t="n">
        <v>2.22222222222222</v>
      </c>
      <c r="J20" s="101" t="n">
        <v>0.111111111111111</v>
      </c>
      <c r="K20" s="102" t="n">
        <v>2</v>
      </c>
      <c r="L20" s="102" t="n">
        <v>0</v>
      </c>
      <c r="M20" s="102" t="n">
        <v>0</v>
      </c>
      <c r="N20" s="102" t="n">
        <v>0.25</v>
      </c>
      <c r="O20" s="102" t="n">
        <v>0.8</v>
      </c>
      <c r="P20" s="102" t="n">
        <v>0.2</v>
      </c>
      <c r="Q20" s="102" t="n">
        <v>0</v>
      </c>
      <c r="R20" s="102" t="n">
        <v>0.83</v>
      </c>
      <c r="S20" s="102" t="n">
        <v>0.67</v>
      </c>
      <c r="T20" s="102" t="n">
        <v>0.78</v>
      </c>
      <c r="Y20" s="104" t="n">
        <f aca="false">VLOOKUP($B20,PitData,2)</f>
        <v>0</v>
      </c>
      <c r="Z20" s="104" t="str">
        <f aca="false">VLOOKUP($B20,PitData,3)</f>
        <v>tank treads</v>
      </c>
    </row>
    <row r="21" customFormat="false" ht="14.5" hidden="false" customHeight="false" outlineLevel="0" collapsed="false">
      <c r="A21" s="105" t="n">
        <v>19</v>
      </c>
      <c r="B21" s="13" t="n">
        <v>4043</v>
      </c>
      <c r="C21" s="101" t="n">
        <v>22.5</v>
      </c>
      <c r="D21" s="101" t="n">
        <v>6.75</v>
      </c>
      <c r="E21" s="101" t="n">
        <v>32</v>
      </c>
      <c r="F21" s="101" t="n">
        <v>10</v>
      </c>
      <c r="G21" s="101" t="n">
        <v>2</v>
      </c>
      <c r="H21" s="101" t="n">
        <v>3.75</v>
      </c>
      <c r="I21" s="101" t="n">
        <v>2.25</v>
      </c>
      <c r="J21" s="101" t="n">
        <v>1</v>
      </c>
      <c r="K21" s="102"/>
      <c r="L21" s="102" t="n">
        <v>0</v>
      </c>
      <c r="M21" s="102" t="n">
        <v>0</v>
      </c>
      <c r="N21" s="102" t="n">
        <v>1</v>
      </c>
      <c r="O21" s="102" t="n">
        <v>0.5</v>
      </c>
      <c r="P21" s="102" t="n">
        <v>0.25</v>
      </c>
      <c r="Q21" s="102" t="n">
        <v>0.25</v>
      </c>
      <c r="R21" s="102" t="n">
        <v>0.8</v>
      </c>
      <c r="S21" s="102" t="n">
        <v>1</v>
      </c>
      <c r="T21" s="102" t="n">
        <v>0.25</v>
      </c>
      <c r="Y21" s="104" t="n">
        <f aca="false">VLOOKUP($B21,PitData,2)</f>
        <v>0</v>
      </c>
      <c r="Z21" s="104" t="str">
        <f aca="false">VLOOKUP($B21,PitData,3)</f>
        <v>Tank, 12"</v>
      </c>
    </row>
    <row r="22" customFormat="false" ht="14.5" hidden="false" customHeight="false" outlineLevel="0" collapsed="false">
      <c r="A22" s="105" t="n">
        <v>20</v>
      </c>
      <c r="B22" s="13" t="n">
        <v>5975</v>
      </c>
      <c r="C22" s="101" t="n">
        <v>15.125</v>
      </c>
      <c r="D22" s="101" t="n">
        <v>2</v>
      </c>
      <c r="E22" s="101" t="n">
        <v>25</v>
      </c>
      <c r="F22" s="101" t="n">
        <v>9.375</v>
      </c>
      <c r="G22" s="101" t="n">
        <v>0</v>
      </c>
      <c r="H22" s="101" t="n">
        <v>3.75</v>
      </c>
      <c r="I22" s="101" t="n">
        <v>2.375</v>
      </c>
      <c r="J22" s="101" t="n">
        <v>0</v>
      </c>
      <c r="K22" s="102"/>
      <c r="L22" s="102" t="n">
        <v>0</v>
      </c>
      <c r="M22" s="102" t="n">
        <v>0</v>
      </c>
      <c r="N22" s="102" t="n">
        <v>0.6</v>
      </c>
      <c r="O22" s="102" t="n">
        <v>0</v>
      </c>
      <c r="P22" s="102" t="n">
        <v>0</v>
      </c>
      <c r="Q22" s="102" t="n">
        <v>0</v>
      </c>
      <c r="R22" s="102" t="n">
        <v>0.17</v>
      </c>
      <c r="S22" s="102" t="n">
        <v>1</v>
      </c>
      <c r="T22" s="102" t="n">
        <v>1.5</v>
      </c>
      <c r="Y22" s="104" t="n">
        <f aca="false">VLOOKUP($B22,PitData,2)</f>
        <v>0</v>
      </c>
      <c r="Z22" s="104" t="str">
        <f aca="false">VLOOKUP($B22,PitData,3)</f>
        <v>Tank</v>
      </c>
    </row>
    <row r="23" customFormat="false" ht="14.5" hidden="false" customHeight="false" outlineLevel="0" collapsed="false">
      <c r="A23" s="105" t="n">
        <v>21</v>
      </c>
      <c r="B23" s="13" t="n">
        <v>5977</v>
      </c>
      <c r="C23" s="101" t="n">
        <v>7.5</v>
      </c>
      <c r="D23" s="101" t="n">
        <v>0</v>
      </c>
      <c r="E23" s="101" t="n">
        <v>15</v>
      </c>
      <c r="F23" s="101" t="n">
        <v>7.5</v>
      </c>
      <c r="G23" s="101" t="n">
        <v>0</v>
      </c>
      <c r="H23" s="101" t="n">
        <v>0</v>
      </c>
      <c r="I23" s="101" t="n">
        <v>1.5</v>
      </c>
      <c r="J23" s="101" t="n">
        <v>0</v>
      </c>
      <c r="K23" s="102" t="n">
        <v>2</v>
      </c>
      <c r="L23" s="102" t="n">
        <v>0</v>
      </c>
      <c r="M23" s="102" t="n">
        <v>0</v>
      </c>
      <c r="N23" s="102" t="n">
        <v>0</v>
      </c>
      <c r="O23" s="102" t="n">
        <v>0</v>
      </c>
      <c r="P23" s="102" t="n">
        <v>0</v>
      </c>
      <c r="Q23" s="102" t="n">
        <v>0.6</v>
      </c>
      <c r="R23" s="102" t="n">
        <v>0.5</v>
      </c>
      <c r="S23" s="102" t="n">
        <v>1.5</v>
      </c>
      <c r="T23" s="102" t="n">
        <v>0.38</v>
      </c>
      <c r="Y23" s="104" t="n">
        <f aca="false">VLOOKUP($B23,PitData,2)</f>
        <v>0</v>
      </c>
      <c r="Z23" s="104" t="str">
        <f aca="false">VLOOKUP($B23,PitData,3)</f>
        <v>6-wheel drive</v>
      </c>
    </row>
    <row r="24" customFormat="false" ht="14.5" hidden="false" customHeight="false" outlineLevel="0" collapsed="false">
      <c r="A24" s="105" t="n">
        <v>22</v>
      </c>
      <c r="B24" s="13" t="n">
        <v>847</v>
      </c>
      <c r="C24" s="101" t="n">
        <v>9.625</v>
      </c>
      <c r="D24" s="101" t="n">
        <v>1.5</v>
      </c>
      <c r="E24" s="101" t="n">
        <v>20</v>
      </c>
      <c r="F24" s="101" t="n">
        <v>7.5</v>
      </c>
      <c r="G24" s="101" t="n">
        <v>0.625</v>
      </c>
      <c r="H24" s="101" t="n">
        <v>0</v>
      </c>
      <c r="I24" s="101" t="n">
        <v>1.625</v>
      </c>
      <c r="J24" s="101" t="n">
        <v>0.125</v>
      </c>
      <c r="K24" s="102" t="n">
        <v>2</v>
      </c>
      <c r="L24" s="102" t="n">
        <v>0</v>
      </c>
      <c r="M24" s="102" t="n">
        <v>0</v>
      </c>
      <c r="N24" s="102" t="n">
        <v>0.5</v>
      </c>
      <c r="O24" s="102" t="n">
        <v>0.75</v>
      </c>
      <c r="P24" s="102" t="n">
        <v>0</v>
      </c>
      <c r="Q24" s="102" t="n">
        <v>0</v>
      </c>
      <c r="R24" s="102" t="n">
        <v>0.2</v>
      </c>
      <c r="S24" s="102" t="n">
        <v>2.33</v>
      </c>
      <c r="T24" s="102" t="n">
        <v>0</v>
      </c>
      <c r="Y24" s="104" t="n">
        <f aca="false">VLOOKUP($B24,PitData,2)</f>
        <v>0</v>
      </c>
      <c r="Z24" s="104" t="str">
        <f aca="false">VLOOKUP($B24,PitData,3)</f>
        <v>tricycle</v>
      </c>
    </row>
    <row r="25" customFormat="false" ht="14.5" hidden="false" customHeight="false" outlineLevel="0" collapsed="false">
      <c r="A25" s="105" t="n">
        <v>23</v>
      </c>
      <c r="B25" s="13" t="n">
        <v>4051</v>
      </c>
      <c r="C25" s="101" t="n">
        <v>8.88888888888889</v>
      </c>
      <c r="D25" s="101" t="n">
        <v>0</v>
      </c>
      <c r="E25" s="101" t="n">
        <v>20</v>
      </c>
      <c r="F25" s="101" t="n">
        <v>6.66666666666667</v>
      </c>
      <c r="G25" s="101" t="n">
        <v>0</v>
      </c>
      <c r="H25" s="101" t="n">
        <v>2.22222222222222</v>
      </c>
      <c r="I25" s="101" t="n">
        <v>1.55555555555556</v>
      </c>
      <c r="J25" s="101" t="n">
        <v>0</v>
      </c>
      <c r="K25" s="102" t="n">
        <v>2</v>
      </c>
      <c r="L25" s="102" t="n">
        <v>0</v>
      </c>
      <c r="M25" s="102" t="n">
        <v>0</v>
      </c>
      <c r="N25" s="102" t="n">
        <v>1</v>
      </c>
      <c r="O25" s="102" t="n">
        <v>0</v>
      </c>
      <c r="P25" s="102" t="n">
        <v>0</v>
      </c>
      <c r="Q25" s="102" t="n">
        <v>0.29</v>
      </c>
      <c r="R25" s="102" t="n">
        <v>0.5</v>
      </c>
      <c r="S25" s="102" t="n">
        <v>0.33</v>
      </c>
      <c r="T25" s="102" t="n">
        <v>0.33</v>
      </c>
      <c r="Y25" s="104" t="n">
        <f aca="false">VLOOKUP($B25,PitData,2)</f>
        <v>0</v>
      </c>
      <c r="Z25" s="104" t="str">
        <f aca="false">VLOOKUP($B25,PitData,3)</f>
        <v>Tank</v>
      </c>
    </row>
    <row r="26" customFormat="false" ht="14.5" hidden="false" customHeight="false" outlineLevel="0" collapsed="false">
      <c r="A26" s="105" t="n">
        <v>24</v>
      </c>
      <c r="B26" s="13" t="n">
        <v>5085</v>
      </c>
      <c r="C26" s="101" t="n">
        <v>15.25</v>
      </c>
      <c r="D26" s="101" t="n">
        <v>5.5</v>
      </c>
      <c r="E26" s="101" t="n">
        <v>30</v>
      </c>
      <c r="F26" s="101" t="n">
        <v>6.25</v>
      </c>
      <c r="G26" s="101" t="n">
        <v>1</v>
      </c>
      <c r="H26" s="101" t="n">
        <v>2.5</v>
      </c>
      <c r="I26" s="101" t="n">
        <v>1.5</v>
      </c>
      <c r="J26" s="101" t="n">
        <v>0.5</v>
      </c>
      <c r="K26" s="102" t="n">
        <v>3</v>
      </c>
      <c r="L26" s="102" t="n">
        <v>0</v>
      </c>
      <c r="M26" s="102" t="n">
        <v>0</v>
      </c>
      <c r="N26" s="102" t="n">
        <v>0.2</v>
      </c>
      <c r="O26" s="102" t="n">
        <v>0</v>
      </c>
      <c r="P26" s="102" t="n">
        <v>0</v>
      </c>
      <c r="Q26" s="102" t="n">
        <v>0.33</v>
      </c>
      <c r="R26" s="102" t="n">
        <v>0.4</v>
      </c>
      <c r="S26" s="102" t="n">
        <v>0.33</v>
      </c>
      <c r="T26" s="102" t="n">
        <v>0.88</v>
      </c>
      <c r="Y26" s="104" t="n">
        <f aca="false">VLOOKUP($B26,PitData,2)</f>
        <v>0</v>
      </c>
      <c r="Z26" s="104" t="str">
        <f aca="false">VLOOKUP($B26,PitData,3)</f>
        <v>rhino</v>
      </c>
    </row>
    <row r="27" customFormat="false" ht="14.5" hidden="false" customHeight="false" outlineLevel="0" collapsed="false">
      <c r="A27" s="105" t="n">
        <v>25</v>
      </c>
      <c r="B27" s="13" t="n">
        <v>1571</v>
      </c>
      <c r="C27" s="101" t="n">
        <v>9.375</v>
      </c>
      <c r="D27" s="101" t="n">
        <v>0</v>
      </c>
      <c r="E27" s="101" t="n">
        <v>22</v>
      </c>
      <c r="F27" s="101" t="n">
        <v>6.25</v>
      </c>
      <c r="G27" s="101" t="n">
        <v>1.25</v>
      </c>
      <c r="H27" s="101" t="n">
        <v>1.875</v>
      </c>
      <c r="I27" s="101" t="n">
        <v>1.5</v>
      </c>
      <c r="J27" s="101" t="n">
        <v>0.625</v>
      </c>
      <c r="K27" s="102" t="n">
        <v>2</v>
      </c>
      <c r="L27" s="102" t="n">
        <v>0</v>
      </c>
      <c r="M27" s="102" t="n">
        <v>0</v>
      </c>
      <c r="N27" s="102" t="n">
        <v>0</v>
      </c>
      <c r="O27" s="102" t="n">
        <v>0</v>
      </c>
      <c r="P27" s="102" t="n">
        <v>0</v>
      </c>
      <c r="Q27" s="102" t="n">
        <v>0.29</v>
      </c>
      <c r="R27" s="102" t="n">
        <v>0.6</v>
      </c>
      <c r="S27" s="102" t="n">
        <v>1</v>
      </c>
      <c r="T27" s="102" t="n">
        <v>0.5</v>
      </c>
      <c r="Y27" s="104" t="n">
        <f aca="false">VLOOKUP($B27,PitData,2)</f>
        <v>0</v>
      </c>
      <c r="Z27" s="104" t="n">
        <f aca="false">VLOOKUP($B27,PitData,3)</f>
        <v>0</v>
      </c>
    </row>
    <row r="28" customFormat="false" ht="14.5" hidden="false" customHeight="false" outlineLevel="0" collapsed="false">
      <c r="A28" s="105" t="n">
        <v>26</v>
      </c>
      <c r="B28" s="13" t="n">
        <v>5468</v>
      </c>
      <c r="C28" s="101" t="n">
        <v>25</v>
      </c>
      <c r="D28" s="101" t="n">
        <v>7.5</v>
      </c>
      <c r="E28" s="101" t="n">
        <v>35</v>
      </c>
      <c r="F28" s="101" t="n">
        <v>5.625</v>
      </c>
      <c r="G28" s="101" t="n">
        <v>6.875</v>
      </c>
      <c r="H28" s="101" t="n">
        <v>5</v>
      </c>
      <c r="I28" s="101" t="n">
        <v>1.375</v>
      </c>
      <c r="J28" s="101" t="n">
        <v>1.375</v>
      </c>
      <c r="K28" s="102"/>
      <c r="L28" s="102" t="n">
        <v>0</v>
      </c>
      <c r="M28" s="102" t="n">
        <v>0</v>
      </c>
      <c r="N28" s="102" t="n">
        <v>0.5</v>
      </c>
      <c r="O28" s="102" t="n">
        <v>0</v>
      </c>
      <c r="P28" s="102" t="n">
        <v>0.25</v>
      </c>
      <c r="Q28" s="102" t="n">
        <v>0</v>
      </c>
      <c r="R28" s="102" t="n">
        <v>0.2</v>
      </c>
      <c r="S28" s="102" t="n">
        <v>0.25</v>
      </c>
      <c r="T28" s="102" t="n">
        <v>0.63</v>
      </c>
      <c r="Y28" s="104" t="n">
        <f aca="false">VLOOKUP($B28,PitData,2)</f>
        <v>0</v>
      </c>
      <c r="Z28" s="104" t="str">
        <f aca="false">VLOOKUP($B28,PitData,3)</f>
        <v>Tank treads</v>
      </c>
    </row>
    <row r="29" customFormat="false" ht="14.5" hidden="false" customHeight="false" outlineLevel="0" collapsed="false">
      <c r="A29" s="105" t="n">
        <v>27</v>
      </c>
      <c r="B29" s="13" t="n">
        <v>3673</v>
      </c>
      <c r="C29" s="101" t="n">
        <v>12.625</v>
      </c>
      <c r="D29" s="101" t="n">
        <v>3.25</v>
      </c>
      <c r="E29" s="101" t="n">
        <v>25</v>
      </c>
      <c r="F29" s="101" t="n">
        <v>5.625</v>
      </c>
      <c r="G29" s="101" t="n">
        <v>1.25</v>
      </c>
      <c r="H29" s="101" t="n">
        <v>2.5</v>
      </c>
      <c r="I29" s="101" t="n">
        <v>1.25</v>
      </c>
      <c r="J29" s="101" t="n">
        <v>0.25</v>
      </c>
      <c r="K29" s="102" t="n">
        <v>2</v>
      </c>
      <c r="L29" s="102" t="n">
        <v>0</v>
      </c>
      <c r="M29" s="102" t="n">
        <v>0.14</v>
      </c>
      <c r="N29" s="102" t="n">
        <v>0.17</v>
      </c>
      <c r="O29" s="102" t="n">
        <v>0.5</v>
      </c>
      <c r="P29" s="102" t="n">
        <v>0</v>
      </c>
      <c r="Q29" s="102" t="n">
        <v>0</v>
      </c>
      <c r="R29" s="102" t="n">
        <v>0.6</v>
      </c>
      <c r="S29" s="102" t="n">
        <v>1.33</v>
      </c>
      <c r="T29" s="102" t="n">
        <v>0</v>
      </c>
      <c r="Y29" s="104" t="n">
        <f aca="false">VLOOKUP($B29,PitData,2)</f>
        <v>0</v>
      </c>
      <c r="Z29" s="104" t="str">
        <f aca="false">VLOOKUP($B29,PitData,3)</f>
        <v>tank</v>
      </c>
    </row>
    <row r="30" customFormat="false" ht="14.5" hidden="false" customHeight="false" outlineLevel="0" collapsed="false">
      <c r="A30" s="105" t="n">
        <v>28</v>
      </c>
      <c r="B30" s="13" t="n">
        <v>5198</v>
      </c>
      <c r="C30" s="101" t="n">
        <v>7.77777777777778</v>
      </c>
      <c r="D30" s="101" t="n">
        <v>1.11111111111111</v>
      </c>
      <c r="E30" s="101" t="n">
        <v>25</v>
      </c>
      <c r="F30" s="101" t="n">
        <v>5.55555555555556</v>
      </c>
      <c r="G30" s="101" t="n">
        <v>0</v>
      </c>
      <c r="H30" s="101" t="n">
        <v>1.11111111111111</v>
      </c>
      <c r="I30" s="101" t="n">
        <v>1.22222222222222</v>
      </c>
      <c r="J30" s="101" t="n">
        <v>0</v>
      </c>
      <c r="K30" s="102" t="n">
        <v>2</v>
      </c>
      <c r="L30" s="102" t="n">
        <v>0</v>
      </c>
      <c r="M30" s="102" t="n">
        <v>0</v>
      </c>
      <c r="N30" s="102" t="n">
        <v>0</v>
      </c>
      <c r="O30" s="102" t="n">
        <v>0.5</v>
      </c>
      <c r="P30" s="102" t="n">
        <v>0.5</v>
      </c>
      <c r="Q30" s="102" t="n">
        <v>0.4</v>
      </c>
      <c r="R30" s="102" t="n">
        <v>0.33</v>
      </c>
      <c r="S30" s="102" t="n">
        <v>1.5</v>
      </c>
      <c r="T30" s="102" t="n">
        <v>0</v>
      </c>
      <c r="Y30" s="104" t="n">
        <f aca="false">VLOOKUP($B30,PitData,2)</f>
        <v>0</v>
      </c>
      <c r="Z30" s="104" t="str">
        <f aca="false">VLOOKUP($B30,PitData,3)</f>
        <v>Tank</v>
      </c>
    </row>
    <row r="31" customFormat="false" ht="14.5" hidden="false" customHeight="false" outlineLevel="0" collapsed="false">
      <c r="A31" s="105" t="n">
        <v>29</v>
      </c>
      <c r="B31" s="13" t="n">
        <v>1510</v>
      </c>
      <c r="C31" s="101" t="n">
        <v>5</v>
      </c>
      <c r="D31" s="101" t="n">
        <v>0</v>
      </c>
      <c r="E31" s="101" t="n">
        <v>10</v>
      </c>
      <c r="F31" s="101" t="n">
        <v>5</v>
      </c>
      <c r="G31" s="101" t="n">
        <v>0</v>
      </c>
      <c r="H31" s="101" t="n">
        <v>0</v>
      </c>
      <c r="I31" s="101" t="n">
        <v>1.22222222222222</v>
      </c>
      <c r="J31" s="101" t="n">
        <v>0</v>
      </c>
      <c r="K31" s="102" t="n">
        <v>6</v>
      </c>
      <c r="L31" s="102" t="n">
        <v>0</v>
      </c>
      <c r="M31" s="102" t="n">
        <v>0.63</v>
      </c>
      <c r="N31" s="102" t="n">
        <v>0</v>
      </c>
      <c r="O31" s="102" t="n">
        <v>0.33</v>
      </c>
      <c r="P31" s="102" t="n">
        <v>0</v>
      </c>
      <c r="Q31" s="102" t="n">
        <v>0.17</v>
      </c>
      <c r="R31" s="102" t="n">
        <v>0</v>
      </c>
      <c r="S31" s="102" t="n">
        <v>0</v>
      </c>
      <c r="T31" s="102" t="n">
        <v>0.44</v>
      </c>
      <c r="Y31" s="104" t="str">
        <f aca="false">VLOOKUP($B31,PitData,2)</f>
        <v>Flaming Chickens</v>
      </c>
      <c r="Z31" s="104" t="n">
        <f aca="false">VLOOKUP($B31,PitData,3)</f>
        <v>0</v>
      </c>
    </row>
    <row r="32" customFormat="false" ht="14.5" hidden="false" customHeight="false" outlineLevel="0" collapsed="false">
      <c r="A32" s="105" t="n">
        <v>30</v>
      </c>
      <c r="B32" s="13" t="n">
        <v>2002</v>
      </c>
      <c r="C32" s="101" t="n">
        <v>15.375</v>
      </c>
      <c r="D32" s="101" t="n">
        <v>5.75</v>
      </c>
      <c r="E32" s="101" t="n">
        <v>30</v>
      </c>
      <c r="F32" s="101" t="n">
        <v>5</v>
      </c>
      <c r="G32" s="101" t="n">
        <v>1.5</v>
      </c>
      <c r="H32" s="101" t="n">
        <v>3.125</v>
      </c>
      <c r="I32" s="101" t="n">
        <v>1.25</v>
      </c>
      <c r="J32" s="101" t="n">
        <v>0.375</v>
      </c>
      <c r="K32" s="102"/>
      <c r="L32" s="102" t="n">
        <v>0</v>
      </c>
      <c r="M32" s="102" t="n">
        <v>0</v>
      </c>
      <c r="N32" s="102" t="n">
        <v>1</v>
      </c>
      <c r="O32" s="102" t="n">
        <v>0.5</v>
      </c>
      <c r="P32" s="102" t="n">
        <v>0</v>
      </c>
      <c r="Q32" s="102" t="n">
        <v>0</v>
      </c>
      <c r="R32" s="102" t="n">
        <v>0.2</v>
      </c>
      <c r="S32" s="102" t="n">
        <v>0.33</v>
      </c>
      <c r="T32" s="102" t="n">
        <v>0.25</v>
      </c>
      <c r="Y32" s="104" t="n">
        <f aca="false">VLOOKUP($B32,PitData,2)</f>
        <v>0</v>
      </c>
      <c r="Z32" s="104" t="str">
        <f aca="false">VLOOKUP($B32,PitData,3)</f>
        <v>tank</v>
      </c>
    </row>
    <row r="33" customFormat="false" ht="14.5" hidden="false" customHeight="false" outlineLevel="0" collapsed="false">
      <c r="A33" s="105" t="n">
        <v>31</v>
      </c>
      <c r="B33" s="13" t="n">
        <v>5956</v>
      </c>
      <c r="C33" s="101" t="n">
        <v>6.25</v>
      </c>
      <c r="D33" s="101" t="n">
        <v>0</v>
      </c>
      <c r="E33" s="101" t="n">
        <v>15</v>
      </c>
      <c r="F33" s="101" t="n">
        <v>4.375</v>
      </c>
      <c r="G33" s="101" t="n">
        <v>0</v>
      </c>
      <c r="H33" s="101" t="n">
        <v>1.875</v>
      </c>
      <c r="I33" s="101" t="n">
        <v>1.625</v>
      </c>
      <c r="J33" s="101" t="n">
        <v>0</v>
      </c>
      <c r="K33" s="102" t="n">
        <v>4</v>
      </c>
      <c r="L33" s="102" t="n">
        <v>0</v>
      </c>
      <c r="M33" s="102" t="n">
        <v>0</v>
      </c>
      <c r="N33" s="102" t="n">
        <v>0.25</v>
      </c>
      <c r="O33" s="102" t="n">
        <v>0</v>
      </c>
      <c r="P33" s="102" t="n">
        <v>0</v>
      </c>
      <c r="Q33" s="102" t="n">
        <v>0</v>
      </c>
      <c r="R33" s="102" t="n">
        <v>0</v>
      </c>
      <c r="S33" s="102" t="n">
        <v>0.2</v>
      </c>
      <c r="T33" s="102" t="n">
        <v>1.25</v>
      </c>
      <c r="Y33" s="104" t="n">
        <f aca="false">VLOOKUP($B33,PitData,2)</f>
        <v>0</v>
      </c>
      <c r="Z33" s="104" t="str">
        <f aca="false">VLOOKUP($B33,PitData,3)</f>
        <v>West Coast</v>
      </c>
    </row>
    <row r="34" customFormat="false" ht="14.5" hidden="false" customHeight="false" outlineLevel="0" collapsed="false">
      <c r="A34" s="105" t="n">
        <v>32</v>
      </c>
      <c r="B34" s="13" t="n">
        <v>2521</v>
      </c>
      <c r="C34" s="101" t="n">
        <v>10.125</v>
      </c>
      <c r="D34" s="101" t="n">
        <v>5.75</v>
      </c>
      <c r="E34" s="101" t="n">
        <v>25</v>
      </c>
      <c r="F34" s="101" t="n">
        <v>3.75</v>
      </c>
      <c r="G34" s="101" t="n">
        <v>0</v>
      </c>
      <c r="H34" s="101" t="n">
        <v>0.625</v>
      </c>
      <c r="I34" s="101" t="n">
        <v>0.75</v>
      </c>
      <c r="J34" s="101" t="n">
        <v>0</v>
      </c>
      <c r="K34" s="102" t="n">
        <v>3</v>
      </c>
      <c r="L34" s="102" t="n">
        <v>0</v>
      </c>
      <c r="M34" s="102" t="n">
        <v>0</v>
      </c>
      <c r="N34" s="102" t="n">
        <v>0.67</v>
      </c>
      <c r="O34" s="102" t="n">
        <v>0.5</v>
      </c>
      <c r="P34" s="102" t="n">
        <v>0</v>
      </c>
      <c r="Q34" s="102" t="n">
        <v>0</v>
      </c>
      <c r="R34" s="102" t="n">
        <v>0.4</v>
      </c>
      <c r="S34" s="102" t="n">
        <v>0</v>
      </c>
      <c r="T34" s="102" t="n">
        <v>0</v>
      </c>
      <c r="Y34" s="104" t="n">
        <f aca="false">VLOOKUP($B34,PitData,2)</f>
        <v>0</v>
      </c>
      <c r="Z34" s="104" t="str">
        <f aca="false">VLOOKUP($B34,PitData,3)</f>
        <v>runner treads</v>
      </c>
    </row>
    <row r="35" customFormat="false" ht="14.5" hidden="false" customHeight="false" outlineLevel="0" collapsed="false">
      <c r="A35" s="105" t="n">
        <v>33</v>
      </c>
      <c r="B35" s="13" t="n">
        <v>4127</v>
      </c>
      <c r="C35" s="101" t="n">
        <v>6.11111111111111</v>
      </c>
      <c r="D35" s="101" t="n">
        <v>0</v>
      </c>
      <c r="E35" s="101" t="n">
        <v>15</v>
      </c>
      <c r="F35" s="101" t="n">
        <v>3.33333333333333</v>
      </c>
      <c r="G35" s="101" t="n">
        <v>0.555555555555556</v>
      </c>
      <c r="H35" s="101" t="n">
        <v>2.22222222222222</v>
      </c>
      <c r="I35" s="101" t="n">
        <v>0.888888888888889</v>
      </c>
      <c r="J35" s="101" t="n">
        <v>0.111111111111111</v>
      </c>
      <c r="K35" s="102" t="n">
        <v>3</v>
      </c>
      <c r="L35" s="102" t="n">
        <v>0</v>
      </c>
      <c r="M35" s="102" t="n">
        <v>0</v>
      </c>
      <c r="N35" s="102" t="n">
        <v>0.2</v>
      </c>
      <c r="O35" s="102" t="n">
        <v>0.25</v>
      </c>
      <c r="P35" s="102" t="n">
        <v>0</v>
      </c>
      <c r="Q35" s="102" t="n">
        <v>0</v>
      </c>
      <c r="R35" s="102" t="n">
        <v>0.75</v>
      </c>
      <c r="S35" s="102" t="n">
        <v>0.6</v>
      </c>
      <c r="T35" s="102" t="n">
        <v>0</v>
      </c>
      <c r="Y35" s="104" t="n">
        <f aca="false">VLOOKUP($B35,PitData,2)</f>
        <v>0</v>
      </c>
      <c r="Z35" s="104" t="str">
        <f aca="false">VLOOKUP($B35,PitData,3)</f>
        <v>6 wheel </v>
      </c>
    </row>
    <row r="36" customFormat="false" ht="14.5" hidden="false" customHeight="false" outlineLevel="0" collapsed="false">
      <c r="A36" s="105" t="n">
        <v>34</v>
      </c>
      <c r="B36" s="13" t="n">
        <v>2915</v>
      </c>
      <c r="C36" s="101" t="n">
        <v>4.88888888888889</v>
      </c>
      <c r="D36" s="101" t="n">
        <v>0.444444444444444</v>
      </c>
      <c r="E36" s="101" t="n">
        <v>15</v>
      </c>
      <c r="F36" s="101" t="n">
        <v>2.77777777777778</v>
      </c>
      <c r="G36" s="101" t="n">
        <v>0</v>
      </c>
      <c r="H36" s="101" t="n">
        <v>1.66666666666667</v>
      </c>
      <c r="I36" s="101" t="n">
        <v>0.555555555555556</v>
      </c>
      <c r="J36" s="101" t="n">
        <v>0</v>
      </c>
      <c r="K36" s="102" t="n">
        <v>6</v>
      </c>
      <c r="L36" s="102" t="n">
        <v>0</v>
      </c>
      <c r="M36" s="102" t="n">
        <v>0.2</v>
      </c>
      <c r="N36" s="102" t="n">
        <v>0</v>
      </c>
      <c r="O36" s="102" t="n">
        <v>0</v>
      </c>
      <c r="P36" s="102" t="n">
        <v>0</v>
      </c>
      <c r="Q36" s="102" t="n">
        <v>0.25</v>
      </c>
      <c r="R36" s="102" t="n">
        <v>0</v>
      </c>
      <c r="S36" s="102" t="n">
        <v>1</v>
      </c>
      <c r="T36" s="102" t="n">
        <v>0</v>
      </c>
      <c r="Y36" s="104" t="n">
        <f aca="false">VLOOKUP($B36,PitData,2)</f>
        <v>0</v>
      </c>
      <c r="Z36" s="104" t="str">
        <f aca="false">VLOOKUP($B36,PitData,3)</f>
        <v>Tank</v>
      </c>
    </row>
    <row r="37" customFormat="false" ht="14.5" hidden="false" customHeight="false" outlineLevel="0" collapsed="false">
      <c r="A37" s="105" t="n">
        <v>35</v>
      </c>
      <c r="B37" s="13" t="n">
        <v>3192</v>
      </c>
      <c r="C37" s="101" t="n">
        <v>2.5</v>
      </c>
      <c r="D37" s="101" t="n">
        <v>0</v>
      </c>
      <c r="E37" s="101" t="n">
        <v>5</v>
      </c>
      <c r="F37" s="101" t="n">
        <v>1.875</v>
      </c>
      <c r="G37" s="101" t="n">
        <v>0</v>
      </c>
      <c r="H37" s="101" t="n">
        <v>0.625</v>
      </c>
      <c r="I37" s="101" t="n">
        <v>0.375</v>
      </c>
      <c r="J37" s="101" t="n">
        <v>0</v>
      </c>
      <c r="K37" s="102" t="n">
        <v>2</v>
      </c>
      <c r="L37" s="102" t="n">
        <v>0</v>
      </c>
      <c r="M37" s="102" t="n">
        <v>0</v>
      </c>
      <c r="N37" s="102" t="n">
        <v>0.33</v>
      </c>
      <c r="O37" s="102" t="n">
        <v>0</v>
      </c>
      <c r="P37" s="102" t="n">
        <v>0</v>
      </c>
      <c r="Q37" s="102" t="n">
        <v>0</v>
      </c>
      <c r="R37" s="102" t="n">
        <v>0.33</v>
      </c>
      <c r="S37" s="102" t="n">
        <v>0</v>
      </c>
      <c r="T37" s="102" t="n">
        <v>0</v>
      </c>
      <c r="Y37" s="104" t="n">
        <f aca="false">VLOOKUP($B37,PitData,2)</f>
        <v>0</v>
      </c>
      <c r="Z37" s="104" t="str">
        <f aca="false">VLOOKUP($B37,PitData,3)</f>
        <v>tank treads</v>
      </c>
    </row>
    <row r="38" customFormat="false" ht="14.5" hidden="false" customHeight="false" outlineLevel="0" collapsed="false">
      <c r="A38" s="106" t="n">
        <v>36</v>
      </c>
      <c r="B38" s="13" t="n">
        <v>957</v>
      </c>
      <c r="C38" s="101" t="n">
        <v>3.75</v>
      </c>
      <c r="D38" s="101" t="n">
        <v>1.25</v>
      </c>
      <c r="E38" s="101" t="n">
        <v>10</v>
      </c>
      <c r="F38" s="101" t="n">
        <v>1.875</v>
      </c>
      <c r="G38" s="101" t="n">
        <v>0</v>
      </c>
      <c r="H38" s="101" t="n">
        <v>0.625</v>
      </c>
      <c r="I38" s="101" t="n">
        <v>0.375</v>
      </c>
      <c r="J38" s="101" t="n">
        <v>0</v>
      </c>
      <c r="K38" s="102" t="n">
        <v>4</v>
      </c>
      <c r="L38" s="102" t="n">
        <v>0</v>
      </c>
      <c r="M38" s="102" t="n">
        <v>0</v>
      </c>
      <c r="N38" s="102" t="n">
        <v>0</v>
      </c>
      <c r="O38" s="102" t="n">
        <v>1</v>
      </c>
      <c r="P38" s="102" t="n">
        <v>0</v>
      </c>
      <c r="Q38" s="102" t="n">
        <v>0</v>
      </c>
      <c r="R38" s="102" t="n">
        <v>0.25</v>
      </c>
      <c r="S38" s="102" t="n">
        <v>0</v>
      </c>
      <c r="T38" s="102" t="n">
        <v>0</v>
      </c>
      <c r="Y38" s="104" t="n">
        <f aca="false">VLOOKUP($B38,PitData,2)</f>
        <v>0</v>
      </c>
      <c r="Z38" s="104" t="str">
        <f aca="false">VLOOKUP($B38,PitData,3)</f>
        <v>tank</v>
      </c>
    </row>
  </sheetData>
  <mergeCells count="1">
    <mergeCell ref="Y1:Z1"/>
  </mergeCells>
  <conditionalFormatting sqref="C3:C38">
    <cfRule type="colorScale" priority="2">
      <colorScale>
        <cfvo type="min" val="0"/>
        <cfvo type="max" val="0"/>
        <color rgb="FFFFFFFF"/>
        <color rgb="FFFFFFFF"/>
      </colorScale>
    </cfRule>
  </conditionalFormatting>
  <conditionalFormatting sqref="E3:E38">
    <cfRule type="colorScale" priority="3">
      <colorScale>
        <cfvo type="min" val="0"/>
        <cfvo type="max" val="0"/>
        <color rgb="FFFFFFFF"/>
        <color rgb="FFFFFFFF"/>
      </colorScale>
    </cfRule>
  </conditionalFormatting>
  <conditionalFormatting sqref="F3:F38">
    <cfRule type="colorScale" priority="4">
      <colorScale>
        <cfvo type="min" val="0"/>
        <cfvo type="max" val="0"/>
        <color rgb="FFFFFFFF"/>
        <color rgb="FFFFFFFF"/>
      </colorScale>
    </cfRule>
  </conditionalFormatting>
  <conditionalFormatting sqref="G3:G38">
    <cfRule type="colorScale" priority="5">
      <colorScale>
        <cfvo type="min" val="0"/>
        <cfvo type="max" val="0"/>
        <color rgb="FFFFFFFF"/>
        <color rgb="FFFFFFFF"/>
      </colorScale>
    </cfRule>
  </conditionalFormatting>
  <conditionalFormatting sqref="H3:H38">
    <cfRule type="colorScale" priority="6">
      <colorScale>
        <cfvo type="min" val="0"/>
        <cfvo type="max" val="0"/>
        <color rgb="FFFFFFFF"/>
        <color rgb="FFFFFFFF"/>
      </colorScale>
    </cfRule>
  </conditionalFormatting>
  <conditionalFormatting sqref="B3:B15">
    <cfRule type="cellIs" priority="7" operator="equal" aboveAverage="0" equalAverage="0" bottom="0" percent="0" rank="0" text="" dxfId="0">
      <formula>1425</formula>
    </cfRule>
  </conditionalFormatting>
  <conditionalFormatting sqref="I3:I38">
    <cfRule type="colorScale" priority="8">
      <colorScale>
        <cfvo type="min" val="0"/>
        <cfvo type="max" val="0"/>
        <color rgb="FFFFFFFF"/>
        <color rgb="FFFFFFFF"/>
      </colorScale>
    </cfRule>
  </conditionalFormatting>
  <conditionalFormatting sqref="J3:J38">
    <cfRule type="colorScale" priority="9">
      <colorScale>
        <cfvo type="min" val="0"/>
        <cfvo type="max" val="0"/>
        <color rgb="FFFFFFFF"/>
        <color rgb="FFFFFFFF"/>
      </colorScale>
    </cfRule>
  </conditionalFormatting>
  <conditionalFormatting sqref="D3:D38">
    <cfRule type="colorScale" priority="10">
      <colorScale>
        <cfvo type="min" val="0"/>
        <cfvo type="max" val="0"/>
        <color rgb="FFFFFFFF"/>
        <color rgb="FFFFFFFF"/>
      </colorScale>
    </cfRule>
  </conditionalFormatting>
  <conditionalFormatting sqref="K3:K38">
    <cfRule type="colorScale" priority="11">
      <colorScale>
        <cfvo type="num" val="1"/>
        <cfvo type="max" val="0"/>
        <color rgb="FFFFABAD"/>
        <color rgb="FFF8696B"/>
      </colorScale>
    </cfRule>
  </conditionalFormatting>
  <conditionalFormatting sqref="L3:L38">
    <cfRule type="colorScale" priority="12">
      <colorScale>
        <cfvo type="num" val="0"/>
        <cfvo type="percentile" val="50"/>
        <cfvo type="max" val="0"/>
        <color rgb="FFF8696B"/>
        <color rgb="FFFFEB84"/>
        <color rgb="FF63BE7B"/>
      </colorScale>
    </cfRule>
  </conditionalFormatting>
  <conditionalFormatting sqref="M3:M38">
    <cfRule type="colorScale" priority="13">
      <colorScale>
        <cfvo type="num" val="0"/>
        <cfvo type="percentile" val="50"/>
        <cfvo type="max" val="0"/>
        <color rgb="FFF8696B"/>
        <color rgb="FFFFEB84"/>
        <color rgb="FF63BE7B"/>
      </colorScale>
    </cfRule>
  </conditionalFormatting>
  <conditionalFormatting sqref="N3:N38">
    <cfRule type="colorScale" priority="14">
      <colorScale>
        <cfvo type="num" val="0"/>
        <cfvo type="percentile" val="50"/>
        <cfvo type="max" val="0"/>
        <color rgb="FFF8696B"/>
        <color rgb="FFFFEB84"/>
        <color rgb="FF63BE7B"/>
      </colorScale>
    </cfRule>
  </conditionalFormatting>
  <conditionalFormatting sqref="O3:O38">
    <cfRule type="colorScale" priority="15">
      <colorScale>
        <cfvo type="num" val="0"/>
        <cfvo type="percentile" val="50"/>
        <cfvo type="max" val="0"/>
        <color rgb="FFF8696B"/>
        <color rgb="FFFFEB84"/>
        <color rgb="FF63BE7B"/>
      </colorScale>
    </cfRule>
  </conditionalFormatting>
  <conditionalFormatting sqref="P3:P38">
    <cfRule type="colorScale" priority="16">
      <colorScale>
        <cfvo type="num" val="0"/>
        <cfvo type="percentile" val="50"/>
        <cfvo type="max" val="0"/>
        <color rgb="FFF8696B"/>
        <color rgb="FFFFEB84"/>
        <color rgb="FF63BE7B"/>
      </colorScale>
    </cfRule>
  </conditionalFormatting>
  <conditionalFormatting sqref="Q3:Q38">
    <cfRule type="colorScale" priority="17">
      <colorScale>
        <cfvo type="num" val="0"/>
        <cfvo type="percentile" val="50"/>
        <cfvo type="max" val="0"/>
        <color rgb="FFF8696B"/>
        <color rgb="FFFFEB84"/>
        <color rgb="FF63BE7B"/>
      </colorScale>
    </cfRule>
  </conditionalFormatting>
  <conditionalFormatting sqref="R3:R38">
    <cfRule type="colorScale" priority="18">
      <colorScale>
        <cfvo type="num" val="0"/>
        <cfvo type="percentile" val="50"/>
        <cfvo type="max" val="0"/>
        <color rgb="FFF8696B"/>
        <color rgb="FFFFEB84"/>
        <color rgb="FF63BE7B"/>
      </colorScale>
    </cfRule>
  </conditionalFormatting>
  <conditionalFormatting sqref="S3:S38">
    <cfRule type="colorScale" priority="19">
      <colorScale>
        <cfvo type="num" val="0"/>
        <cfvo type="percentile" val="50"/>
        <cfvo type="max" val="0"/>
        <color rgb="FFF8696B"/>
        <color rgb="FFFFEB84"/>
        <color rgb="FF63BE7B"/>
      </colorScale>
    </cfRule>
  </conditionalFormatting>
  <conditionalFormatting sqref="T3:T38">
    <cfRule type="colorScale" priority="20">
      <colorScale>
        <cfvo type="num" val="0"/>
        <cfvo type="percentile" val="50"/>
        <cfvo type="max" val="0"/>
        <color rgb="FFF8696B"/>
        <color rgb="FFFFEB84"/>
        <color rgb="FF63BE7B"/>
      </colorScale>
    </cfRule>
  </conditionalFormatting>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sheetPr filterMode="false">
    <pageSetUpPr fitToPage="false"/>
  </sheetPr>
  <dimension ref="B2:D20"/>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21" activeCellId="0" sqref="C21"/>
    </sheetView>
  </sheetViews>
  <sheetFormatPr defaultRowHeight="14.5"/>
  <cols>
    <col collapsed="false" hidden="false" max="1" min="1" style="0" width="8.72959183673469"/>
    <col collapsed="false" hidden="false" max="2" min="2" style="0" width="10.0867346938776"/>
    <col collapsed="false" hidden="false" max="1025" min="3" style="0" width="8.72959183673469"/>
  </cols>
  <sheetData>
    <row r="2" customFormat="false" ht="14.5" hidden="false" customHeight="false" outlineLevel="0" collapsed="false">
      <c r="B2" s="0" t="s">
        <v>284</v>
      </c>
    </row>
    <row r="3" customFormat="false" ht="14.5" hidden="false" customHeight="false" outlineLevel="0" collapsed="false">
      <c r="B3" s="0" t="s">
        <v>219</v>
      </c>
      <c r="C3" s="0" t="s">
        <v>285</v>
      </c>
    </row>
    <row r="4" customFormat="false" ht="14.5" hidden="false" customHeight="false" outlineLevel="0" collapsed="false">
      <c r="C4" s="0" t="s">
        <v>286</v>
      </c>
      <c r="D4" s="0" t="s">
        <v>287</v>
      </c>
    </row>
    <row r="7" customFormat="false" ht="14.5" hidden="false" customHeight="false" outlineLevel="0" collapsed="false">
      <c r="B7" s="0" t="s">
        <v>288</v>
      </c>
    </row>
    <row r="8" customFormat="false" ht="14.5" hidden="false" customHeight="false" outlineLevel="0" collapsed="false">
      <c r="B8" s="0" t="s">
        <v>289</v>
      </c>
    </row>
    <row r="10" customFormat="false" ht="14.5" hidden="false" customHeight="false" outlineLevel="0" collapsed="false">
      <c r="B10" s="0" t="s">
        <v>290</v>
      </c>
      <c r="C10" s="0" t="s">
        <v>291</v>
      </c>
    </row>
    <row r="11" customFormat="false" ht="14.5" hidden="false" customHeight="false" outlineLevel="0" collapsed="false">
      <c r="C11" s="0" t="s">
        <v>292</v>
      </c>
    </row>
    <row r="13" customFormat="false" ht="14.5" hidden="false" customHeight="false" outlineLevel="0" collapsed="false">
      <c r="B13" s="0" t="s">
        <v>293</v>
      </c>
      <c r="C13" s="0" t="s">
        <v>294</v>
      </c>
    </row>
    <row r="14" customFormat="false" ht="14.5" hidden="false" customHeight="false" outlineLevel="0" collapsed="false">
      <c r="C14" s="0" t="s">
        <v>295</v>
      </c>
    </row>
    <row r="16" customFormat="false" ht="14.5" hidden="false" customHeight="false" outlineLevel="0" collapsed="false">
      <c r="B16" s="0" t="s">
        <v>296</v>
      </c>
    </row>
    <row r="17" customFormat="false" ht="14.5" hidden="false" customHeight="false" outlineLevel="0" collapsed="false">
      <c r="B17" s="0" t="s">
        <v>290</v>
      </c>
      <c r="C17" s="0" t="s">
        <v>297</v>
      </c>
    </row>
    <row r="18" customFormat="false" ht="14.5" hidden="false" customHeight="false" outlineLevel="0" collapsed="false">
      <c r="C18" s="0" t="s">
        <v>298</v>
      </c>
    </row>
    <row r="19" customFormat="false" ht="14.5" hidden="false" customHeight="false" outlineLevel="0" collapsed="false">
      <c r="B19" s="0" t="s">
        <v>299</v>
      </c>
      <c r="C19" s="0" t="s">
        <v>294</v>
      </c>
    </row>
    <row r="20" customFormat="false" ht="14.5" hidden="false" customHeight="false" outlineLevel="0" collapsed="false">
      <c r="C20" s="0" t="s">
        <v>300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G1:L13"/>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2" activeCellId="0" sqref="H2"/>
    </sheetView>
  </sheetViews>
  <sheetFormatPr defaultRowHeight="14.5"/>
  <cols>
    <col collapsed="false" hidden="false" max="1" min="1" style="0" width="8.72959183673469"/>
    <col collapsed="false" hidden="false" max="2" min="2" style="0" width="12.4540816326531"/>
    <col collapsed="false" hidden="false" max="3" min="3" style="0" width="20.3673469387755"/>
    <col collapsed="false" hidden="false" max="4" min="4" style="0" width="20.5357142857143"/>
    <col collapsed="false" hidden="false" max="5" min="5" style="0" width="21.9030612244898"/>
    <col collapsed="false" hidden="false" max="6" min="6" style="0" width="3.53571428571429"/>
    <col collapsed="false" hidden="false" max="7" min="7" style="0" width="12.3673469387755"/>
    <col collapsed="false" hidden="false" max="8" min="8" style="0" width="7.09183673469388"/>
    <col collapsed="false" hidden="false" max="12" min="9" style="0" width="4.54591836734694"/>
    <col collapsed="false" hidden="false" max="13" min="13" style="0" width="20.3673469387755"/>
    <col collapsed="false" hidden="false" max="14" min="14" style="0" width="20.5357142857143"/>
    <col collapsed="false" hidden="false" max="15" min="15" style="0" width="21.9030612244898"/>
    <col collapsed="false" hidden="false" max="16" min="16" style="0" width="22.3622448979592"/>
    <col collapsed="false" hidden="false" max="17" min="17" style="0" width="19.9081632653061"/>
    <col collapsed="false" hidden="false" max="73" min="18" style="0" width="22.3622448979592"/>
    <col collapsed="false" hidden="false" max="74" min="74" style="0" width="25.5408163265306"/>
    <col collapsed="false" hidden="false" max="75" min="75" style="0" width="25.0918367346939"/>
    <col collapsed="false" hidden="false" max="76" min="76" style="0" width="27.0867346938776"/>
    <col collapsed="false" hidden="false" max="77" min="77" style="0" width="26.6275510204082"/>
    <col collapsed="false" hidden="false" max="78" min="78" style="0" width="24.5408163265306"/>
    <col collapsed="false" hidden="false" max="79" min="79" style="0" width="21.4540816326531"/>
    <col collapsed="false" hidden="false" max="1025" min="80" style="0" width="8.72959183673469"/>
  </cols>
  <sheetData>
    <row r="1" customFormat="false" ht="14.5" hidden="false" customHeight="false" outlineLevel="0" collapsed="false">
      <c r="G1" s="42" t="s">
        <v>2</v>
      </c>
      <c r="H1" s="43" t="s">
        <v>301</v>
      </c>
    </row>
    <row r="3" customFormat="false" ht="13.8" hidden="false" customHeight="false" outlineLevel="0" collapsed="false">
      <c r="G3" s="45"/>
      <c r="H3" s="46" t="s">
        <v>241</v>
      </c>
      <c r="I3" s="107"/>
      <c r="J3" s="107"/>
      <c r="K3" s="107"/>
      <c r="L3" s="108"/>
    </row>
    <row r="4" customFormat="false" ht="13.8" hidden="false" customHeight="false" outlineLevel="0" collapsed="false">
      <c r="G4" s="54" t="s">
        <v>1</v>
      </c>
      <c r="H4" s="55" t="s">
        <v>302</v>
      </c>
      <c r="I4" s="56" t="s">
        <v>303</v>
      </c>
      <c r="J4" s="56" t="s">
        <v>304</v>
      </c>
      <c r="K4" s="56" t="s">
        <v>305</v>
      </c>
      <c r="L4" s="109" t="s">
        <v>306</v>
      </c>
    </row>
    <row r="5" customFormat="false" ht="13.8" hidden="false" customHeight="false" outlineLevel="0" collapsed="false">
      <c r="G5" s="59" t="n">
        <v>4</v>
      </c>
      <c r="H5" s="60"/>
      <c r="I5" s="61"/>
      <c r="J5" s="61"/>
      <c r="K5" s="61"/>
      <c r="L5" s="110" t="e">
        <f aca="false"/>
        <v>#VALUE!</v>
      </c>
    </row>
    <row r="6" customFormat="false" ht="13.8" hidden="false" customHeight="false" outlineLevel="0" collapsed="false">
      <c r="G6" s="65" t="n">
        <v>12</v>
      </c>
      <c r="H6" s="66"/>
      <c r="I6" s="67"/>
      <c r="J6" s="67"/>
      <c r="K6" s="67"/>
      <c r="L6" s="111" t="e">
        <f aca="false"/>
        <v>#VALUE!</v>
      </c>
    </row>
    <row r="7" customFormat="false" ht="13.8" hidden="false" customHeight="false" outlineLevel="0" collapsed="false">
      <c r="G7" s="65" t="n">
        <v>16</v>
      </c>
      <c r="H7" s="66"/>
      <c r="I7" s="67"/>
      <c r="J7" s="72" t="n">
        <v>3</v>
      </c>
      <c r="K7" s="67"/>
      <c r="L7" s="111" t="e">
        <f aca="false"/>
        <v>#VALUE!</v>
      </c>
    </row>
    <row r="8" customFormat="false" ht="13.8" hidden="false" customHeight="false" outlineLevel="0" collapsed="false">
      <c r="G8" s="65" t="n">
        <v>19</v>
      </c>
      <c r="H8" s="66"/>
      <c r="I8" s="67"/>
      <c r="J8" s="72" t="n">
        <v>7</v>
      </c>
      <c r="K8" s="67"/>
      <c r="L8" s="111" t="e">
        <f aca="false"/>
        <v>#VALUE!</v>
      </c>
    </row>
    <row r="9" customFormat="false" ht="13.8" hidden="false" customHeight="false" outlineLevel="0" collapsed="false">
      <c r="G9" s="65" t="n">
        <v>25</v>
      </c>
      <c r="H9" s="66"/>
      <c r="I9" s="67"/>
      <c r="J9" s="72" t="n">
        <v>4</v>
      </c>
      <c r="K9" s="67"/>
      <c r="L9" s="111" t="e">
        <f aca="false"/>
        <v>#VALUE!</v>
      </c>
    </row>
    <row r="10" customFormat="false" ht="13.8" hidden="false" customHeight="false" outlineLevel="0" collapsed="false">
      <c r="G10" s="65" t="n">
        <v>34</v>
      </c>
      <c r="H10" s="66"/>
      <c r="I10" s="67"/>
      <c r="J10" s="72" t="n">
        <v>4</v>
      </c>
      <c r="K10" s="67"/>
      <c r="L10" s="111" t="e">
        <f aca="false"/>
        <v>#VALUE!</v>
      </c>
    </row>
    <row r="11" customFormat="false" ht="13.8" hidden="false" customHeight="false" outlineLevel="0" collapsed="false">
      <c r="G11" s="65" t="n">
        <v>40</v>
      </c>
      <c r="H11" s="66"/>
      <c r="I11" s="67"/>
      <c r="J11" s="72" t="n">
        <v>4</v>
      </c>
      <c r="K11" s="67"/>
      <c r="L11" s="111" t="e">
        <f aca="false"/>
        <v>#VALUE!</v>
      </c>
    </row>
    <row r="12" customFormat="false" ht="13.8" hidden="false" customHeight="false" outlineLevel="0" collapsed="false">
      <c r="G12" s="65" t="n">
        <v>45</v>
      </c>
      <c r="H12" s="112"/>
      <c r="I12" s="113"/>
      <c r="J12" s="114" t="n">
        <v>2</v>
      </c>
      <c r="K12" s="113"/>
      <c r="L12" s="115" t="e">
        <f aca="false"/>
        <v>#VALUE!</v>
      </c>
    </row>
    <row r="13" customFormat="false" ht="14.5" hidden="false" customHeight="false" outlineLevel="0" collapsed="false">
      <c r="G13" s="116" t="s">
        <v>307</v>
      </c>
      <c r="H13" s="117"/>
      <c r="I13" s="118"/>
      <c r="J13" s="119" t="n">
        <v>24</v>
      </c>
      <c r="K13" s="118"/>
      <c r="L13" s="120" t="e">
        <f aca="false"/>
        <v>#VALUE!</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2"/>
</worksheet>
</file>

<file path=xl/worksheets/sheet8.xml><?xml version="1.0" encoding="utf-8"?>
<worksheet xmlns="http://schemas.openxmlformats.org/spreadsheetml/2006/main" xmlns:r="http://schemas.openxmlformats.org/officeDocument/2006/relationships">
  <sheetPr filterMode="false">
    <pageSetUpPr fitToPage="false"/>
  </sheetPr>
  <dimension ref="A1:C13"/>
  <sheetViews>
    <sheetView windowProtection="false" showFormulas="false" showGridLines="true" showRowColHeaders="true" showZeros="true" rightToLeft="false" tabSelected="false" showOutlineSymbols="true" defaultGridColor="true" view="normal" topLeftCell="C16" colorId="64" zoomScale="100" zoomScaleNormal="100" zoomScalePageLayoutView="100" workbookViewId="0">
      <selection pane="topLeft" activeCell="I35" activeCellId="0" sqref="I35"/>
    </sheetView>
  </sheetViews>
  <sheetFormatPr defaultRowHeight="14.5"/>
  <cols>
    <col collapsed="false" hidden="false" max="1" min="1" style="0" width="12.3673469387755"/>
    <col collapsed="false" hidden="false" max="2" min="2" style="0" width="16.5408163265306"/>
    <col collapsed="false" hidden="false" max="3" min="3" style="0" width="19.8163265306122"/>
    <col collapsed="false" hidden="false" max="4" min="4" style="0" width="16.5408163265306"/>
    <col collapsed="false" hidden="false" max="5" min="5" style="0" width="19.9081632653061"/>
    <col collapsed="false" hidden="false" max="6" min="6" style="0" width="16.5408163265306"/>
    <col collapsed="false" hidden="false" max="7" min="7" style="0" width="19.9081632653061"/>
    <col collapsed="false" hidden="false" max="8" min="8" style="0" width="21.4540816326531"/>
    <col collapsed="false" hidden="false" max="9" min="9" style="0" width="24.5408163265306"/>
    <col collapsed="false" hidden="false" max="10" min="10" style="0" width="21.4540816326531"/>
    <col collapsed="false" hidden="false" max="11" min="11" style="0" width="24.5408163265306"/>
    <col collapsed="false" hidden="false" max="22" min="12" style="0" width="2.90816326530612"/>
    <col collapsed="false" hidden="false" max="23" min="23" style="0" width="10.6275510204082"/>
    <col collapsed="false" hidden="false" max="1025" min="24" style="0" width="8.72959183673469"/>
  </cols>
  <sheetData>
    <row r="1" customFormat="false" ht="14.5" hidden="false" customHeight="false" outlineLevel="0" collapsed="false">
      <c r="A1" s="42" t="s">
        <v>2</v>
      </c>
      <c r="B1" s="43" t="s">
        <v>308</v>
      </c>
    </row>
    <row r="3" customFormat="false" ht="13.8" hidden="false" customHeight="false" outlineLevel="0" collapsed="false">
      <c r="A3" s="45"/>
      <c r="B3" s="46" t="s">
        <v>241</v>
      </c>
      <c r="C3" s="108"/>
    </row>
    <row r="4" customFormat="false" ht="13.8" hidden="false" customHeight="false" outlineLevel="0" collapsed="false">
      <c r="A4" s="54" t="s">
        <v>1</v>
      </c>
      <c r="B4" s="55" t="s">
        <v>309</v>
      </c>
      <c r="C4" s="109" t="s">
        <v>306</v>
      </c>
    </row>
    <row r="5" customFormat="false" ht="13.8" hidden="false" customHeight="false" outlineLevel="0" collapsed="false">
      <c r="A5" s="59" t="n">
        <v>6</v>
      </c>
      <c r="B5" s="60" t="e">
        <f aca="false"/>
        <v>#VALUE!</v>
      </c>
      <c r="C5" s="110" t="e">
        <f aca="false"/>
        <v>#VALUE!</v>
      </c>
    </row>
    <row r="6" customFormat="false" ht="13.8" hidden="false" customHeight="false" outlineLevel="0" collapsed="false">
      <c r="A6" s="65" t="n">
        <v>11</v>
      </c>
      <c r="B6" s="66" t="e">
        <f aca="false"/>
        <v>#VALUE!</v>
      </c>
      <c r="C6" s="111" t="e">
        <f aca="false"/>
        <v>#VALUE!</v>
      </c>
    </row>
    <row r="7" customFormat="false" ht="13.8" hidden="false" customHeight="false" outlineLevel="0" collapsed="false">
      <c r="A7" s="65" t="n">
        <v>14</v>
      </c>
      <c r="B7" s="66" t="e">
        <f aca="false"/>
        <v>#VALUE!</v>
      </c>
      <c r="C7" s="111" t="e">
        <f aca="false"/>
        <v>#VALUE!</v>
      </c>
    </row>
    <row r="8" customFormat="false" ht="13.8" hidden="false" customHeight="false" outlineLevel="0" collapsed="false">
      <c r="A8" s="65" t="n">
        <v>20</v>
      </c>
      <c r="B8" s="66" t="e">
        <f aca="false"/>
        <v>#VALUE!</v>
      </c>
      <c r="C8" s="111" t="e">
        <f aca="false"/>
        <v>#VALUE!</v>
      </c>
    </row>
    <row r="9" customFormat="false" ht="13.8" hidden="false" customHeight="false" outlineLevel="0" collapsed="false">
      <c r="A9" s="65" t="n">
        <v>26</v>
      </c>
      <c r="B9" s="66" t="e">
        <f aca="false"/>
        <v>#VALUE!</v>
      </c>
      <c r="C9" s="111" t="e">
        <f aca="false"/>
        <v>#VALUE!</v>
      </c>
    </row>
    <row r="10" customFormat="false" ht="13.8" hidden="false" customHeight="false" outlineLevel="0" collapsed="false">
      <c r="A10" s="65" t="n">
        <v>35</v>
      </c>
      <c r="B10" s="66" t="e">
        <f aca="false"/>
        <v>#VALUE!</v>
      </c>
      <c r="C10" s="111" t="e">
        <f aca="false"/>
        <v>#VALUE!</v>
      </c>
    </row>
    <row r="11" customFormat="false" ht="13.8" hidden="false" customHeight="false" outlineLevel="0" collapsed="false">
      <c r="A11" s="65" t="n">
        <v>42</v>
      </c>
      <c r="B11" s="66" t="e">
        <f aca="false"/>
        <v>#VALUE!</v>
      </c>
      <c r="C11" s="111" t="e">
        <f aca="false"/>
        <v>#VALUE!</v>
      </c>
    </row>
    <row r="12" customFormat="false" ht="13.8" hidden="false" customHeight="false" outlineLevel="0" collapsed="false">
      <c r="A12" s="65" t="n">
        <v>48</v>
      </c>
      <c r="B12" s="112" t="e">
        <f aca="false"/>
        <v>#VALUE!</v>
      </c>
      <c r="C12" s="115" t="e">
        <f aca="false"/>
        <v>#VALUE!</v>
      </c>
    </row>
    <row r="13" customFormat="false" ht="14.5" hidden="false" customHeight="false" outlineLevel="0" collapsed="false">
      <c r="A13" s="116" t="s">
        <v>307</v>
      </c>
      <c r="B13" s="117" t="e">
        <f aca="false"/>
        <v>#VALUE!</v>
      </c>
      <c r="C13" s="120" t="e">
        <f aca="false"/>
        <v>#VALUE!</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2"/>
</worksheet>
</file>

<file path=xl/worksheets/sheet9.xml><?xml version="1.0" encoding="utf-8"?>
<worksheet xmlns="http://schemas.openxmlformats.org/spreadsheetml/2006/main" xmlns:r="http://schemas.openxmlformats.org/officeDocument/2006/relationships">
  <sheetPr filterMode="false">
    <pageSetUpPr fitToPage="false"/>
  </sheetPr>
  <dimension ref="A1:Q5"/>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2" activeCellId="0" sqref="C12"/>
    </sheetView>
  </sheetViews>
  <sheetFormatPr defaultRowHeight="14.5"/>
  <cols>
    <col collapsed="false" hidden="false" max="1" min="1" style="0" width="8.72959183673469"/>
    <col collapsed="false" hidden="false" max="2" min="2" style="0" width="28.0969387755102"/>
    <col collapsed="false" hidden="false" max="3" min="3" style="0" width="13.4540816326531"/>
    <col collapsed="false" hidden="false" max="4" min="4" style="0" width="13.9030612244898"/>
    <col collapsed="false" hidden="false" max="5" min="5" style="0" width="13.6326530612245"/>
    <col collapsed="false" hidden="false" max="6" min="6" style="0" width="13.0918367346939"/>
    <col collapsed="false" hidden="false" max="15" min="7" style="121" width="3.45408163265306"/>
    <col collapsed="false" hidden="false" max="16" min="16" style="0" width="3.45408163265306"/>
    <col collapsed="false" hidden="false" max="1025" min="17" style="0" width="8.72959183673469"/>
  </cols>
  <sheetData>
    <row r="1" customFormat="false" ht="93.5" hidden="false" customHeight="false" outlineLevel="0" collapsed="false">
      <c r="A1" s="0" t="s">
        <v>310</v>
      </c>
      <c r="B1" s="0" t="s">
        <v>311</v>
      </c>
      <c r="C1" s="0" t="s">
        <v>312</v>
      </c>
      <c r="D1" s="0" t="s">
        <v>313</v>
      </c>
      <c r="E1" s="0" t="s">
        <v>314</v>
      </c>
      <c r="F1" s="0" t="s">
        <v>315</v>
      </c>
      <c r="G1" s="122" t="s">
        <v>316</v>
      </c>
      <c r="H1" s="122" t="s">
        <v>317</v>
      </c>
      <c r="I1" s="122" t="s">
        <v>318</v>
      </c>
      <c r="J1" s="122" t="s">
        <v>319</v>
      </c>
      <c r="K1" s="122" t="s">
        <v>320</v>
      </c>
      <c r="L1" s="122" t="s">
        <v>321</v>
      </c>
      <c r="M1" s="122" t="s">
        <v>322</v>
      </c>
      <c r="N1" s="122" t="s">
        <v>323</v>
      </c>
      <c r="O1" s="122" t="s">
        <v>324</v>
      </c>
      <c r="P1" s="122" t="s">
        <v>325</v>
      </c>
      <c r="Q1" s="123"/>
    </row>
    <row r="2" customFormat="false" ht="15" hidden="false" customHeight="false" outlineLevel="0" collapsed="false">
      <c r="A2" s="0" t="n">
        <v>1</v>
      </c>
      <c r="B2" s="0" t="s">
        <v>167</v>
      </c>
      <c r="C2" s="0" t="n">
        <v>0</v>
      </c>
      <c r="D2" s="0" t="n">
        <v>0</v>
      </c>
      <c r="E2" s="0" t="n">
        <v>0</v>
      </c>
      <c r="F2" s="0" t="n">
        <v>0</v>
      </c>
      <c r="G2" s="121" t="n">
        <v>0</v>
      </c>
      <c r="H2" s="121" t="n">
        <v>0</v>
      </c>
      <c r="I2" s="121" t="n">
        <v>2</v>
      </c>
      <c r="J2" s="121" t="n">
        <v>2</v>
      </c>
      <c r="K2" s="121" t="n">
        <v>0</v>
      </c>
      <c r="L2" s="121" t="n">
        <v>0</v>
      </c>
      <c r="M2" s="121" t="n">
        <v>2</v>
      </c>
      <c r="N2" s="121" t="n">
        <v>2</v>
      </c>
      <c r="O2" s="121" t="n">
        <v>2</v>
      </c>
      <c r="P2" s="121" t="n">
        <v>0</v>
      </c>
    </row>
    <row r="3" customFormat="false" ht="14.5" hidden="false" customHeight="false" outlineLevel="0" collapsed="false">
      <c r="A3" s="0" t="n">
        <v>2</v>
      </c>
      <c r="B3" s="0" t="s">
        <v>326</v>
      </c>
      <c r="C3" s="0" t="n">
        <v>1</v>
      </c>
      <c r="D3" s="0" t="n">
        <v>4</v>
      </c>
      <c r="E3" s="0" t="n">
        <v>0</v>
      </c>
      <c r="F3" s="0" t="n">
        <v>0</v>
      </c>
      <c r="G3" s="121" t="n">
        <v>0</v>
      </c>
      <c r="H3" s="121" t="n">
        <v>0</v>
      </c>
      <c r="I3" s="121" t="n">
        <v>2</v>
      </c>
      <c r="J3" s="121" t="n">
        <v>2</v>
      </c>
      <c r="K3" s="121" t="n">
        <v>0</v>
      </c>
      <c r="L3" s="121" t="n">
        <v>0</v>
      </c>
      <c r="M3" s="121" t="n">
        <v>2</v>
      </c>
      <c r="N3" s="121" t="n">
        <v>2</v>
      </c>
      <c r="O3" s="121" t="n">
        <v>2</v>
      </c>
      <c r="P3" s="121" t="n">
        <v>1</v>
      </c>
    </row>
    <row r="4" customFormat="false" ht="14.5" hidden="false" customHeight="false" outlineLevel="0" collapsed="false">
      <c r="A4" s="0" t="n">
        <v>3</v>
      </c>
      <c r="B4" s="0" t="s">
        <v>327</v>
      </c>
      <c r="C4" s="0" t="n">
        <v>2</v>
      </c>
      <c r="D4" s="0" t="n">
        <v>6</v>
      </c>
      <c r="E4" s="0" t="n">
        <v>0</v>
      </c>
      <c r="F4" s="0" t="n">
        <v>0</v>
      </c>
      <c r="G4" s="121" t="n">
        <v>2</v>
      </c>
      <c r="H4" s="121" t="n">
        <v>2</v>
      </c>
      <c r="I4" s="121" t="n">
        <v>3</v>
      </c>
      <c r="J4" s="121" t="n">
        <v>3</v>
      </c>
      <c r="K4" s="121" t="n">
        <v>2</v>
      </c>
      <c r="L4" s="121" t="n">
        <v>2</v>
      </c>
      <c r="M4" s="121" t="n">
        <v>3</v>
      </c>
      <c r="N4" s="121" t="n">
        <v>3</v>
      </c>
      <c r="O4" s="121" t="n">
        <v>4</v>
      </c>
      <c r="P4" s="121" t="n">
        <v>1</v>
      </c>
    </row>
    <row r="5" customFormat="false" ht="14.5" hidden="false" customHeight="false" outlineLevel="0" collapsed="false">
      <c r="A5" s="0" t="n">
        <v>4</v>
      </c>
      <c r="B5" s="0" t="s">
        <v>328</v>
      </c>
      <c r="C5" s="0" t="n">
        <v>1</v>
      </c>
      <c r="D5" s="0" t="n">
        <v>4</v>
      </c>
      <c r="E5" s="0" t="n">
        <v>1</v>
      </c>
      <c r="F5" s="0" t="n">
        <v>4</v>
      </c>
      <c r="G5" s="124" t="n">
        <v>3</v>
      </c>
      <c r="H5" s="124" t="n">
        <v>3</v>
      </c>
      <c r="I5" s="124" t="n">
        <v>4</v>
      </c>
      <c r="J5" s="124" t="n">
        <v>4</v>
      </c>
      <c r="K5" s="124" t="n">
        <v>3</v>
      </c>
      <c r="L5" s="124" t="n">
        <v>3</v>
      </c>
      <c r="M5" s="124" t="n">
        <v>4</v>
      </c>
      <c r="N5" s="124" t="n">
        <v>4</v>
      </c>
      <c r="O5" s="124" t="n">
        <v>5</v>
      </c>
      <c r="P5" s="124" t="n">
        <v>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otalTime>8</TotalTime>
  <Application>LibreOffice/4.3.7.2$Linux_X86_64 LibreOffice_project/430$Build-2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2016-02-27T21:09:48Z</dcterms:created>
  <dc:creator>CV Briggler</dc:creator>
  <dc:language>en-US</dc:language>
  <cp:lastPrinted>2016-03-12T06:06:46Z</cp:lastPrinted>
  <dcterms:modified xsi:type="dcterms:W3CDTF">2016-03-31T13:29:17Z</dcterms:modified>
  <cp:revision>1</cp:revision>
</cp:coreProperties>
</file>